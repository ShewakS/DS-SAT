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wa\Downloads\"/>
    </mc:Choice>
  </mc:AlternateContent>
  <xr:revisionPtr revIDLastSave="0" documentId="8_{6EDFB652-07EA-4E3B-9FD1-6B9CF7AC2F6D}" xr6:coauthVersionLast="47" xr6:coauthVersionMax="47" xr10:uidLastSave="{00000000-0000-0000-0000-000000000000}"/>
  <bookViews>
    <workbookView xWindow="-108" yWindow="-108" windowWidth="23256" windowHeight="13176" firstSheet="8" activeTab="13" xr2:uid="{00000000-000D-0000-FFFF-FFFF00000000}"/>
  </bookViews>
  <sheets>
    <sheet name="Summary" sheetId="1" r:id="rId1"/>
    <sheet name="Existing_PivotTable" sheetId="2" r:id="rId2"/>
    <sheet name="Cleaned_Data" sheetId="3" r:id="rId3"/>
    <sheet name="Formula_Analysis" sheetId="4" r:id="rId4"/>
    <sheet name="Overall_Summary" sheetId="5" r:id="rId5"/>
    <sheet name="Zone_Analysis" sheetId="6" r:id="rId6"/>
    <sheet name="Order_Size_Analysis" sheetId="7" r:id="rId7"/>
    <sheet name="Shift_Analysis" sheetId="8" r:id="rId8"/>
    <sheet name="Experience_Analysis" sheetId="9" r:id="rId9"/>
    <sheet name="Category_Analysis" sheetId="10" r:id="rId10"/>
    <sheet name="Hourly_Analysis" sheetId="11" r:id="rId11"/>
    <sheet name="Order_Audit" sheetId="12" r:id="rId12"/>
    <sheet name="Pick_Audit" sheetId="13" r:id="rId13"/>
    <sheet name="Worker_Audit" sheetId="14" r:id="rId14"/>
    <sheet name="Zone_Audit" sheetId="15" r:id="rId15"/>
    <sheet name="Formula_Comparisons" sheetId="16" r:id="rId16"/>
  </sheets>
  <definedNames>
    <definedName name="_xlnm._FilterDatabase" localSheetId="3" hidden="1">Formula_Analysis!$A$1:$C$14</definedName>
    <definedName name="_xlnm._FilterDatabase" localSheetId="15" hidden="1">Formula_Comparisons!$A$1:$F$27</definedName>
  </definedNames>
  <calcPr calcId="191029" forceFullCalc="1"/>
  <pivotCaches>
    <pivotCache cacheId="9" r:id="rId1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F27" i="16"/>
  <c r="E27" i="16"/>
  <c r="D27" i="16"/>
  <c r="C27" i="16"/>
  <c r="F26" i="16"/>
  <c r="E26" i="16"/>
  <c r="D26" i="16"/>
  <c r="C26" i="16"/>
  <c r="F25" i="16"/>
  <c r="E25" i="16"/>
  <c r="D25" i="16"/>
  <c r="C25" i="16"/>
  <c r="F24" i="16"/>
  <c r="E24" i="16"/>
  <c r="D24" i="16"/>
  <c r="C24" i="16"/>
  <c r="F23" i="16"/>
  <c r="E23" i="16"/>
  <c r="D23" i="16"/>
  <c r="C23" i="16"/>
  <c r="F22" i="16"/>
  <c r="E22" i="16"/>
  <c r="D22" i="16"/>
  <c r="C22" i="16"/>
  <c r="F21" i="16"/>
  <c r="E21" i="16"/>
  <c r="D21" i="16"/>
  <c r="C21" i="16"/>
  <c r="F20" i="16"/>
  <c r="E20" i="16"/>
  <c r="D20" i="16"/>
  <c r="C20" i="16"/>
  <c r="F19" i="16"/>
  <c r="E19" i="16"/>
  <c r="D19" i="16"/>
  <c r="C19" i="16"/>
  <c r="F18" i="16"/>
  <c r="E18" i="16"/>
  <c r="D18" i="16"/>
  <c r="C18" i="16"/>
  <c r="F17" i="16"/>
  <c r="E17" i="16"/>
  <c r="D17" i="16"/>
  <c r="C17" i="16"/>
  <c r="F16" i="16"/>
  <c r="E16" i="16"/>
  <c r="D16" i="16"/>
  <c r="C16" i="16"/>
  <c r="F15" i="16"/>
  <c r="E15" i="16"/>
  <c r="D15" i="16"/>
  <c r="C15" i="16"/>
  <c r="F14" i="16"/>
  <c r="E14" i="16"/>
  <c r="D14" i="16"/>
  <c r="C14" i="16"/>
  <c r="F13" i="16"/>
  <c r="E13" i="16"/>
  <c r="D13" i="16"/>
  <c r="C13" i="16"/>
  <c r="F12" i="16"/>
  <c r="E12" i="16"/>
  <c r="D12" i="16"/>
  <c r="C12" i="16"/>
  <c r="F11" i="16"/>
  <c r="E11" i="16"/>
  <c r="D11" i="16"/>
  <c r="C11" i="16"/>
  <c r="F10" i="16"/>
  <c r="E10" i="16"/>
  <c r="D10" i="16"/>
  <c r="C10" i="16"/>
  <c r="F9" i="16"/>
  <c r="E9" i="16"/>
  <c r="D9" i="16"/>
  <c r="C9" i="16"/>
  <c r="F8" i="16"/>
  <c r="E8" i="16"/>
  <c r="D8" i="16"/>
  <c r="C8" i="16"/>
  <c r="F7" i="16"/>
  <c r="E7" i="16"/>
  <c r="D7" i="16"/>
  <c r="C7" i="16"/>
  <c r="F6" i="16"/>
  <c r="E6" i="16"/>
  <c r="D6" i="16"/>
  <c r="C6" i="16"/>
  <c r="F5" i="16"/>
  <c r="E5" i="16"/>
  <c r="D5" i="16"/>
  <c r="C5" i="16"/>
  <c r="F4" i="16"/>
  <c r="E4" i="16"/>
  <c r="D4" i="16"/>
  <c r="C4" i="16"/>
  <c r="F3" i="16"/>
  <c r="E3" i="16"/>
  <c r="D3" i="16"/>
  <c r="C3" i="16"/>
  <c r="F2" i="16"/>
  <c r="E2" i="16"/>
  <c r="D2" i="16"/>
  <c r="C2" i="16"/>
  <c r="B14" i="4"/>
  <c r="B13" i="4"/>
  <c r="B12" i="4"/>
  <c r="B10" i="4"/>
  <c r="B11" i="4" s="1"/>
  <c r="B8" i="4"/>
  <c r="B7" i="4"/>
  <c r="B6" i="4"/>
  <c r="B5" i="4"/>
  <c r="B4" i="4"/>
  <c r="B3" i="4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sheet preserves the existing native PivotTable and PivotChart. Review its field configuration before submission; for the assessment, a PivotTable comparing zone_id with Average of pick_time_min is more directly relevant.</t>
        </r>
      </text>
    </comment>
  </commentList>
</comments>
</file>

<file path=xl/sharedStrings.xml><?xml version="1.0" encoding="utf-8"?>
<sst xmlns="http://schemas.openxmlformats.org/spreadsheetml/2006/main" count="16464" uniqueCount="1545">
  <si>
    <t>FlowRack Logistics — Warehouse Efficiency Insight</t>
  </si>
  <si>
    <t>Synthetic practice dataset; findings are illustrative and are not actual FlowRack operational results.</t>
  </si>
  <si>
    <t>Key Finding</t>
  </si>
  <si>
    <t>Evidence from EDA</t>
  </si>
  <si>
    <t>Business Interpretation</t>
  </si>
  <si>
    <t>Suggested Action</t>
  </si>
  <si>
    <t>Overall picking time</t>
  </si>
  <si>
    <t>Average 7.78 min; median 8 min</t>
  </si>
  <si>
    <t>Typical pick record takes about 8 minutes in this synthetic sample</t>
  </si>
  <si>
    <t>Monitor average and median by zone and shift</t>
  </si>
  <si>
    <t>Zone variation</t>
  </si>
  <si>
    <t>Zone G Cold Storage 10.69 min; Zone A Fast-Moving 5.18 min</t>
  </si>
  <si>
    <t>Zone-level averages differ substantially; zone conditions may contribute</t>
  </si>
  <si>
    <t>Review travel path, storage layout, and handling needs in Zone G</t>
  </si>
  <si>
    <t>Experience</t>
  </si>
  <si>
    <t>Beginner 9.57 min; Experienced 6.74 min</t>
  </si>
  <si>
    <t>Beginner records have longer average pick times</t>
  </si>
  <si>
    <t>Provide onboarding, standard work, and mentoring; avoid assuming causation</t>
  </si>
  <si>
    <t>Shift</t>
  </si>
  <si>
    <t>Evening 8.65 min; Morning 7.34 min</t>
  </si>
  <si>
    <t>Evening shift has the highest average among named shifts</t>
  </si>
  <si>
    <t>Review staffing, workload mix, and handover practices</t>
  </si>
  <si>
    <t>Order size</t>
  </si>
  <si>
    <t>Small 7.56 min; Large 8.01 min</t>
  </si>
  <si>
    <t>Average difference by size group is modest in this dataset</t>
  </si>
  <si>
    <t>Evaluate total order completion time as well as per-pick time</t>
  </si>
  <si>
    <t>Category</t>
  </si>
  <si>
    <t>Fragile Goods 8.08 min; Bulk Materials 7.53 min</t>
  </si>
  <si>
    <t>Handling requirements may differ by category</t>
  </si>
  <si>
    <t>Review fragile-item handling steps and packaging process</t>
  </si>
  <si>
    <t>Hourly workload</t>
  </si>
  <si>
    <t>Highest count: 61 picks started at 13:00</t>
  </si>
  <si>
    <t>This is a workload proxy, not a direct measure of queue length</t>
  </si>
  <si>
    <t>Check queue-entry/wait timestamps before making queue claims</t>
  </si>
  <si>
    <t>Data quality</t>
  </si>
  <si>
    <t>Unknown shift: 157 records; Unknown experience: 233 records</t>
  </si>
  <si>
    <t>Missing labels limit the confidence of comparisons</t>
  </si>
  <si>
    <t>Improve master-data completeness and validation rules</t>
  </si>
  <si>
    <t>order_id</t>
  </si>
  <si>
    <t>(All)</t>
  </si>
  <si>
    <t>Count of size</t>
  </si>
  <si>
    <t>Column Labels</t>
  </si>
  <si>
    <t>Row Labels</t>
  </si>
  <si>
    <t>P000001</t>
  </si>
  <si>
    <t>P000002</t>
  </si>
  <si>
    <t>P000003</t>
  </si>
  <si>
    <t>P000004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</si>
  <si>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</si>
  <si>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</si>
  <si>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</si>
  <si>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</si>
  <si>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</si>
  <si>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</si>
  <si>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</si>
  <si>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</si>
  <si>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P000015</t>
  </si>
  <si>
    <t>P000016</t>
  </si>
  <si>
    <t>P000017</t>
  </si>
  <si>
    <t>P000018</t>
  </si>
  <si>
    <t>P000019</t>
  </si>
  <si>
    <t>P000020</t>
  </si>
  <si>
    <t>P000022</t>
  </si>
  <si>
    <t>P000023</t>
  </si>
  <si>
    <t>P000024</t>
  </si>
  <si>
    <t>P000025</t>
  </si>
  <si>
    <t>P000026</t>
  </si>
  <si>
    <t>P000028</t>
  </si>
  <si>
    <t>P000029</t>
  </si>
  <si>
    <t>P000030</t>
  </si>
  <si>
    <t>P000031</t>
  </si>
  <si>
    <t>P000032</t>
  </si>
  <si>
    <t>P000034</t>
  </si>
  <si>
    <t>P000035</t>
  </si>
  <si>
    <t>P000037</t>
  </si>
  <si>
    <t>P000038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</si>
  <si>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</si>
  <si>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</si>
  <si>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</si>
  <si>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</si>
  <si>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</si>
  <si>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</si>
  <si>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</si>
  <si>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</si>
  <si>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</si>
  <si>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</si>
  <si>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</si>
  <si>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</si>
  <si>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</si>
  <si>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</si>
  <si>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</si>
  <si>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</si>
  <si>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</si>
  <si>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</si>
  <si>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</si>
  <si>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</si>
  <si>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</si>
  <si>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</si>
  <si>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</si>
  <si>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</si>
  <si>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</si>
  <si>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</si>
  <si>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P000068</t>
  </si>
  <si>
    <t>P000069</t>
  </si>
  <si>
    <t>P000070</t>
  </si>
  <si>
    <t>P000071</t>
  </si>
  <si>
    <t>P000073</t>
  </si>
  <si>
    <t>P000074</t>
  </si>
  <si>
    <t>P000075</t>
  </si>
  <si>
    <t>P000076</t>
  </si>
  <si>
    <t>P000077</t>
  </si>
  <si>
    <t>P000079</t>
  </si>
  <si>
    <t>P000080</t>
  </si>
  <si>
    <t>P000081</t>
  </si>
  <si>
    <t>P000082</t>
  </si>
  <si>
    <t>P000083</t>
  </si>
  <si>
    <t>P000085</t>
  </si>
  <si>
    <t>P000086</t>
  </si>
  <si>
    <t>P000088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</si>
  <si>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</si>
  <si>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</si>
  <si>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</si>
  <si>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</si>
  <si>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</si>
  <si>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</si>
  <si>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</si>
  <si>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</si>
  <si>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</si>
  <si>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</si>
  <si>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</si>
  <si>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</si>
  <si>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</si>
  <si>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</si>
  <si>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</si>
  <si>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</si>
  <si>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</si>
  <si>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</si>
  <si>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</si>
  <si>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</si>
  <si>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</si>
  <si>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</si>
  <si>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P000113</t>
  </si>
  <si>
    <t>P000114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</si>
  <si>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</si>
  <si>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</si>
  <si>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</si>
  <si>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</si>
  <si>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</si>
  <si>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</si>
  <si>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</si>
  <si>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</si>
  <si>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</si>
  <si>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</si>
  <si>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</si>
  <si>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</si>
  <si>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</si>
  <si>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</si>
  <si>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</si>
  <si>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</si>
  <si>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</si>
  <si>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</si>
  <si>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</si>
  <si>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</si>
  <si>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</si>
  <si>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</si>
  <si>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</si>
  <si>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</si>
  <si>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</si>
  <si>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</si>
  <si>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</si>
  <si>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</si>
  <si>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</si>
  <si>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</si>
  <si>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</si>
  <si>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</si>
  <si>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</si>
  <si>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</si>
  <si>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</si>
  <si>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</si>
  <si>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</si>
  <si>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</si>
  <si>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</si>
  <si>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</si>
  <si>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</si>
  <si>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</si>
  <si>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P000162</t>
  </si>
  <si>
    <t>P000163</t>
  </si>
  <si>
    <t>P000164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</si>
  <si>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</si>
  <si>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</si>
  <si>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</si>
  <si>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</si>
  <si>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</si>
  <si>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</si>
  <si>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</si>
  <si>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</si>
  <si>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</si>
  <si>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</si>
  <si>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</si>
  <si>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</si>
  <si>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</si>
  <si>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</si>
  <si>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</si>
  <si>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</si>
  <si>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</si>
  <si>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</si>
  <si>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</si>
  <si>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</si>
  <si>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</si>
  <si>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</si>
  <si>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</si>
  <si>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</si>
  <si>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P000191</t>
  </si>
  <si>
    <t>P000192</t>
  </si>
  <si>
    <t>P000193</t>
  </si>
  <si>
    <t>P000195</t>
  </si>
  <si>
    <t>P000196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</si>
  <si>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</si>
  <si>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</si>
  <si>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</si>
  <si>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</si>
  <si>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</si>
  <si>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</si>
  <si>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</si>
  <si>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</si>
  <si>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</si>
  <si>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</si>
  <si>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</si>
  <si>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</si>
  <si>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</si>
  <si>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</si>
  <si>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</si>
  <si>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</si>
  <si>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</si>
  <si>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</si>
  <si>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</si>
  <si>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</si>
  <si>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</si>
  <si>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</si>
  <si>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</si>
  <si>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</si>
  <si>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</si>
  <si>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</si>
  <si>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</si>
  <si>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</si>
  <si>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</si>
  <si>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</si>
  <si>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</si>
  <si>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</si>
  <si>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</si>
  <si>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</si>
  <si>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</si>
  <si>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</si>
  <si>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</si>
  <si>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</si>
  <si>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</si>
  <si>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</si>
  <si>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</si>
  <si>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</si>
  <si>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</si>
  <si>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</si>
  <si>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</si>
  <si>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</si>
  <si>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</si>
  <si>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</si>
  <si>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</si>
  <si>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</si>
  <si>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</si>
  <si>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</si>
  <si>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</si>
  <si>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</si>
  <si>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</si>
  <si>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</si>
  <si>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</si>
  <si>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</si>
  <si>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</si>
  <si>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</si>
  <si>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</si>
  <si>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</si>
  <si>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</si>
  <si>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</si>
  <si>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</si>
  <si>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</si>
  <si>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</si>
  <si>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</si>
  <si>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</si>
  <si>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</si>
  <si>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</si>
  <si>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</si>
  <si>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</si>
  <si>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</si>
  <si>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</si>
  <si>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</si>
  <si>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</si>
  <si>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</si>
  <si>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</si>
  <si>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</si>
  <si>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</si>
  <si>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</si>
  <si>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</si>
  <si>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</si>
  <si>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</si>
  <si>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</si>
  <si>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</si>
  <si>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</si>
  <si>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</si>
  <si>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</si>
  <si>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</si>
  <si>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</si>
  <si>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</si>
  <si>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</si>
  <si>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</si>
  <si>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</si>
  <si>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</si>
  <si>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</si>
  <si>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</si>
  <si>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</si>
  <si>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</si>
  <si>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</si>
  <si>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</si>
  <si>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</si>
  <si>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</si>
  <si>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</si>
  <si>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</si>
  <si>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</si>
  <si>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</si>
  <si>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</si>
  <si>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</si>
  <si>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</si>
  <si>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</si>
  <si>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P000319</t>
  </si>
  <si>
    <t>P000320</t>
  </si>
  <si>
    <t>P000321</t>
  </si>
  <si>
    <t>P000322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</si>
  <si>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</si>
  <si>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</si>
  <si>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</si>
  <si>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</si>
  <si>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</si>
  <si>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</si>
  <si>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</si>
  <si>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</si>
  <si>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</si>
  <si>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</si>
  <si>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</si>
  <si>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P000336</t>
  </si>
  <si>
    <t>P000338</t>
  </si>
  <si>
    <t>P000339</t>
  </si>
  <si>
    <t>P000340</t>
  </si>
  <si>
    <t>P000341</t>
  </si>
  <si>
    <t>P000342</t>
  </si>
  <si>
    <t>P000343</t>
  </si>
  <si>
    <t>P000345</t>
  </si>
  <si>
    <t>P000346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</si>
  <si>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</si>
  <si>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</si>
  <si>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</si>
  <si>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</si>
  <si>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</si>
  <si>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</si>
  <si>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</si>
  <si>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</si>
  <si>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</si>
  <si>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</si>
  <si>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</si>
  <si>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</si>
  <si>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</si>
  <si>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</si>
  <si>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</si>
  <si>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</si>
  <si>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</si>
  <si>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</si>
  <si>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</si>
  <si>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</si>
  <si>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</si>
  <si>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</si>
  <si>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</si>
  <si>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</si>
  <si>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</si>
  <si>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</si>
  <si>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</si>
  <si>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</si>
  <si>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</si>
  <si>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</si>
  <si>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</si>
  <si>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</si>
  <si>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</si>
  <si>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</si>
  <si>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</si>
  <si>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</si>
  <si>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</si>
  <si>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</si>
  <si>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</si>
  <si>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</si>
  <si>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</si>
  <si>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</si>
  <si>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</si>
  <si>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</si>
  <si>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</si>
  <si>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</si>
  <si>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</si>
  <si>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</si>
  <si>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</si>
  <si>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</si>
  <si>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</si>
  <si>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</si>
  <si>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</si>
  <si>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</si>
  <si>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</si>
  <si>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</si>
  <si>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</si>
  <si>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</si>
  <si>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</si>
  <si>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</si>
  <si>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</si>
  <si>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</si>
  <si>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</si>
  <si>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</si>
  <si>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</si>
  <si>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</si>
  <si>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</si>
  <si>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</si>
  <si>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</si>
  <si>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</si>
  <si>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</si>
  <si>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</si>
  <si>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</si>
  <si>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</si>
  <si>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</si>
  <si>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</si>
  <si>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P000430</t>
  </si>
  <si>
    <t>P000432</t>
  </si>
  <si>
    <t>P000433</t>
  </si>
  <si>
    <t>P000434</t>
  </si>
  <si>
    <t>P000435</t>
  </si>
  <si>
    <t>P000436</t>
  </si>
  <si>
    <t>P000437</t>
  </si>
  <si>
    <t>P000438</t>
  </si>
  <si>
    <t>P000440</t>
  </si>
  <si>
    <t>P000441</t>
  </si>
  <si>
    <t>P000442</t>
  </si>
  <si>
    <t>P000443</t>
  </si>
  <si>
    <t>P000444</t>
  </si>
  <si>
    <t>P000445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</si>
  <si>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</si>
  <si>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</si>
  <si>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</si>
  <si>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</si>
  <si>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</si>
  <si>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</si>
  <si>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</si>
  <si>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</si>
  <si>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</si>
  <si>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</si>
  <si>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</si>
  <si>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</si>
  <si>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</si>
  <si>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</si>
  <si>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</si>
  <si>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P000464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</si>
  <si>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</si>
  <si>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</si>
  <si>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</si>
  <si>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</si>
  <si>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</si>
  <si>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</si>
  <si>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</si>
  <si>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</si>
  <si>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</si>
  <si>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</si>
  <si>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</si>
  <si>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</si>
  <si>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</si>
  <si>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</si>
  <si>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P000483</t>
  </si>
  <si>
    <t>P000484</t>
  </si>
  <si>
    <t>P000485</t>
  </si>
  <si>
    <t>P000486</t>
  </si>
  <si>
    <t>P000488</t>
  </si>
  <si>
    <t>P000489</t>
  </si>
  <si>
    <t>P000490</t>
  </si>
  <si>
    <t>P000491</t>
  </si>
  <si>
    <t>P000492</t>
  </si>
  <si>
    <t>P000493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</si>
  <si>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</si>
  <si>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</si>
  <si>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</si>
  <si>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</si>
  <si>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</si>
  <si>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</si>
  <si>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</si>
  <si>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</si>
  <si>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</si>
  <si>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</si>
  <si>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</si>
  <si>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</si>
  <si>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</si>
  <si>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</si>
  <si>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</si>
  <si>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</si>
  <si>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</si>
  <si>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</si>
  <si>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</si>
  <si>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</si>
  <si>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</si>
  <si>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</si>
  <si>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</si>
  <si>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</si>
  <si>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</si>
  <si>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</si>
  <si>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</si>
  <si>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</si>
  <si>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</si>
  <si>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</si>
  <si>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</si>
  <si>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</si>
  <si>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</si>
  <si>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</si>
  <si>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</si>
  <si>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P000532</t>
  </si>
  <si>
    <t>P000533</t>
  </si>
  <si>
    <t>P000534</t>
  </si>
  <si>
    <t>P000535</t>
  </si>
  <si>
    <t>P000536</t>
  </si>
  <si>
    <t>P000537</t>
  </si>
  <si>
    <t>P000538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</si>
  <si>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</si>
  <si>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</si>
  <si>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</si>
  <si>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</si>
  <si>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</si>
  <si>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</si>
  <si>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</si>
  <si>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</si>
  <si>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</si>
  <si>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</si>
  <si>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</si>
  <si>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</si>
  <si>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</si>
  <si>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</si>
  <si>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</si>
  <si>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P000556</t>
  </si>
  <si>
    <t>P000557</t>
  </si>
  <si>
    <t>P000558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</si>
  <si>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</si>
  <si>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</si>
  <si>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</si>
  <si>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</si>
  <si>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</si>
  <si>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</si>
  <si>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</si>
  <si>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</si>
  <si>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</si>
  <si>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P000570</t>
  </si>
  <si>
    <t>P000571</t>
  </si>
  <si>
    <t>P000572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</si>
  <si>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</si>
  <si>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</si>
  <si>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</si>
  <si>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</si>
  <si>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</si>
  <si>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</si>
  <si>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</si>
  <si>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</si>
  <si>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</si>
  <si>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P000584</t>
  </si>
  <si>
    <t>P000585</t>
  </si>
  <si>
    <t>P000586</t>
  </si>
  <si>
    <t>P000587</t>
  </si>
  <si>
    <t>P000588</t>
  </si>
  <si>
    <t>P000590</t>
  </si>
  <si>
    <t>P000591</t>
  </si>
  <si>
    <t>P000592</t>
  </si>
  <si>
    <t>P000593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</si>
  <si>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</si>
  <si>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</si>
  <si>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</si>
  <si>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</si>
  <si>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</si>
  <si>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</si>
  <si>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</si>
  <si>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</si>
  <si>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</si>
  <si>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</si>
  <si>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</si>
  <si>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</si>
  <si>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</si>
  <si>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</si>
  <si>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</si>
  <si>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P000611</t>
  </si>
  <si>
    <t>P000612</t>
  </si>
  <si>
    <t>P000613</t>
  </si>
  <si>
    <t>P000614</t>
  </si>
  <si>
    <t>P000615</t>
  </si>
  <si>
    <t>P000616</t>
  </si>
  <si>
    <t>P000617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</si>
  <si>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</si>
  <si>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</si>
  <si>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</si>
  <si>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</si>
  <si>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</si>
  <si>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</si>
  <si>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</si>
  <si>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</si>
  <si>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</si>
  <si>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</si>
  <si>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</si>
  <si>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</si>
  <si>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</si>
  <si>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</si>
  <si>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</si>
  <si>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P000635</t>
  </si>
  <si>
    <t>P000636</t>
  </si>
  <si>
    <t>P000637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</si>
  <si>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</si>
  <si>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</si>
  <si>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</si>
  <si>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</si>
  <si>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</si>
  <si>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</si>
  <si>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</si>
  <si>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</si>
  <si>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</si>
  <si>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</si>
  <si>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P000650</t>
  </si>
  <si>
    <t>P000651</t>
  </si>
  <si>
    <t>P000652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</si>
  <si>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</si>
  <si>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</si>
  <si>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</si>
  <si>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</si>
  <si>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</si>
  <si>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</si>
  <si>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</si>
  <si>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</si>
  <si>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</si>
  <si>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</si>
  <si>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</si>
  <si>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</si>
  <si>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</si>
  <si>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</si>
  <si>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</si>
  <si>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</si>
  <si>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P000672</t>
  </si>
  <si>
    <t>P000673</t>
  </si>
  <si>
    <t>P000674</t>
  </si>
  <si>
    <t>P000675</t>
  </si>
  <si>
    <t>P000677</t>
  </si>
  <si>
    <t>P000678</t>
  </si>
  <si>
    <t>P000679</t>
  </si>
  <si>
    <t>P000681</t>
  </si>
  <si>
    <t>P000682</t>
  </si>
  <si>
    <t>P000683</t>
  </si>
  <si>
    <t>P000684</t>
  </si>
  <si>
    <t>P000685</t>
  </si>
  <si>
    <t>P000686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</si>
  <si>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</si>
  <si>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</si>
  <si>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</si>
  <si>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</si>
  <si>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</si>
  <si>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</si>
  <si>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</si>
  <si>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</si>
  <si>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</si>
  <si>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</si>
  <si>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</si>
  <si>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</si>
  <si>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</si>
  <si>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</si>
  <si>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</si>
  <si>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P000704</t>
  </si>
  <si>
    <t>P000705</t>
  </si>
  <si>
    <t>P000706</t>
  </si>
  <si>
    <t>P000707</t>
  </si>
  <si>
    <t>P000708</t>
  </si>
  <si>
    <t>P000709</t>
  </si>
  <si>
    <t>P000710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</si>
  <si>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</si>
  <si>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</si>
  <si>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</si>
  <si>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</si>
  <si>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</si>
  <si>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</si>
  <si>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</si>
  <si>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</si>
  <si>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</si>
  <si>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P000722</t>
  </si>
  <si>
    <t>P000723</t>
  </si>
  <si>
    <t>P000725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</si>
  <si>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</si>
  <si>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</si>
  <si>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</si>
  <si>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</si>
  <si>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</si>
  <si>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</si>
  <si>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</si>
  <si>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</si>
  <si>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</si>
  <si>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</si>
  <si>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</si>
  <si>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</si>
  <si>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</si>
  <si>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</si>
  <si>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</si>
  <si>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</si>
  <si>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</si>
  <si>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</si>
  <si>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</si>
  <si>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</si>
  <si>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</si>
  <si>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</si>
  <si>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</si>
  <si>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</si>
  <si>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</si>
  <si>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</si>
  <si>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</si>
  <si>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</si>
  <si>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</si>
  <si>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</si>
  <si>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</si>
  <si>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</si>
  <si>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</si>
  <si>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</si>
  <si>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</si>
  <si>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</si>
  <si>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</si>
  <si>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</si>
  <si>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P000769</t>
  </si>
  <si>
    <t>P000770</t>
  </si>
  <si>
    <t>P000771</t>
  </si>
  <si>
    <t>P000774</t>
  </si>
  <si>
    <t>P000776</t>
  </si>
  <si>
    <t>P000777</t>
  </si>
  <si>
    <t>P000778</t>
  </si>
  <si>
    <t>P000779</t>
  </si>
  <si>
    <t>P000781</t>
  </si>
  <si>
    <t>P000782</t>
  </si>
  <si>
    <t>P000783</t>
  </si>
  <si>
    <t>P000784</t>
  </si>
  <si>
    <t>P000785</t>
  </si>
  <si>
    <t>P000786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</si>
  <si>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</si>
  <si>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</si>
  <si>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</si>
  <si>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</si>
  <si>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</si>
  <si>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</si>
  <si>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</si>
  <si>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</si>
  <si>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</si>
  <si>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</si>
  <si>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</si>
  <si>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</si>
  <si>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</si>
  <si>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</si>
  <si>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P000803</t>
  </si>
  <si>
    <t>P000804</t>
  </si>
  <si>
    <t>P000806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</si>
  <si>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</si>
  <si>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</si>
  <si>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</si>
  <si>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</si>
  <si>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</si>
  <si>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</si>
  <si>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</si>
  <si>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</si>
  <si>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</si>
  <si>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</si>
  <si>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</si>
  <si>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P000820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</si>
  <si>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</si>
  <si>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</si>
  <si>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</si>
  <si>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</si>
  <si>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</si>
  <si>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</si>
  <si>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</si>
  <si>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</si>
  <si>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</si>
  <si>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P000832</t>
  </si>
  <si>
    <t>P000833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</si>
  <si>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</si>
  <si>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</si>
  <si>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</si>
  <si>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</si>
  <si>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</si>
  <si>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</si>
  <si>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</si>
  <si>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</si>
  <si>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</si>
  <si>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</si>
  <si>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</si>
  <si>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</si>
  <si>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</si>
  <si>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</si>
  <si>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</si>
  <si>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</si>
  <si>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</si>
  <si>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</si>
  <si>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</si>
  <si>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</si>
  <si>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</si>
  <si>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</si>
  <si>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</si>
  <si>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</si>
  <si>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</si>
  <si>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</si>
  <si>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</si>
  <si>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</si>
  <si>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</si>
  <si>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</si>
  <si>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</si>
  <si>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</si>
  <si>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</si>
  <si>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</si>
  <si>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</si>
  <si>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P000872</t>
  </si>
  <si>
    <t>P000873</t>
  </si>
  <si>
    <t>P000874</t>
  </si>
  <si>
    <t>P000875</t>
  </si>
  <si>
    <t>P000876</t>
  </si>
  <si>
    <t>P000877</t>
  </si>
  <si>
    <t>P000878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</si>
  <si>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</si>
  <si>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</si>
  <si>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</si>
  <si>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</si>
  <si>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</si>
  <si>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</si>
  <si>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</si>
  <si>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</si>
  <si>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</si>
  <si>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</si>
  <si>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</si>
  <si>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</si>
  <si>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</si>
  <si>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</si>
  <si>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</si>
  <si>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</si>
  <si>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</si>
  <si>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</si>
  <si>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</si>
  <si>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</si>
  <si>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</si>
  <si>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</si>
  <si>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</si>
  <si>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</si>
  <si>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</si>
  <si>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</si>
  <si>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</si>
  <si>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</si>
  <si>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</si>
  <si>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</si>
  <si>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P000911</t>
  </si>
  <si>
    <t>P000912</t>
  </si>
  <si>
    <t>P000915</t>
  </si>
  <si>
    <t>P000916</t>
  </si>
  <si>
    <t>P000917</t>
  </si>
  <si>
    <t>P000919</t>
  </si>
  <si>
    <t>P000920</t>
  </si>
  <si>
    <t>P000921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</si>
  <si>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</si>
  <si>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</si>
  <si>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</si>
  <si>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</si>
  <si>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</si>
  <si>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</si>
  <si>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</si>
  <si>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</si>
  <si>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</si>
  <si>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</si>
  <si>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</si>
  <si>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</si>
  <si>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</si>
  <si>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</si>
  <si>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</si>
  <si>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</si>
  <si>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</si>
  <si>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</si>
  <si>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</si>
  <si>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</si>
  <si>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</si>
  <si>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</si>
  <si>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</si>
  <si>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</si>
  <si>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</si>
  <si>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</si>
  <si>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</si>
  <si>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P000952</t>
  </si>
  <si>
    <t>P000953</t>
  </si>
  <si>
    <t>P000954</t>
  </si>
  <si>
    <t>P000955</t>
  </si>
  <si>
    <t>P000956</t>
  </si>
  <si>
    <t>P000957</t>
  </si>
  <si>
    <t>P000958</t>
  </si>
  <si>
    <t>P000960</t>
  </si>
  <si>
    <t>P000961</t>
  </si>
  <si>
    <t>P000962</t>
  </si>
  <si>
    <t>P000963</t>
  </si>
  <si>
    <t>P000964</t>
  </si>
  <si>
    <t>P000967</t>
  </si>
  <si>
    <t>P000968</t>
  </si>
  <si>
    <t>P000969</t>
  </si>
  <si>
    <t>P000970</t>
  </si>
  <si>
    <t>P000971</t>
  </si>
  <si>
    <t>P000973</t>
  </si>
  <si>
    <t>P000974</t>
  </si>
  <si>
    <t>P000976</t>
  </si>
  <si>
    <t>P000977</t>
  </si>
  <si>
    <t>P000978</t>
  </si>
  <si>
    <t>P000979</t>
  </si>
  <si>
    <t>P000981</t>
  </si>
  <si>
    <t>P000982</t>
  </si>
  <si>
    <t>P000983</t>
  </si>
  <si>
    <t>P000984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</si>
  <si>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</si>
  <si>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</si>
  <si>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</si>
  <si>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</si>
  <si>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</si>
  <si>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</si>
  <si>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</si>
  <si>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</si>
  <si>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</si>
  <si>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</si>
  <si>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</si>
  <si>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</si>
  <si>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</si>
  <si>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</si>
  <si>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</si>
  <si>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P001003</t>
  </si>
  <si>
    <t>P001004</t>
  </si>
  <si>
    <t>P001005</t>
  </si>
  <si>
    <t>P001006</t>
  </si>
  <si>
    <t>P001007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</si>
  <si>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</si>
  <si>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</si>
  <si>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</si>
  <si>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</si>
  <si>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</si>
  <si>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</si>
  <si>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</si>
  <si>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</si>
  <si>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</si>
  <si>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</si>
  <si>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</si>
  <si>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</si>
  <si>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</si>
  <si>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</si>
  <si>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</si>
  <si>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</si>
  <si>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</si>
  <si>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</si>
  <si>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</si>
  <si>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</si>
  <si>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</si>
  <si>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</si>
  <si>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</si>
  <si>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P001033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</si>
  <si>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</si>
  <si>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</si>
  <si>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</si>
  <si>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</si>
  <si>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</si>
  <si>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</si>
  <si>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</si>
  <si>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</si>
  <si>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</si>
  <si>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</si>
  <si>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</si>
  <si>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</si>
  <si>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</si>
  <si>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</si>
  <si>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</si>
  <si>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</si>
  <si>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</si>
  <si>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</si>
  <si>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</si>
  <si>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</si>
  <si>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</si>
  <si>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</si>
  <si>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</si>
  <si>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</si>
  <si>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</si>
  <si>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</si>
  <si>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</si>
  <si>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</si>
  <si>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</si>
  <si>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</si>
  <si>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</si>
  <si>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</si>
  <si>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</si>
  <si>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</si>
  <si>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</si>
  <si>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</si>
  <si>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</si>
  <si>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</si>
  <si>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</si>
  <si>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</si>
  <si>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P001077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</si>
  <si>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</si>
  <si>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</si>
  <si>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</si>
  <si>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</si>
  <si>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</si>
  <si>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</si>
  <si>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</si>
  <si>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</si>
  <si>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</si>
  <si>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</si>
  <si>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P001090</t>
  </si>
  <si>
    <t>P001091</t>
  </si>
  <si>
    <t>P001092</t>
  </si>
  <si>
    <t>P001093</t>
  </si>
  <si>
    <t>P001094</t>
  </si>
  <si>
    <t>P001096</t>
  </si>
  <si>
    <t>P001097</t>
  </si>
  <si>
    <t>P001098</t>
  </si>
  <si>
    <t>P001099</t>
  </si>
  <si>
    <t>P001100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</si>
  <si>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</si>
  <si>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</si>
  <si>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</si>
  <si>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</si>
  <si>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</si>
  <si>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</si>
  <si>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</si>
  <si>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</si>
  <si>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</si>
  <si>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</si>
  <si>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</si>
  <si>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P001114</t>
  </si>
  <si>
    <t>P001115</t>
  </si>
  <si>
    <t>P001116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</si>
  <si>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</si>
  <si>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</si>
  <si>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</si>
  <si>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</si>
  <si>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</si>
  <si>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</si>
  <si>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</si>
  <si>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</si>
  <si>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</si>
  <si>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</si>
  <si>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</si>
  <si>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</si>
  <si>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</si>
  <si>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</si>
  <si>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</si>
  <si>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</si>
  <si>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</si>
  <si>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P001136</t>
  </si>
  <si>
    <t>P001137</t>
  </si>
  <si>
    <t>P001138</t>
  </si>
  <si>
    <t>P001139</t>
  </si>
  <si>
    <t>P001140</t>
  </si>
  <si>
    <t>Grand Total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</si>
  <si>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</si>
  <si>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</si>
  <si>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</si>
  <si>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</si>
  <si>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</si>
  <si>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</si>
  <si>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</si>
  <si>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</si>
  <si>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</si>
  <si>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</si>
  <si>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</si>
  <si>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</si>
  <si>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</si>
  <si>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</si>
  <si>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</si>
  <si>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</si>
  <si>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</si>
  <si>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</si>
  <si>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</si>
  <si>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</si>
  <si>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</si>
  <si>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</si>
  <si>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</si>
  <si>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</si>
  <si>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</si>
  <si>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</si>
  <si>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</si>
  <si>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</si>
  <si>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</si>
  <si>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</si>
  <si>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</si>
  <si>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</si>
  <si>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pick_id</t>
  </si>
  <si>
    <t>picker_id</t>
  </si>
  <si>
    <t>zone_id</t>
  </si>
  <si>
    <t>item_id</t>
  </si>
  <si>
    <t>start_time</t>
  </si>
  <si>
    <t>finish_time</t>
  </si>
  <si>
    <t>quantity</t>
  </si>
  <si>
    <t>pick_time_min</t>
  </si>
  <si>
    <t>missing_timestamp</t>
  </si>
  <si>
    <t>negative_duration</t>
  </si>
  <si>
    <t>invalid_quantity</t>
  </si>
  <si>
    <t>item_count</t>
  </si>
  <si>
    <t>priority</t>
  </si>
  <si>
    <t>order_timestamp</t>
  </si>
  <si>
    <t>item_count_missing</t>
  </si>
  <si>
    <t>category</t>
  </si>
  <si>
    <t>size</t>
  </si>
  <si>
    <t>storage_class</t>
  </si>
  <si>
    <t>shift</t>
  </si>
  <si>
    <t>experience_band</t>
  </si>
  <si>
    <t>zone_type</t>
  </si>
  <si>
    <t>distance_band</t>
  </si>
  <si>
    <t>order_hour</t>
  </si>
  <si>
    <t>order_day</t>
  </si>
  <si>
    <t>order_size_group</t>
  </si>
  <si>
    <t>pick_time_per_unit</t>
  </si>
  <si>
    <t>O00104</t>
  </si>
  <si>
    <t>G</t>
  </si>
  <si>
    <t>I0075</t>
  </si>
  <si>
    <t>Normal</t>
  </si>
  <si>
    <t>Fragile Goods</t>
  </si>
  <si>
    <t>Small</t>
  </si>
  <si>
    <t>Standard</t>
  </si>
  <si>
    <t>Night</t>
  </si>
  <si>
    <t>Beginner</t>
  </si>
  <si>
    <t>Cold Storage</t>
  </si>
  <si>
    <t>Far</t>
  </si>
  <si>
    <t>Tuesday</t>
  </si>
  <si>
    <t>Large (11-20)</t>
  </si>
  <si>
    <t>O00069</t>
  </si>
  <si>
    <t>I0011</t>
  </si>
  <si>
    <t>High</t>
  </si>
  <si>
    <t>Medium</t>
  </si>
  <si>
    <t>Climate-Controlled</t>
  </si>
  <si>
    <t>Sunday</t>
  </si>
  <si>
    <t>Medium (6-10)</t>
  </si>
  <si>
    <t>O00196</t>
  </si>
  <si>
    <t>B</t>
  </si>
  <si>
    <t>I0045</t>
  </si>
  <si>
    <t>Apparel</t>
  </si>
  <si>
    <t>Large</t>
  </si>
  <si>
    <t>Evening</t>
  </si>
  <si>
    <t>Bulk Storage</t>
  </si>
  <si>
    <t>Friday</t>
  </si>
  <si>
    <t>O00101</t>
  </si>
  <si>
    <t>I0036</t>
  </si>
  <si>
    <t>Unknown</t>
  </si>
  <si>
    <t>Thursday</t>
  </si>
  <si>
    <t>Small (1-5)</t>
  </si>
  <si>
    <t>O00204</t>
  </si>
  <si>
    <t>D</t>
  </si>
  <si>
    <t>I0049</t>
  </si>
  <si>
    <t>Small Parts</t>
  </si>
  <si>
    <t>Fragile</t>
  </si>
  <si>
    <t>O00007</t>
  </si>
  <si>
    <t>I0059</t>
  </si>
  <si>
    <t>Urgent</t>
  </si>
  <si>
    <t>Electronics</t>
  </si>
  <si>
    <t>Bulk</t>
  </si>
  <si>
    <t>O00161</t>
  </si>
  <si>
    <t>I0005</t>
  </si>
  <si>
    <t>O00048</t>
  </si>
  <si>
    <t>Wednesday</t>
  </si>
  <si>
    <t>O00232</t>
  </si>
  <si>
    <t>I0055</t>
  </si>
  <si>
    <t>O00136</t>
  </si>
  <si>
    <t>I0039</t>
  </si>
  <si>
    <t>O00219</t>
  </si>
  <si>
    <t>I0050</t>
  </si>
  <si>
    <t>Low</t>
  </si>
  <si>
    <t>Home Goods</t>
  </si>
  <si>
    <t>O00039</t>
  </si>
  <si>
    <t>I0010</t>
  </si>
  <si>
    <t>Intermediate</t>
  </si>
  <si>
    <t>Saturday</t>
  </si>
  <si>
    <t>O00074</t>
  </si>
  <si>
    <t>I0063</t>
  </si>
  <si>
    <t>O00005</t>
  </si>
  <si>
    <t>O00084</t>
  </si>
  <si>
    <t>I0066</t>
  </si>
  <si>
    <t>Bulk Materials</t>
  </si>
  <si>
    <t>Morning</t>
  </si>
  <si>
    <t>O00081</t>
  </si>
  <si>
    <t>I0028</t>
  </si>
  <si>
    <t>O00116</t>
  </si>
  <si>
    <t>I0037</t>
  </si>
  <si>
    <t>Monday</t>
  </si>
  <si>
    <t>O00042</t>
  </si>
  <si>
    <t>I0068</t>
  </si>
  <si>
    <t>O00029</t>
  </si>
  <si>
    <t>I0056</t>
  </si>
  <si>
    <t>O00130</t>
  </si>
  <si>
    <t>O00206</t>
  </si>
  <si>
    <t>I0060</t>
  </si>
  <si>
    <t>O00208</t>
  </si>
  <si>
    <t>O00092</t>
  </si>
  <si>
    <t>O00077</t>
  </si>
  <si>
    <t>I0021</t>
  </si>
  <si>
    <t>O00260</t>
  </si>
  <si>
    <t>I0058</t>
  </si>
  <si>
    <t>O00071</t>
  </si>
  <si>
    <t>I0069</t>
  </si>
  <si>
    <t>O00059</t>
  </si>
  <si>
    <t>O00018</t>
  </si>
  <si>
    <t>O00155</t>
  </si>
  <si>
    <t>I0062</t>
  </si>
  <si>
    <t>O00108</t>
  </si>
  <si>
    <t>O00047</t>
  </si>
  <si>
    <t>I0017</t>
  </si>
  <si>
    <t>O00146</t>
  </si>
  <si>
    <t>I0078</t>
  </si>
  <si>
    <t>I0033</t>
  </si>
  <si>
    <t>O00011</t>
  </si>
  <si>
    <t>I0027</t>
  </si>
  <si>
    <t>I0065</t>
  </si>
  <si>
    <t>O00159</t>
  </si>
  <si>
    <t>O00002</t>
  </si>
  <si>
    <t>I0019</t>
  </si>
  <si>
    <t>O00258</t>
  </si>
  <si>
    <t>I0025</t>
  </si>
  <si>
    <t>I0022</t>
  </si>
  <si>
    <t>O00178</t>
  </si>
  <si>
    <t>I0029</t>
  </si>
  <si>
    <t>O00250</t>
  </si>
  <si>
    <t>I0024</t>
  </si>
  <si>
    <t>O00251</t>
  </si>
  <si>
    <t>I0002</t>
  </si>
  <si>
    <t>O00098</t>
  </si>
  <si>
    <t>I0040</t>
  </si>
  <si>
    <t>I0052</t>
  </si>
  <si>
    <t>O00037</t>
  </si>
  <si>
    <t>I0073</t>
  </si>
  <si>
    <t>I0051</t>
  </si>
  <si>
    <t>O00085</t>
  </si>
  <si>
    <t>I0034</t>
  </si>
  <si>
    <t>O00041</t>
  </si>
  <si>
    <t>I0007</t>
  </si>
  <si>
    <t>O00120</t>
  </si>
  <si>
    <t>I0043</t>
  </si>
  <si>
    <t>C</t>
  </si>
  <si>
    <t>O00027</t>
  </si>
  <si>
    <t>I0047</t>
  </si>
  <si>
    <t>O00148</t>
  </si>
  <si>
    <t>O00165</t>
  </si>
  <si>
    <t>O00025</t>
  </si>
  <si>
    <t>I0001</t>
  </si>
  <si>
    <t>O00166</t>
  </si>
  <si>
    <t>I0016</t>
  </si>
  <si>
    <t>Experienced</t>
  </si>
  <si>
    <t>O00187</t>
  </si>
  <si>
    <t>I0023</t>
  </si>
  <si>
    <t>O00139</t>
  </si>
  <si>
    <t>O00014</t>
  </si>
  <si>
    <t>O00236</t>
  </si>
  <si>
    <t>I0048</t>
  </si>
  <si>
    <t>O00068</t>
  </si>
  <si>
    <t>F</t>
  </si>
  <si>
    <t>I0012</t>
  </si>
  <si>
    <t>Near</t>
  </si>
  <si>
    <t>O00147</t>
  </si>
  <si>
    <t>I0067</t>
  </si>
  <si>
    <t>O00145</t>
  </si>
  <si>
    <t>I0054</t>
  </si>
  <si>
    <t>O00234</t>
  </si>
  <si>
    <t>O00235</t>
  </si>
  <si>
    <t>O00183</t>
  </si>
  <si>
    <t>I0041</t>
  </si>
  <si>
    <t>O00138</t>
  </si>
  <si>
    <t>I0053</t>
  </si>
  <si>
    <t>O00184</t>
  </si>
  <si>
    <t>O00224</t>
  </si>
  <si>
    <t>O00046</t>
  </si>
  <si>
    <t>O00049</t>
  </si>
  <si>
    <t>I0018</t>
  </si>
  <si>
    <t>O00124</t>
  </si>
  <si>
    <t>I0020</t>
  </si>
  <si>
    <t>O00123</t>
  </si>
  <si>
    <t>O00038</t>
  </si>
  <si>
    <t>O00031</t>
  </si>
  <si>
    <t>O00214</t>
  </si>
  <si>
    <t>O00090</t>
  </si>
  <si>
    <t>H</t>
  </si>
  <si>
    <t>O00221</t>
  </si>
  <si>
    <t>O00209</t>
  </si>
  <si>
    <t>E</t>
  </si>
  <si>
    <t>Fast-Moving</t>
  </si>
  <si>
    <t>O00088</t>
  </si>
  <si>
    <t>O00030</t>
  </si>
  <si>
    <t>I0077</t>
  </si>
  <si>
    <t>O00107</t>
  </si>
  <si>
    <t>I0031</t>
  </si>
  <si>
    <t>O00243</t>
  </si>
  <si>
    <t>O00106</t>
  </si>
  <si>
    <t>I0015</t>
  </si>
  <si>
    <t>O00013</t>
  </si>
  <si>
    <t>I0076</t>
  </si>
  <si>
    <t>I0064</t>
  </si>
  <si>
    <t>O00006</t>
  </si>
  <si>
    <t>O00127</t>
  </si>
  <si>
    <t>O00222</t>
  </si>
  <si>
    <t>I0004</t>
  </si>
  <si>
    <t>O00249</t>
  </si>
  <si>
    <t>I0013</t>
  </si>
  <si>
    <t>O00083</t>
  </si>
  <si>
    <t>O00131</t>
  </si>
  <si>
    <t>O00118</t>
  </si>
  <si>
    <t>I0044</t>
  </si>
  <si>
    <t>O00220</t>
  </si>
  <si>
    <t>I0046</t>
  </si>
  <si>
    <t>O00207</t>
  </si>
  <si>
    <t>I0079</t>
  </si>
  <si>
    <t>O00080</t>
  </si>
  <si>
    <t>O00089</t>
  </si>
  <si>
    <t>I0080</t>
  </si>
  <si>
    <t>O00073</t>
  </si>
  <si>
    <t>O00019</t>
  </si>
  <si>
    <t>O00233</t>
  </si>
  <si>
    <t>O00228</t>
  </si>
  <si>
    <t>I0030</t>
  </si>
  <si>
    <t>O00198</t>
  </si>
  <si>
    <t>O00028</t>
  </si>
  <si>
    <t>O00022</t>
  </si>
  <si>
    <t>I0071</t>
  </si>
  <si>
    <t>O00203</t>
  </si>
  <si>
    <t>O00134</t>
  </si>
  <si>
    <t>O00034</t>
  </si>
  <si>
    <t>O00036</t>
  </si>
  <si>
    <t>O00215</t>
  </si>
  <si>
    <t>O00160</t>
  </si>
  <si>
    <t>O00099</t>
  </si>
  <si>
    <t>O00241</t>
  </si>
  <si>
    <t>O00242</t>
  </si>
  <si>
    <t>O00246</t>
  </si>
  <si>
    <t>I0026</t>
  </si>
  <si>
    <t>O00061</t>
  </si>
  <si>
    <t>O00086</t>
  </si>
  <si>
    <t>O00057</t>
  </si>
  <si>
    <t>I0009</t>
  </si>
  <si>
    <t>O00115</t>
  </si>
  <si>
    <t>O00109</t>
  </si>
  <si>
    <t>A</t>
  </si>
  <si>
    <t>I0014</t>
  </si>
  <si>
    <t>O00163</t>
  </si>
  <si>
    <t>O00181</t>
  </si>
  <si>
    <t>O00182</t>
  </si>
  <si>
    <t>I0072</t>
  </si>
  <si>
    <t>O00190</t>
  </si>
  <si>
    <t>I0070</t>
  </si>
  <si>
    <t>O00063</t>
  </si>
  <si>
    <t>O00172</t>
  </si>
  <si>
    <t>O00173</t>
  </si>
  <si>
    <t>O00070</t>
  </si>
  <si>
    <t>O00186</t>
  </si>
  <si>
    <t>O00185</t>
  </si>
  <si>
    <t>O00162</t>
  </si>
  <si>
    <t>O00212</t>
  </si>
  <si>
    <t>O00210</t>
  </si>
  <si>
    <t>I0003</t>
  </si>
  <si>
    <t>O00033</t>
  </si>
  <si>
    <t>I0035</t>
  </si>
  <si>
    <t>O00213</t>
  </si>
  <si>
    <t>O00103</t>
  </si>
  <si>
    <t>O00095</t>
  </si>
  <si>
    <t>O00256</t>
  </si>
  <si>
    <t>O00252</t>
  </si>
  <si>
    <t>I0032</t>
  </si>
  <si>
    <t>O00245</t>
  </si>
  <si>
    <t>I0038</t>
  </si>
  <si>
    <t>O00125</t>
  </si>
  <si>
    <t>O00079</t>
  </si>
  <si>
    <t>O00201</t>
  </si>
  <si>
    <t>O00180</t>
  </si>
  <si>
    <t>I0057</t>
  </si>
  <si>
    <t>O00200</t>
  </si>
  <si>
    <t>O00188</t>
  </si>
  <si>
    <t>O00137</t>
  </si>
  <si>
    <t>O00191</t>
  </si>
  <si>
    <t>O00192</t>
  </si>
  <si>
    <t>O00045</t>
  </si>
  <si>
    <t>O00199</t>
  </si>
  <si>
    <t>I0008</t>
  </si>
  <si>
    <t>O00119</t>
  </si>
  <si>
    <t>O00149</t>
  </si>
  <si>
    <t>O00110</t>
  </si>
  <si>
    <t>I0074</t>
  </si>
  <si>
    <t>O00117</t>
  </si>
  <si>
    <t>O00015</t>
  </si>
  <si>
    <t>O00167</t>
  </si>
  <si>
    <t>O00016</t>
  </si>
  <si>
    <t>O00239</t>
  </si>
  <si>
    <t>O00066</t>
  </si>
  <si>
    <t>O00067</t>
  </si>
  <si>
    <t>O00153</t>
  </si>
  <si>
    <t>O00171</t>
  </si>
  <si>
    <t>O00094</t>
  </si>
  <si>
    <t>O00096</t>
  </si>
  <si>
    <t>O00097</t>
  </si>
  <si>
    <t>O00248</t>
  </si>
  <si>
    <t>O00154</t>
  </si>
  <si>
    <t>I0061</t>
  </si>
  <si>
    <t>O00179</t>
  </si>
  <si>
    <t>O00164</t>
  </si>
  <si>
    <t>O00177</t>
  </si>
  <si>
    <t>O00152</t>
  </si>
  <si>
    <t>O00075</t>
  </si>
  <si>
    <t>O00197</t>
  </si>
  <si>
    <t>O00142</t>
  </si>
  <si>
    <t>O00082</t>
  </si>
  <si>
    <t>O00044</t>
  </si>
  <si>
    <t>O00133</t>
  </si>
  <si>
    <t>O00040</t>
  </si>
  <si>
    <t>O00129</t>
  </si>
  <si>
    <t>O00218</t>
  </si>
  <si>
    <t>O00032</t>
  </si>
  <si>
    <t>O00225</t>
  </si>
  <si>
    <t>O00226</t>
  </si>
  <si>
    <t>O00227</t>
  </si>
  <si>
    <t>O00237</t>
  </si>
  <si>
    <t>O00231</t>
  </si>
  <si>
    <t>I0006</t>
  </si>
  <si>
    <t>O00017</t>
  </si>
  <si>
    <t>O00100</t>
  </si>
  <si>
    <t>O00238</t>
  </si>
  <si>
    <t>O00240</t>
  </si>
  <si>
    <t>O00012</t>
  </si>
  <si>
    <t>O00001</t>
  </si>
  <si>
    <t>O00175</t>
  </si>
  <si>
    <t>O00259</t>
  </si>
  <si>
    <t>O00170</t>
  </si>
  <si>
    <t>O00054</t>
  </si>
  <si>
    <t>O00112</t>
  </si>
  <si>
    <t>O00111</t>
  </si>
  <si>
    <t>O00056</t>
  </si>
  <si>
    <t>O00055</t>
  </si>
  <si>
    <t>O00065</t>
  </si>
  <si>
    <t>O00064</t>
  </si>
  <si>
    <t>O00194</t>
  </si>
  <si>
    <t>O00193</t>
  </si>
  <si>
    <t>O00157</t>
  </si>
  <si>
    <t>O00122</t>
  </si>
  <si>
    <t>O00230</t>
  </si>
  <si>
    <t>O00052</t>
  </si>
  <si>
    <t>O00072</t>
  </si>
  <si>
    <t>O00202</t>
  </si>
  <si>
    <t>O00150</t>
  </si>
  <si>
    <t>O00076</t>
  </si>
  <si>
    <t>O00141</t>
  </si>
  <si>
    <t>O00140</t>
  </si>
  <si>
    <t>O00126</t>
  </si>
  <si>
    <t>O00078</t>
  </si>
  <si>
    <t>O00132</t>
  </si>
  <si>
    <t>O00247</t>
  </si>
  <si>
    <t>O00244</t>
  </si>
  <si>
    <t>O00058</t>
  </si>
  <si>
    <t>I0042</t>
  </si>
  <si>
    <t>O00102</t>
  </si>
  <si>
    <t>O00105</t>
  </si>
  <si>
    <t>O00135</t>
  </si>
  <si>
    <t>O00043</t>
  </si>
  <si>
    <t>O00143</t>
  </si>
  <si>
    <t>O00087</t>
  </si>
  <si>
    <t>O00223</t>
  </si>
  <si>
    <t>O00053</t>
  </si>
  <si>
    <t>O00229</t>
  </si>
  <si>
    <t>O00156</t>
  </si>
  <si>
    <t>O00189</t>
  </si>
  <si>
    <t>O00021</t>
  </si>
  <si>
    <t>O00024</t>
  </si>
  <si>
    <t>O00091</t>
  </si>
  <si>
    <t>O00113</t>
  </si>
  <si>
    <t>O00060</t>
  </si>
  <si>
    <t>O00168</t>
  </si>
  <si>
    <t>O00009</t>
  </si>
  <si>
    <t>O00253</t>
  </si>
  <si>
    <t>O00254</t>
  </si>
  <si>
    <t>O00174</t>
  </si>
  <si>
    <t>O00062</t>
  </si>
  <si>
    <t>O00004</t>
  </si>
  <si>
    <t>O00093</t>
  </si>
  <si>
    <t>O00114</t>
  </si>
  <si>
    <t>O00023</t>
  </si>
  <si>
    <t>O00026</t>
  </si>
  <si>
    <t>O00151</t>
  </si>
  <si>
    <t>O00257</t>
  </si>
  <si>
    <t>O00255</t>
  </si>
  <si>
    <t>O00010</t>
  </si>
  <si>
    <t>O00205</t>
  </si>
  <si>
    <t>O00035</t>
  </si>
  <si>
    <t>O00216</t>
  </si>
  <si>
    <t>O00158</t>
  </si>
  <si>
    <t>O00169</t>
  </si>
  <si>
    <t>O00020</t>
  </si>
  <si>
    <t>O00050</t>
  </si>
  <si>
    <t>O00144</t>
  </si>
  <si>
    <t>O00128</t>
  </si>
  <si>
    <t>Metric</t>
  </si>
  <si>
    <t>Result</t>
  </si>
  <si>
    <t>Interpretation</t>
  </si>
  <si>
    <t>Total pick records</t>
  </si>
  <si>
    <t>Count of pick-level records</t>
  </si>
  <si>
    <t>Average picking time (minutes)</t>
  </si>
  <si>
    <t>Mean time per pick record</t>
  </si>
  <si>
    <t>Median picking time (minutes)</t>
  </si>
  <si>
    <t>Middle value of pick time</t>
  </si>
  <si>
    <t>Minimum picking time (minutes)</t>
  </si>
  <si>
    <t>Shortest recorded pick duration</t>
  </si>
  <si>
    <t>Maximum picking time (minutes)</t>
  </si>
  <si>
    <t>Longest recorded pick duration</t>
  </si>
  <si>
    <t>Total quantity picked</t>
  </si>
  <si>
    <t>Total quantity across pick records</t>
  </si>
  <si>
    <t>Average quantity per pick</t>
  </si>
  <si>
    <t>Average quantity per record</t>
  </si>
  <si>
    <t>Standard deviation of pick time</t>
  </si>
  <si>
    <t>Variation in pick duration</t>
  </si>
  <si>
    <t>Picks taking over 10 minutes</t>
  </si>
  <si>
    <t>Count above the 10-minute threshold</t>
  </si>
  <si>
    <t>Percentage of picks over 10 minutes</t>
  </si>
  <si>
    <t>Share of records above 10 minutes</t>
  </si>
  <si>
    <t>Records with missing item count</t>
  </si>
  <si>
    <t>Blank item_count cells in the exported dataset</t>
  </si>
  <si>
    <t>Records with Unknown shift</t>
  </si>
  <si>
    <t>Records with unavailable shift label</t>
  </si>
  <si>
    <t>Records with Unknown experience</t>
  </si>
  <si>
    <t>Records with unavailable experience label</t>
  </si>
  <si>
    <t>Value</t>
  </si>
  <si>
    <t>Total merged pick records</t>
  </si>
  <si>
    <t>Valid pick records</t>
  </si>
  <si>
    <t>Unique orders</t>
  </si>
  <si>
    <t>Unique pickers</t>
  </si>
  <si>
    <t>Unique zones</t>
  </si>
  <si>
    <t>Average pick time (minutes)</t>
  </si>
  <si>
    <t>Median pick time (minutes)</t>
  </si>
  <si>
    <t>Average pick time per unit (minutes)</t>
  </si>
  <si>
    <t>Pick_Records</t>
  </si>
  <si>
    <t>Avg_Pick_Min</t>
  </si>
  <si>
    <t>Median_Pick_Min</t>
  </si>
  <si>
    <t>Avg_Quantity</t>
  </si>
  <si>
    <t>start_hour</t>
  </si>
  <si>
    <t>Analysis</t>
  </si>
  <si>
    <t>Group</t>
  </si>
  <si>
    <t>Pick Records</t>
  </si>
  <si>
    <t>Average Pick Time (min)</t>
  </si>
  <si>
    <t>Median Pick Time (min)</t>
  </si>
  <si>
    <t>Average Quantity</t>
  </si>
  <si>
    <t>Zone</t>
  </si>
  <si>
    <t>Order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</si>
</sst>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2" xfId="0" applyBorder="1"/>
    <xf numFmtId="165" fontId="0" fillId="0" borderId="2" xfId="0" applyNumberFormat="1" applyBorder="1"/>
    <xf numFmtId="0" fontId="2" fillId="3" borderId="0" xfId="0" applyFont="1" applyFill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[FlowRack_Warehouse_Efficiency_Analysis.xlsx]Sheet2!PivotTable1</c:name>
    <c:fmtId val="0"/>
  </c:pivotSource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Sheet2!$A$4:$A$2030</c:f>
              <c:multiLvlStrCache>
                <c:ptCount val="1013"/>
                <c:lvl>
                  <c:pt idx="0">
                    <c:v>W029</c:v>
                  </c:pt>
                  <c:pt idx="1">
                    <c:v>W029</c:v>
                  </c:pt>
                  <c:pt idx="2">
                    <c:v>W032</c:v>
                  </c:pt>
                  <c:pt idx="3">
                    <c:v>W001</c:v>
                  </c:pt>
                  <c:pt idx="4">
                    <c:v>W022</c:v>
                  </c:pt>
                  <c:pt idx="5">
                    <c:v>W007</c:v>
                  </c:pt>
                  <c:pt idx="6">
                    <c:v>W019</c:v>
                  </c:pt>
                  <c:pt idx="7">
                    <c:v>W019</c:v>
                  </c:pt>
                  <c:pt idx="8">
                    <c:v>W032</c:v>
                  </c:pt>
                  <c:pt idx="9">
                    <c:v>W007</c:v>
                  </c:pt>
                  <c:pt idx="10">
                    <c:v>W020</c:v>
                  </c:pt>
                  <c:pt idx="11">
                    <c:v>W001</c:v>
                  </c:pt>
                  <c:pt idx="12">
                    <c:v>W005</c:v>
                  </c:pt>
                  <c:pt idx="13">
                    <c:v>W006</c:v>
                  </c:pt>
                  <c:pt idx="14">
                    <c:v>W010</c:v>
                  </c:pt>
                  <c:pt idx="15">
                    <c:v>W023</c:v>
                  </c:pt>
                  <c:pt idx="16">
                    <c:v>W013</c:v>
                  </c:pt>
                  <c:pt idx="17">
                    <c:v>W006</c:v>
                  </c:pt>
                  <c:pt idx="18">
                    <c:v>W024</c:v>
                  </c:pt>
                  <c:pt idx="19">
                    <c:v>W005</c:v>
                  </c:pt>
                  <c:pt idx="20">
                    <c:v>W007</c:v>
                  </c:pt>
                  <c:pt idx="21">
                    <c:v>W003</c:v>
                  </c:pt>
                  <c:pt idx="22">
                    <c:v>W031</c:v>
                  </c:pt>
                  <c:pt idx="23">
                    <c:v>W010</c:v>
                  </c:pt>
                  <c:pt idx="24">
                    <c:v>W007</c:v>
                  </c:pt>
                  <c:pt idx="25">
                    <c:v>W020</c:v>
                  </c:pt>
                  <c:pt idx="26">
                    <c:v>W020</c:v>
                  </c:pt>
                  <c:pt idx="27">
                    <c:v>W008</c:v>
                  </c:pt>
                  <c:pt idx="28">
                    <c:v>W026</c:v>
                  </c:pt>
                  <c:pt idx="29">
                    <c:v>W019</c:v>
                  </c:pt>
                  <c:pt idx="30">
                    <c:v>W029</c:v>
                  </c:pt>
                  <c:pt idx="31">
                    <c:v>W029</c:v>
                  </c:pt>
                  <c:pt idx="32">
                    <c:v>W009</c:v>
                  </c:pt>
                  <c:pt idx="33">
                    <c:v>W022</c:v>
                  </c:pt>
                  <c:pt idx="34">
                    <c:v>W022</c:v>
                  </c:pt>
                  <c:pt idx="35">
                    <c:v>W010</c:v>
                  </c:pt>
                  <c:pt idx="36">
                    <c:v>W025</c:v>
                  </c:pt>
                  <c:pt idx="37">
                    <c:v>W029</c:v>
                  </c:pt>
                  <c:pt idx="38">
                    <c:v>W026</c:v>
                  </c:pt>
                  <c:pt idx="39">
                    <c:v>W004</c:v>
                  </c:pt>
                  <c:pt idx="40">
                    <c:v>W021</c:v>
                  </c:pt>
                  <c:pt idx="41">
                    <c:v>W016</c:v>
                  </c:pt>
                  <c:pt idx="42">
                    <c:v>W005</c:v>
                  </c:pt>
                  <c:pt idx="43">
                    <c:v>W030</c:v>
                  </c:pt>
                  <c:pt idx="44">
                    <c:v>W019</c:v>
                  </c:pt>
                  <c:pt idx="45">
                    <c:v>W001</c:v>
                  </c:pt>
                  <c:pt idx="46">
                    <c:v>W002</c:v>
                  </c:pt>
                  <c:pt idx="47">
                    <c:v>W014</c:v>
                  </c:pt>
                  <c:pt idx="48">
                    <c:v>W005</c:v>
                  </c:pt>
                  <c:pt idx="49">
                    <c:v>W013</c:v>
                  </c:pt>
                  <c:pt idx="50">
                    <c:v>W010</c:v>
                  </c:pt>
                  <c:pt idx="51">
                    <c:v>W031</c:v>
                  </c:pt>
                  <c:pt idx="52">
                    <c:v>W020</c:v>
                  </c:pt>
                  <c:pt idx="53">
                    <c:v>W005</c:v>
                  </c:pt>
                  <c:pt idx="54">
                    <c:v>W017</c:v>
                  </c:pt>
                  <c:pt idx="55">
                    <c:v>W007</c:v>
                  </c:pt>
                  <c:pt idx="56">
                    <c:v>W006</c:v>
                  </c:pt>
                  <c:pt idx="57">
                    <c:v>W026</c:v>
                  </c:pt>
                  <c:pt idx="58">
                    <c:v>W007</c:v>
                  </c:pt>
                  <c:pt idx="59">
                    <c:v>W030</c:v>
                  </c:pt>
                  <c:pt idx="60">
                    <c:v>W029</c:v>
                  </c:pt>
                  <c:pt idx="61">
                    <c:v>W002</c:v>
                  </c:pt>
                  <c:pt idx="62">
                    <c:v>W001</c:v>
                  </c:pt>
                  <c:pt idx="63">
                    <c:v>W004</c:v>
                  </c:pt>
                  <c:pt idx="64">
                    <c:v>W014</c:v>
                  </c:pt>
                  <c:pt idx="65">
                    <c:v>W013</c:v>
                  </c:pt>
                  <c:pt idx="66">
                    <c:v>W025</c:v>
                  </c:pt>
                  <c:pt idx="67">
                    <c:v>W018</c:v>
                  </c:pt>
                  <c:pt idx="68">
                    <c:v>W003</c:v>
                  </c:pt>
                  <c:pt idx="69">
                    <c:v>W018</c:v>
                  </c:pt>
                  <c:pt idx="70">
                    <c:v>W007</c:v>
                  </c:pt>
                  <c:pt idx="71">
                    <c:v>W016</c:v>
                  </c:pt>
                  <c:pt idx="72">
                    <c:v>W004</c:v>
                  </c:pt>
                  <c:pt idx="73">
                    <c:v>W004</c:v>
                  </c:pt>
                  <c:pt idx="74">
                    <c:v>W008</c:v>
                  </c:pt>
                  <c:pt idx="75">
                    <c:v>W028</c:v>
                  </c:pt>
                  <c:pt idx="76">
                    <c:v>W002</c:v>
                  </c:pt>
                  <c:pt idx="77">
                    <c:v>W021</c:v>
                  </c:pt>
                  <c:pt idx="78">
                    <c:v>W003</c:v>
                  </c:pt>
                  <c:pt idx="79">
                    <c:v>W022</c:v>
                  </c:pt>
                  <c:pt idx="80">
                    <c:v>W013</c:v>
                  </c:pt>
                  <c:pt idx="81">
                    <c:v>W019</c:v>
                  </c:pt>
                  <c:pt idx="82">
                    <c:v>W026</c:v>
                  </c:pt>
                  <c:pt idx="83">
                    <c:v>W024</c:v>
                  </c:pt>
                  <c:pt idx="84">
                    <c:v>W026</c:v>
                  </c:pt>
                  <c:pt idx="85">
                    <c:v>W029</c:v>
                  </c:pt>
                  <c:pt idx="86">
                    <c:v>W011</c:v>
                  </c:pt>
                  <c:pt idx="87">
                    <c:v>W024</c:v>
                  </c:pt>
                  <c:pt idx="88">
                    <c:v>W011</c:v>
                  </c:pt>
                  <c:pt idx="89">
                    <c:v>W006</c:v>
                  </c:pt>
                  <c:pt idx="90">
                    <c:v>W011</c:v>
                  </c:pt>
                  <c:pt idx="91">
                    <c:v>W018</c:v>
                  </c:pt>
                  <c:pt idx="92">
                    <c:v>W015</c:v>
                  </c:pt>
                  <c:pt idx="93">
                    <c:v>W012</c:v>
                  </c:pt>
                  <c:pt idx="94">
                    <c:v>W025</c:v>
                  </c:pt>
                  <c:pt idx="95">
                    <c:v>W026</c:v>
                  </c:pt>
                  <c:pt idx="96">
                    <c:v>W003</c:v>
                  </c:pt>
                  <c:pt idx="97">
                    <c:v>W001</c:v>
                  </c:pt>
                  <c:pt idx="98">
                    <c:v>W012</c:v>
                  </c:pt>
                  <c:pt idx="99">
                    <c:v>W011</c:v>
                  </c:pt>
                  <c:pt idx="100">
                    <c:v>W007</c:v>
                  </c:pt>
                  <c:pt idx="101">
                    <c:v>W002</c:v>
                  </c:pt>
                  <c:pt idx="102">
                    <c:v>W014</c:v>
                  </c:pt>
                  <c:pt idx="103">
                    <c:v>W032</c:v>
                  </c:pt>
                  <c:pt idx="104">
                    <c:v>W007</c:v>
                  </c:pt>
                  <c:pt idx="105">
                    <c:v>W015</c:v>
                  </c:pt>
                  <c:pt idx="106">
                    <c:v>W026</c:v>
                  </c:pt>
                  <c:pt idx="107">
                    <c:v>W023</c:v>
                  </c:pt>
                  <c:pt idx="108">
                    <c:v>W028</c:v>
                  </c:pt>
                  <c:pt idx="109">
                    <c:v>W015</c:v>
                  </c:pt>
                  <c:pt idx="110">
                    <c:v>W027</c:v>
                  </c:pt>
                  <c:pt idx="111">
                    <c:v>W017</c:v>
                  </c:pt>
                  <c:pt idx="112">
                    <c:v>W024</c:v>
                  </c:pt>
                  <c:pt idx="113">
                    <c:v>W007</c:v>
                  </c:pt>
                  <c:pt idx="114">
                    <c:v>W005</c:v>
                  </c:pt>
                  <c:pt idx="115">
                    <c:v>W012</c:v>
                  </c:pt>
                  <c:pt idx="116">
                    <c:v>W009</c:v>
                  </c:pt>
                  <c:pt idx="117">
                    <c:v>W024</c:v>
                  </c:pt>
                  <c:pt idx="118">
                    <c:v>W016</c:v>
                  </c:pt>
                  <c:pt idx="119">
                    <c:v>W010</c:v>
                  </c:pt>
                  <c:pt idx="120">
                    <c:v>W024</c:v>
                  </c:pt>
                  <c:pt idx="121">
                    <c:v>W024</c:v>
                  </c:pt>
                  <c:pt idx="122">
                    <c:v>W030</c:v>
                  </c:pt>
                  <c:pt idx="123">
                    <c:v>W008</c:v>
                  </c:pt>
                  <c:pt idx="124">
                    <c:v>W013</c:v>
                  </c:pt>
                  <c:pt idx="125">
                    <c:v>W007</c:v>
                  </c:pt>
                  <c:pt idx="126">
                    <c:v>W005</c:v>
                  </c:pt>
                  <c:pt idx="127">
                    <c:v>W008</c:v>
                  </c:pt>
                  <c:pt idx="128">
                    <c:v>W006</c:v>
                  </c:pt>
                  <c:pt idx="129">
                    <c:v>W001</c:v>
                  </c:pt>
                  <c:pt idx="130">
                    <c:v>W029</c:v>
                  </c:pt>
                  <c:pt idx="131">
                    <c:v>W003</c:v>
                  </c:pt>
                  <c:pt idx="132">
                    <c:v>W021</c:v>
                  </c:pt>
                  <c:pt idx="133">
                    <c:v>W003</c:v>
                  </c:pt>
                  <c:pt idx="134">
                    <c:v>W016</c:v>
                  </c:pt>
                  <c:pt idx="135">
                    <c:v>W003</c:v>
                  </c:pt>
                  <c:pt idx="136">
                    <c:v>W020</c:v>
                  </c:pt>
                  <c:pt idx="137">
                    <c:v>W022</c:v>
                  </c:pt>
                  <c:pt idx="138">
                    <c:v>W018</c:v>
                  </c:pt>
                  <c:pt idx="139">
                    <c:v>W026</c:v>
                  </c:pt>
                  <c:pt idx="140">
                    <c:v>W017</c:v>
                  </c:pt>
                  <c:pt idx="141">
                    <c:v>W007</c:v>
                  </c:pt>
                  <c:pt idx="142">
                    <c:v>W017</c:v>
                  </c:pt>
                  <c:pt idx="143">
                    <c:v>W032</c:v>
                  </c:pt>
                  <c:pt idx="144">
                    <c:v>W021</c:v>
                  </c:pt>
                  <c:pt idx="145">
                    <c:v>W010</c:v>
                  </c:pt>
                  <c:pt idx="146">
                    <c:v>W018</c:v>
                  </c:pt>
                  <c:pt idx="147">
                    <c:v>W031</c:v>
                  </c:pt>
                  <c:pt idx="148">
                    <c:v>W007</c:v>
                  </c:pt>
                  <c:pt idx="149">
                    <c:v>W001</c:v>
                  </c:pt>
                  <c:pt idx="150">
                    <c:v>W015</c:v>
                  </c:pt>
                  <c:pt idx="151">
                    <c:v>W025</c:v>
                  </c:pt>
                  <c:pt idx="152">
                    <c:v>W005</c:v>
                  </c:pt>
                  <c:pt idx="153">
                    <c:v>W021</c:v>
                  </c:pt>
                  <c:pt idx="154">
                    <c:v>W028</c:v>
                  </c:pt>
                  <c:pt idx="155">
                    <c:v>W032</c:v>
                  </c:pt>
                  <c:pt idx="156">
                    <c:v>W006</c:v>
                  </c:pt>
                  <c:pt idx="157">
                    <c:v>W017</c:v>
                  </c:pt>
                  <c:pt idx="158">
                    <c:v>W012</c:v>
                  </c:pt>
                  <c:pt idx="159">
                    <c:v>W012</c:v>
                  </c:pt>
                  <c:pt idx="160">
                    <c:v>W012</c:v>
                  </c:pt>
                  <c:pt idx="161">
                    <c:v>W013</c:v>
                  </c:pt>
                  <c:pt idx="162">
                    <c:v>W022</c:v>
                  </c:pt>
                  <c:pt idx="163">
                    <c:v>W031</c:v>
                  </c:pt>
                  <c:pt idx="164">
                    <c:v>W025</c:v>
                  </c:pt>
                  <c:pt idx="165">
                    <c:v>W030</c:v>
                  </c:pt>
                  <c:pt idx="166">
                    <c:v>W012</c:v>
                  </c:pt>
                  <c:pt idx="167">
                    <c:v>W002</c:v>
                  </c:pt>
                  <c:pt idx="168">
                    <c:v>W010</c:v>
                  </c:pt>
                  <c:pt idx="169">
                    <c:v>W001</c:v>
                  </c:pt>
                  <c:pt idx="170">
                    <c:v>W030</c:v>
                  </c:pt>
                  <c:pt idx="171">
                    <c:v>W011</c:v>
                  </c:pt>
                  <c:pt idx="172">
                    <c:v>W032</c:v>
                  </c:pt>
                  <c:pt idx="173">
                    <c:v>W001</c:v>
                  </c:pt>
                  <c:pt idx="174">
                    <c:v>W004</c:v>
                  </c:pt>
                  <c:pt idx="175">
                    <c:v>W025</c:v>
                  </c:pt>
                  <c:pt idx="176">
                    <c:v>W031</c:v>
                  </c:pt>
                  <c:pt idx="177">
                    <c:v>W003</c:v>
                  </c:pt>
                  <c:pt idx="178">
                    <c:v>W030</c:v>
                  </c:pt>
                  <c:pt idx="179">
                    <c:v>W015</c:v>
                  </c:pt>
                  <c:pt idx="180">
                    <c:v>W030</c:v>
                  </c:pt>
                  <c:pt idx="181">
                    <c:v>W016</c:v>
                  </c:pt>
                  <c:pt idx="182">
                    <c:v>W014</c:v>
                  </c:pt>
                  <c:pt idx="183">
                    <c:v>W023</c:v>
                  </c:pt>
                  <c:pt idx="184">
                    <c:v>W022</c:v>
                  </c:pt>
                  <c:pt idx="185">
                    <c:v>W018</c:v>
                  </c:pt>
                  <c:pt idx="186">
                    <c:v>W025</c:v>
                  </c:pt>
                  <c:pt idx="187">
                    <c:v>W007</c:v>
                  </c:pt>
                  <c:pt idx="188">
                    <c:v>W019</c:v>
                  </c:pt>
                  <c:pt idx="189">
                    <c:v>W005</c:v>
                  </c:pt>
                  <c:pt idx="190">
                    <c:v>W016</c:v>
                  </c:pt>
                  <c:pt idx="191">
                    <c:v>W023</c:v>
                  </c:pt>
                  <c:pt idx="192">
                    <c:v>W027</c:v>
                  </c:pt>
                  <c:pt idx="193">
                    <c:v>W003</c:v>
                  </c:pt>
                  <c:pt idx="194">
                    <c:v>W027</c:v>
                  </c:pt>
                  <c:pt idx="195">
                    <c:v>W024</c:v>
                  </c:pt>
                  <c:pt idx="196">
                    <c:v>W018</c:v>
                  </c:pt>
                  <c:pt idx="197">
                    <c:v>W003</c:v>
                  </c:pt>
                  <c:pt idx="198">
                    <c:v>W001</c:v>
                  </c:pt>
                  <c:pt idx="199">
                    <c:v>W005</c:v>
                  </c:pt>
                  <c:pt idx="200">
                    <c:v>W025</c:v>
                  </c:pt>
                  <c:pt idx="201">
                    <c:v>W029</c:v>
                  </c:pt>
                  <c:pt idx="202">
                    <c:v>W001</c:v>
                  </c:pt>
                  <c:pt idx="203">
                    <c:v>W012</c:v>
                  </c:pt>
                  <c:pt idx="204">
                    <c:v>W031</c:v>
                  </c:pt>
                  <c:pt idx="205">
                    <c:v>W025</c:v>
                  </c:pt>
                  <c:pt idx="206">
                    <c:v>W008</c:v>
                  </c:pt>
                  <c:pt idx="207">
                    <c:v>W015</c:v>
                  </c:pt>
                  <c:pt idx="208">
                    <c:v>W030</c:v>
                  </c:pt>
                  <c:pt idx="209">
                    <c:v>W024</c:v>
                  </c:pt>
                  <c:pt idx="210">
                    <c:v>W020</c:v>
                  </c:pt>
                  <c:pt idx="211">
                    <c:v>W005</c:v>
                  </c:pt>
                  <c:pt idx="212">
                    <c:v>W011</c:v>
                  </c:pt>
                  <c:pt idx="213">
                    <c:v>W010</c:v>
                  </c:pt>
                  <c:pt idx="214">
                    <c:v>W018</c:v>
                  </c:pt>
                  <c:pt idx="215">
                    <c:v>W019</c:v>
                  </c:pt>
                  <c:pt idx="216">
                    <c:v>W014</c:v>
                  </c:pt>
                  <c:pt idx="217">
                    <c:v>W015</c:v>
                  </c:pt>
                  <c:pt idx="218">
                    <c:v>W002</c:v>
                  </c:pt>
                  <c:pt idx="219">
                    <c:v>W029</c:v>
                  </c:pt>
                  <c:pt idx="220">
                    <c:v>W009</c:v>
                  </c:pt>
                  <c:pt idx="221">
                    <c:v>W003</c:v>
                  </c:pt>
                  <c:pt idx="222">
                    <c:v>W004</c:v>
                  </c:pt>
                  <c:pt idx="223">
                    <c:v>W013</c:v>
                  </c:pt>
                  <c:pt idx="224">
                    <c:v>W032</c:v>
                  </c:pt>
                  <c:pt idx="225">
                    <c:v>W028</c:v>
                  </c:pt>
                  <c:pt idx="226">
                    <c:v>W004</c:v>
                  </c:pt>
                  <c:pt idx="227">
                    <c:v>W027</c:v>
                  </c:pt>
                  <c:pt idx="228">
                    <c:v>W003</c:v>
                  </c:pt>
                  <c:pt idx="229">
                    <c:v>W018</c:v>
                  </c:pt>
                  <c:pt idx="230">
                    <c:v>W024</c:v>
                  </c:pt>
                  <c:pt idx="231">
                    <c:v>W004</c:v>
                  </c:pt>
                  <c:pt idx="232">
                    <c:v>W014</c:v>
                  </c:pt>
                  <c:pt idx="233">
                    <c:v>W030</c:v>
                  </c:pt>
                  <c:pt idx="234">
                    <c:v>W015</c:v>
                  </c:pt>
                  <c:pt idx="235">
                    <c:v>W007</c:v>
                  </c:pt>
                  <c:pt idx="236">
                    <c:v>W017</c:v>
                  </c:pt>
                  <c:pt idx="237">
                    <c:v>W023</c:v>
                  </c:pt>
                  <c:pt idx="238">
                    <c:v>W019</c:v>
                  </c:pt>
                  <c:pt idx="239">
                    <c:v>W002</c:v>
                  </c:pt>
                  <c:pt idx="240">
                    <c:v>W018</c:v>
                  </c:pt>
                  <c:pt idx="241">
                    <c:v>W030</c:v>
                  </c:pt>
                  <c:pt idx="242">
                    <c:v>W021</c:v>
                  </c:pt>
                  <c:pt idx="243">
                    <c:v>W008</c:v>
                  </c:pt>
                  <c:pt idx="244">
                    <c:v>W031</c:v>
                  </c:pt>
                  <c:pt idx="245">
                    <c:v>W030</c:v>
                  </c:pt>
                  <c:pt idx="246">
                    <c:v>W020</c:v>
                  </c:pt>
                  <c:pt idx="247">
                    <c:v>W010</c:v>
                  </c:pt>
                  <c:pt idx="248">
                    <c:v>W024</c:v>
                  </c:pt>
                  <c:pt idx="249">
                    <c:v>W007</c:v>
                  </c:pt>
                  <c:pt idx="250">
                    <c:v>W029</c:v>
                  </c:pt>
                  <c:pt idx="251">
                    <c:v>W029</c:v>
                  </c:pt>
                  <c:pt idx="252">
                    <c:v>W027</c:v>
                  </c:pt>
                  <c:pt idx="253">
                    <c:v>W003</c:v>
                  </c:pt>
                  <c:pt idx="254">
                    <c:v>W008</c:v>
                  </c:pt>
                  <c:pt idx="255">
                    <c:v>W015</c:v>
                  </c:pt>
                  <c:pt idx="256">
                    <c:v>W024</c:v>
                  </c:pt>
                  <c:pt idx="257">
                    <c:v>W009</c:v>
                  </c:pt>
                  <c:pt idx="258">
                    <c:v>W032</c:v>
                  </c:pt>
                  <c:pt idx="259">
                    <c:v>W020</c:v>
                  </c:pt>
                  <c:pt idx="260">
                    <c:v>W031</c:v>
                  </c:pt>
                  <c:pt idx="261">
                    <c:v>W026</c:v>
                  </c:pt>
                  <c:pt idx="262">
                    <c:v>W015</c:v>
                  </c:pt>
                  <c:pt idx="263">
                    <c:v>W008</c:v>
                  </c:pt>
                  <c:pt idx="264">
                    <c:v>W030</c:v>
                  </c:pt>
                  <c:pt idx="265">
                    <c:v>W022</c:v>
                  </c:pt>
                  <c:pt idx="266">
                    <c:v>W024</c:v>
                  </c:pt>
                  <c:pt idx="267">
                    <c:v>W032</c:v>
                  </c:pt>
                  <c:pt idx="268">
                    <c:v>W010</c:v>
                  </c:pt>
                  <c:pt idx="269">
                    <c:v>W023</c:v>
                  </c:pt>
                  <c:pt idx="270">
                    <c:v>W029</c:v>
                  </c:pt>
                  <c:pt idx="271">
                    <c:v>W001</c:v>
                  </c:pt>
                  <c:pt idx="272">
                    <c:v>W010</c:v>
                  </c:pt>
                  <c:pt idx="273">
                    <c:v>W027</c:v>
                  </c:pt>
                  <c:pt idx="274">
                    <c:v>W002</c:v>
                  </c:pt>
                  <c:pt idx="275">
                    <c:v>W029</c:v>
                  </c:pt>
                  <c:pt idx="276">
                    <c:v>W017</c:v>
                  </c:pt>
                  <c:pt idx="277">
                    <c:v>W012</c:v>
                  </c:pt>
                  <c:pt idx="278">
                    <c:v>W026</c:v>
                  </c:pt>
                  <c:pt idx="279">
                    <c:v>W025</c:v>
                  </c:pt>
                  <c:pt idx="280">
                    <c:v>W026</c:v>
                  </c:pt>
                  <c:pt idx="281">
                    <c:v>W024</c:v>
                  </c:pt>
                  <c:pt idx="282">
                    <c:v>W012</c:v>
                  </c:pt>
                  <c:pt idx="283">
                    <c:v>W017</c:v>
                  </c:pt>
                  <c:pt idx="284">
                    <c:v>W011</c:v>
                  </c:pt>
                  <c:pt idx="285">
                    <c:v>W027</c:v>
                  </c:pt>
                  <c:pt idx="286">
                    <c:v>W014</c:v>
                  </c:pt>
                  <c:pt idx="287">
                    <c:v>W032</c:v>
                  </c:pt>
                  <c:pt idx="288">
                    <c:v>W005</c:v>
                  </c:pt>
                  <c:pt idx="289">
                    <c:v>W004</c:v>
                  </c:pt>
                  <c:pt idx="290">
                    <c:v>W022</c:v>
                  </c:pt>
                  <c:pt idx="291">
                    <c:v>W030</c:v>
                  </c:pt>
                  <c:pt idx="292">
                    <c:v>W012</c:v>
                  </c:pt>
                  <c:pt idx="293">
                    <c:v>W002</c:v>
                  </c:pt>
                  <c:pt idx="294">
                    <c:v>W023</c:v>
                  </c:pt>
                  <c:pt idx="295">
                    <c:v>W022</c:v>
                  </c:pt>
                  <c:pt idx="296">
                    <c:v>W021</c:v>
                  </c:pt>
                  <c:pt idx="297">
                    <c:v>W010</c:v>
                  </c:pt>
                  <c:pt idx="298">
                    <c:v>W022</c:v>
                  </c:pt>
                  <c:pt idx="299">
                    <c:v>W016</c:v>
                  </c:pt>
                  <c:pt idx="300">
                    <c:v>W024</c:v>
                  </c:pt>
                  <c:pt idx="301">
                    <c:v>W030</c:v>
                  </c:pt>
                  <c:pt idx="302">
                    <c:v>W016</c:v>
                  </c:pt>
                  <c:pt idx="303">
                    <c:v>W029</c:v>
                  </c:pt>
                  <c:pt idx="304">
                    <c:v>W005</c:v>
                  </c:pt>
                  <c:pt idx="305">
                    <c:v>W021</c:v>
                  </c:pt>
                  <c:pt idx="306">
                    <c:v>W004</c:v>
                  </c:pt>
                  <c:pt idx="307">
                    <c:v>W019</c:v>
                  </c:pt>
                  <c:pt idx="308">
                    <c:v>W016</c:v>
                  </c:pt>
                  <c:pt idx="309">
                    <c:v>W001</c:v>
                  </c:pt>
                  <c:pt idx="310">
                    <c:v>W021</c:v>
                  </c:pt>
                  <c:pt idx="311">
                    <c:v>W004</c:v>
                  </c:pt>
                  <c:pt idx="312">
                    <c:v>W018</c:v>
                  </c:pt>
                  <c:pt idx="313">
                    <c:v>W002</c:v>
                  </c:pt>
                  <c:pt idx="314">
                    <c:v>W001</c:v>
                  </c:pt>
                  <c:pt idx="315">
                    <c:v>W008</c:v>
                  </c:pt>
                  <c:pt idx="316">
                    <c:v>W001</c:v>
                  </c:pt>
                  <c:pt idx="317">
                    <c:v>W023</c:v>
                  </c:pt>
                  <c:pt idx="318">
                    <c:v>W023</c:v>
                  </c:pt>
                  <c:pt idx="319">
                    <c:v>W016</c:v>
                  </c:pt>
                  <c:pt idx="320">
                    <c:v>W021</c:v>
                  </c:pt>
                  <c:pt idx="321">
                    <c:v>W022</c:v>
                  </c:pt>
                  <c:pt idx="322">
                    <c:v>W006</c:v>
                  </c:pt>
                  <c:pt idx="323">
                    <c:v>W011</c:v>
                  </c:pt>
                  <c:pt idx="324">
                    <c:v>W016</c:v>
                  </c:pt>
                  <c:pt idx="325">
                    <c:v>W029</c:v>
                  </c:pt>
                  <c:pt idx="326">
                    <c:v>W024</c:v>
                  </c:pt>
                  <c:pt idx="327">
                    <c:v>W027</c:v>
                  </c:pt>
                  <c:pt idx="328">
                    <c:v>W004</c:v>
                  </c:pt>
                  <c:pt idx="329">
                    <c:v>W032</c:v>
                  </c:pt>
                  <c:pt idx="330">
                    <c:v>W007</c:v>
                  </c:pt>
                  <c:pt idx="331">
                    <c:v>W018</c:v>
                  </c:pt>
                  <c:pt idx="332">
                    <c:v>W016</c:v>
                  </c:pt>
                  <c:pt idx="333">
                    <c:v>W025</c:v>
                  </c:pt>
                  <c:pt idx="334">
                    <c:v>W030</c:v>
                  </c:pt>
                  <c:pt idx="335">
                    <c:v>W021</c:v>
                  </c:pt>
                  <c:pt idx="336">
                    <c:v>W021</c:v>
                  </c:pt>
                  <c:pt idx="337">
                    <c:v>W028</c:v>
                  </c:pt>
                  <c:pt idx="338">
                    <c:v>W007</c:v>
                  </c:pt>
                  <c:pt idx="339">
                    <c:v>W025</c:v>
                  </c:pt>
                  <c:pt idx="340">
                    <c:v>W023</c:v>
                  </c:pt>
                  <c:pt idx="341">
                    <c:v>W028</c:v>
                  </c:pt>
                  <c:pt idx="342">
                    <c:v>W013</c:v>
                  </c:pt>
                  <c:pt idx="343">
                    <c:v>W028</c:v>
                  </c:pt>
                  <c:pt idx="344">
                    <c:v>W011</c:v>
                  </c:pt>
                  <c:pt idx="345">
                    <c:v>W013</c:v>
                  </c:pt>
                  <c:pt idx="346">
                    <c:v>W008</c:v>
                  </c:pt>
                  <c:pt idx="347">
                    <c:v>W021</c:v>
                  </c:pt>
                  <c:pt idx="348">
                    <c:v>W009</c:v>
                  </c:pt>
                  <c:pt idx="349">
                    <c:v>W005</c:v>
                  </c:pt>
                  <c:pt idx="350">
                    <c:v>W018</c:v>
                  </c:pt>
                  <c:pt idx="351">
                    <c:v>W008</c:v>
                  </c:pt>
                  <c:pt idx="352">
                    <c:v>W032</c:v>
                  </c:pt>
                  <c:pt idx="353">
                    <c:v>W019</c:v>
                  </c:pt>
                  <c:pt idx="354">
                    <c:v>W004</c:v>
                  </c:pt>
                  <c:pt idx="355">
                    <c:v>W008</c:v>
                  </c:pt>
                  <c:pt idx="356">
                    <c:v>W029</c:v>
                  </c:pt>
                  <c:pt idx="357">
                    <c:v>W021</c:v>
                  </c:pt>
                  <c:pt idx="358">
                    <c:v>W014</c:v>
                  </c:pt>
                  <c:pt idx="359">
                    <c:v>W010</c:v>
                  </c:pt>
                  <c:pt idx="360">
                    <c:v>W028</c:v>
                  </c:pt>
                  <c:pt idx="361">
                    <c:v>W011</c:v>
                  </c:pt>
                  <c:pt idx="362">
                    <c:v>W020</c:v>
                  </c:pt>
                  <c:pt idx="363">
                    <c:v>W012</c:v>
                  </c:pt>
                  <c:pt idx="364">
                    <c:v>W029</c:v>
                  </c:pt>
                  <c:pt idx="365">
                    <c:v>W018</c:v>
                  </c:pt>
                  <c:pt idx="366">
                    <c:v>W007</c:v>
                  </c:pt>
                  <c:pt idx="367">
                    <c:v>W027</c:v>
                  </c:pt>
                  <c:pt idx="368">
                    <c:v>W028</c:v>
                  </c:pt>
                  <c:pt idx="369">
                    <c:v>W009</c:v>
                  </c:pt>
                  <c:pt idx="370">
                    <c:v>W007</c:v>
                  </c:pt>
                  <c:pt idx="371">
                    <c:v>W019</c:v>
                  </c:pt>
                  <c:pt idx="372">
                    <c:v>W006</c:v>
                  </c:pt>
                  <c:pt idx="373">
                    <c:v>W016</c:v>
                  </c:pt>
                  <c:pt idx="374">
                    <c:v>W003</c:v>
                  </c:pt>
                  <c:pt idx="375">
                    <c:v>W029</c:v>
                  </c:pt>
                  <c:pt idx="376">
                    <c:v>W008</c:v>
                  </c:pt>
                  <c:pt idx="377">
                    <c:v>W009</c:v>
                  </c:pt>
                  <c:pt idx="378">
                    <c:v>W015</c:v>
                  </c:pt>
                  <c:pt idx="379">
                    <c:v>W027</c:v>
                  </c:pt>
                  <c:pt idx="380">
                    <c:v>W017</c:v>
                  </c:pt>
                  <c:pt idx="381">
                    <c:v>W004</c:v>
                  </c:pt>
                  <c:pt idx="382">
                    <c:v>W007</c:v>
                  </c:pt>
                  <c:pt idx="383">
                    <c:v>W006</c:v>
                  </c:pt>
                  <c:pt idx="384">
                    <c:v>W031</c:v>
                  </c:pt>
                  <c:pt idx="385">
                    <c:v>W008</c:v>
                  </c:pt>
                  <c:pt idx="386">
                    <c:v>W022</c:v>
                  </c:pt>
                  <c:pt idx="387">
                    <c:v>W009</c:v>
                  </c:pt>
                  <c:pt idx="388">
                    <c:v>W032</c:v>
                  </c:pt>
                  <c:pt idx="389">
                    <c:v>W004</c:v>
                  </c:pt>
                  <c:pt idx="390">
                    <c:v>W021</c:v>
                  </c:pt>
                  <c:pt idx="391">
                    <c:v>W026</c:v>
                  </c:pt>
                  <c:pt idx="392">
                    <c:v>W015</c:v>
                  </c:pt>
                  <c:pt idx="393">
                    <c:v>W024</c:v>
                  </c:pt>
                  <c:pt idx="394">
                    <c:v>W012</c:v>
                  </c:pt>
                  <c:pt idx="395">
                    <c:v>W013</c:v>
                  </c:pt>
                  <c:pt idx="396">
                    <c:v>W017</c:v>
                  </c:pt>
                  <c:pt idx="397">
                    <c:v>W010</c:v>
                  </c:pt>
                  <c:pt idx="398">
                    <c:v>W029</c:v>
                  </c:pt>
                  <c:pt idx="399">
                    <c:v>W014</c:v>
                  </c:pt>
                  <c:pt idx="400">
                    <c:v>W009</c:v>
                  </c:pt>
                  <c:pt idx="401">
                    <c:v>W020</c:v>
                  </c:pt>
                  <c:pt idx="402">
                    <c:v>W026</c:v>
                  </c:pt>
                  <c:pt idx="403">
                    <c:v>W012</c:v>
                  </c:pt>
                  <c:pt idx="404">
                    <c:v>W024</c:v>
                  </c:pt>
                  <c:pt idx="405">
                    <c:v>W008</c:v>
                  </c:pt>
                  <c:pt idx="406">
                    <c:v>W021</c:v>
                  </c:pt>
                  <c:pt idx="407">
                    <c:v>W018</c:v>
                  </c:pt>
                  <c:pt idx="408">
                    <c:v>W014</c:v>
                  </c:pt>
                  <c:pt idx="409">
                    <c:v>W004</c:v>
                  </c:pt>
                  <c:pt idx="410">
                    <c:v>W013</c:v>
                  </c:pt>
                  <c:pt idx="411">
                    <c:v>W006</c:v>
                  </c:pt>
                  <c:pt idx="412">
                    <c:v>W016</c:v>
                  </c:pt>
                  <c:pt idx="413">
                    <c:v>W026</c:v>
                  </c:pt>
                  <c:pt idx="414">
                    <c:v>W008</c:v>
                  </c:pt>
                  <c:pt idx="415">
                    <c:v>W013</c:v>
                  </c:pt>
                  <c:pt idx="416">
                    <c:v>W012</c:v>
                  </c:pt>
                  <c:pt idx="417">
                    <c:v>W031</c:v>
                  </c:pt>
                  <c:pt idx="418">
                    <c:v>W019</c:v>
                  </c:pt>
                  <c:pt idx="419">
                    <c:v>W008</c:v>
                  </c:pt>
                  <c:pt idx="420">
                    <c:v>W020</c:v>
                  </c:pt>
                  <c:pt idx="421">
                    <c:v>W018</c:v>
                  </c:pt>
                  <c:pt idx="422">
                    <c:v>W008</c:v>
                  </c:pt>
                  <c:pt idx="423">
                    <c:v>W021</c:v>
                  </c:pt>
                  <c:pt idx="424">
                    <c:v>W013</c:v>
                  </c:pt>
                  <c:pt idx="425">
                    <c:v>W013</c:v>
                  </c:pt>
                  <c:pt idx="426">
                    <c:v>W007</c:v>
                  </c:pt>
                  <c:pt idx="427">
                    <c:v>W017</c:v>
                  </c:pt>
                  <c:pt idx="428">
                    <c:v>W009</c:v>
                  </c:pt>
                  <c:pt idx="429">
                    <c:v>W026</c:v>
                  </c:pt>
                  <c:pt idx="430">
                    <c:v>W028</c:v>
                  </c:pt>
                  <c:pt idx="431">
                    <c:v>W020</c:v>
                  </c:pt>
                  <c:pt idx="432">
                    <c:v>W025</c:v>
                  </c:pt>
                  <c:pt idx="433">
                    <c:v>W032</c:v>
                  </c:pt>
                  <c:pt idx="434">
                    <c:v>W007</c:v>
                  </c:pt>
                  <c:pt idx="435">
                    <c:v>W005</c:v>
                  </c:pt>
                  <c:pt idx="436">
                    <c:v>W019</c:v>
                  </c:pt>
                  <c:pt idx="437">
                    <c:v>W021</c:v>
                  </c:pt>
                  <c:pt idx="438">
                    <c:v>W012</c:v>
                  </c:pt>
                  <c:pt idx="439">
                    <c:v>W015</c:v>
                  </c:pt>
                  <c:pt idx="440">
                    <c:v>W023</c:v>
                  </c:pt>
                  <c:pt idx="441">
                    <c:v>W010</c:v>
                  </c:pt>
                  <c:pt idx="442">
                    <c:v>W004</c:v>
                  </c:pt>
                  <c:pt idx="443">
                    <c:v>W032</c:v>
                  </c:pt>
                  <c:pt idx="444">
                    <c:v>W017</c:v>
                  </c:pt>
                  <c:pt idx="445">
                    <c:v>W026</c:v>
                  </c:pt>
                  <c:pt idx="446">
                    <c:v>W019</c:v>
                  </c:pt>
                  <c:pt idx="447">
                    <c:v>W014</c:v>
                  </c:pt>
                  <c:pt idx="448">
                    <c:v>W003</c:v>
                  </c:pt>
                  <c:pt idx="449">
                    <c:v>W006</c:v>
                  </c:pt>
                  <c:pt idx="450">
                    <c:v>W006</c:v>
                  </c:pt>
                  <c:pt idx="451">
                    <c:v>W025</c:v>
                  </c:pt>
                  <c:pt idx="452">
                    <c:v>W004</c:v>
                  </c:pt>
                  <c:pt idx="453">
                    <c:v>W001</c:v>
                  </c:pt>
                  <c:pt idx="454">
                    <c:v>W006</c:v>
                  </c:pt>
                  <c:pt idx="455">
                    <c:v>W008</c:v>
                  </c:pt>
                  <c:pt idx="456">
                    <c:v>W009</c:v>
                  </c:pt>
                  <c:pt idx="457">
                    <c:v>W029</c:v>
                  </c:pt>
                  <c:pt idx="458">
                    <c:v>W004</c:v>
                  </c:pt>
                  <c:pt idx="459">
                    <c:v>W023</c:v>
                  </c:pt>
                  <c:pt idx="460">
                    <c:v>W024</c:v>
                  </c:pt>
                  <c:pt idx="461">
                    <c:v>W015</c:v>
                  </c:pt>
                  <c:pt idx="462">
                    <c:v>W004</c:v>
                  </c:pt>
                  <c:pt idx="463">
                    <c:v>W031</c:v>
                  </c:pt>
                  <c:pt idx="464">
                    <c:v>W018</c:v>
                  </c:pt>
                  <c:pt idx="465">
                    <c:v>W015</c:v>
                  </c:pt>
                  <c:pt idx="466">
                    <c:v>W009</c:v>
                  </c:pt>
                  <c:pt idx="467">
                    <c:v>W027</c:v>
                  </c:pt>
                  <c:pt idx="468">
                    <c:v>W008</c:v>
                  </c:pt>
                  <c:pt idx="469">
                    <c:v>W032</c:v>
                  </c:pt>
                  <c:pt idx="470">
                    <c:v>W022</c:v>
                  </c:pt>
                  <c:pt idx="471">
                    <c:v>W016</c:v>
                  </c:pt>
                  <c:pt idx="472">
                    <c:v>W025</c:v>
                  </c:pt>
                  <c:pt idx="473">
                    <c:v>W003</c:v>
                  </c:pt>
                  <c:pt idx="474">
                    <c:v>W012</c:v>
                  </c:pt>
                  <c:pt idx="475">
                    <c:v>W032</c:v>
                  </c:pt>
                  <c:pt idx="476">
                    <c:v>W024</c:v>
                  </c:pt>
                  <c:pt idx="477">
                    <c:v>W001</c:v>
                  </c:pt>
                  <c:pt idx="478">
                    <c:v>W022</c:v>
                  </c:pt>
                  <c:pt idx="479">
                    <c:v>W005</c:v>
                  </c:pt>
                  <c:pt idx="480">
                    <c:v>W022</c:v>
                  </c:pt>
                  <c:pt idx="481">
                    <c:v>W031</c:v>
                  </c:pt>
                  <c:pt idx="482">
                    <c:v>W009</c:v>
                  </c:pt>
                  <c:pt idx="483">
                    <c:v>W023</c:v>
                  </c:pt>
                  <c:pt idx="484">
                    <c:v>W022</c:v>
                  </c:pt>
                  <c:pt idx="485">
                    <c:v>W003</c:v>
                  </c:pt>
                  <c:pt idx="486">
                    <c:v>W010</c:v>
                  </c:pt>
                  <c:pt idx="487">
                    <c:v>W010</c:v>
                  </c:pt>
                  <c:pt idx="488">
                    <c:v>W015</c:v>
                  </c:pt>
                  <c:pt idx="489">
                    <c:v>W010</c:v>
                  </c:pt>
                  <c:pt idx="490">
                    <c:v>W014</c:v>
                  </c:pt>
                  <c:pt idx="491">
                    <c:v>W012</c:v>
                  </c:pt>
                  <c:pt idx="492">
                    <c:v>W016</c:v>
                  </c:pt>
                  <c:pt idx="493">
                    <c:v>W009</c:v>
                  </c:pt>
                  <c:pt idx="494">
                    <c:v>W018</c:v>
                  </c:pt>
                  <c:pt idx="495">
                    <c:v>W032</c:v>
                  </c:pt>
                  <c:pt idx="496">
                    <c:v>W002</c:v>
                  </c:pt>
                  <c:pt idx="497">
                    <c:v>W001</c:v>
                  </c:pt>
                  <c:pt idx="498">
                    <c:v>W012</c:v>
                  </c:pt>
                  <c:pt idx="499">
                    <c:v>W001</c:v>
                  </c:pt>
                  <c:pt idx="500">
                    <c:v>W023</c:v>
                  </c:pt>
                  <c:pt idx="501">
                    <c:v>W026</c:v>
                  </c:pt>
                  <c:pt idx="502">
                    <c:v>W026</c:v>
                  </c:pt>
                  <c:pt idx="503">
                    <c:v>W007</c:v>
                  </c:pt>
                  <c:pt idx="504">
                    <c:v>W030</c:v>
                  </c:pt>
                  <c:pt idx="505">
                    <c:v>W024</c:v>
                  </c:pt>
                  <c:pt idx="506">
                    <c:v>W009</c:v>
                  </c:pt>
                  <c:pt idx="507">
                    <c:v>W009</c:v>
                  </c:pt>
                  <c:pt idx="508">
                    <c:v>W022</c:v>
                  </c:pt>
                  <c:pt idx="509">
                    <c:v>W018</c:v>
                  </c:pt>
                  <c:pt idx="510">
                    <c:v>W027</c:v>
                  </c:pt>
                  <c:pt idx="511">
                    <c:v>W032</c:v>
                  </c:pt>
                  <c:pt idx="512">
                    <c:v>W025</c:v>
                  </c:pt>
                  <c:pt idx="513">
                    <c:v>W018</c:v>
                  </c:pt>
                  <c:pt idx="514">
                    <c:v>W014</c:v>
                  </c:pt>
                  <c:pt idx="515">
                    <c:v>W020</c:v>
                  </c:pt>
                  <c:pt idx="516">
                    <c:v>W018</c:v>
                  </c:pt>
                  <c:pt idx="517">
                    <c:v>W005</c:v>
                  </c:pt>
                  <c:pt idx="518">
                    <c:v>W032</c:v>
                  </c:pt>
                  <c:pt idx="519">
                    <c:v>W006</c:v>
                  </c:pt>
                  <c:pt idx="520">
                    <c:v>W019</c:v>
                  </c:pt>
                  <c:pt idx="521">
                    <c:v>W015</c:v>
                  </c:pt>
                  <c:pt idx="522">
                    <c:v>W025</c:v>
                  </c:pt>
                  <c:pt idx="523">
                    <c:v>W012</c:v>
                  </c:pt>
                  <c:pt idx="524">
                    <c:v>W013</c:v>
                  </c:pt>
                  <c:pt idx="525">
                    <c:v>W010</c:v>
                  </c:pt>
                  <c:pt idx="526">
                    <c:v>W009</c:v>
                  </c:pt>
                  <c:pt idx="527">
                    <c:v>W013</c:v>
                  </c:pt>
                  <c:pt idx="528">
                    <c:v>W014</c:v>
                  </c:pt>
                  <c:pt idx="529">
                    <c:v>W010</c:v>
                  </c:pt>
                  <c:pt idx="530">
                    <c:v>W018</c:v>
                  </c:pt>
                  <c:pt idx="531">
                    <c:v>W019</c:v>
                  </c:pt>
                  <c:pt idx="532">
                    <c:v>W032</c:v>
                  </c:pt>
                  <c:pt idx="533">
                    <c:v>W008</c:v>
                  </c:pt>
                  <c:pt idx="534">
                    <c:v>W030</c:v>
                  </c:pt>
                  <c:pt idx="535">
                    <c:v>W013</c:v>
                  </c:pt>
                  <c:pt idx="536">
                    <c:v>W004</c:v>
                  </c:pt>
                  <c:pt idx="537">
                    <c:v>W027</c:v>
                  </c:pt>
                  <c:pt idx="538">
                    <c:v>W025</c:v>
                  </c:pt>
                  <c:pt idx="539">
                    <c:v>W026</c:v>
                  </c:pt>
                  <c:pt idx="540">
                    <c:v>W019</c:v>
                  </c:pt>
                  <c:pt idx="541">
                    <c:v>W019</c:v>
                  </c:pt>
                  <c:pt idx="542">
                    <c:v>W031</c:v>
                  </c:pt>
                  <c:pt idx="543">
                    <c:v>W011</c:v>
                  </c:pt>
                  <c:pt idx="544">
                    <c:v>W012</c:v>
                  </c:pt>
                  <c:pt idx="545">
                    <c:v>W031</c:v>
                  </c:pt>
                  <c:pt idx="546">
                    <c:v>W001</c:v>
                  </c:pt>
                  <c:pt idx="547">
                    <c:v>W015</c:v>
                  </c:pt>
                  <c:pt idx="548">
                    <c:v>W021</c:v>
                  </c:pt>
                  <c:pt idx="549">
                    <c:v>W028</c:v>
                  </c:pt>
                  <c:pt idx="550">
                    <c:v>W012</c:v>
                  </c:pt>
                  <c:pt idx="551">
                    <c:v>W027</c:v>
                  </c:pt>
                  <c:pt idx="552">
                    <c:v>W010</c:v>
                  </c:pt>
                  <c:pt idx="553">
                    <c:v>W018</c:v>
                  </c:pt>
                  <c:pt idx="554">
                    <c:v>W006</c:v>
                  </c:pt>
                  <c:pt idx="555">
                    <c:v>W022</c:v>
                  </c:pt>
                  <c:pt idx="556">
                    <c:v>W021</c:v>
                  </c:pt>
                  <c:pt idx="557">
                    <c:v>W007</c:v>
                  </c:pt>
                  <c:pt idx="558">
                    <c:v>W010</c:v>
                  </c:pt>
                  <c:pt idx="559">
                    <c:v>W031</c:v>
                  </c:pt>
                  <c:pt idx="560">
                    <c:v>W028</c:v>
                  </c:pt>
                  <c:pt idx="561">
                    <c:v>W029</c:v>
                  </c:pt>
                  <c:pt idx="562">
                    <c:v>W001</c:v>
                  </c:pt>
                  <c:pt idx="563">
                    <c:v>W009</c:v>
                  </c:pt>
                  <c:pt idx="564">
                    <c:v>W005</c:v>
                  </c:pt>
                  <c:pt idx="565">
                    <c:v>W022</c:v>
                  </c:pt>
                  <c:pt idx="566">
                    <c:v>W023</c:v>
                  </c:pt>
                  <c:pt idx="567">
                    <c:v>W032</c:v>
                  </c:pt>
                  <c:pt idx="568">
                    <c:v>W017</c:v>
                  </c:pt>
                  <c:pt idx="569">
                    <c:v>W009</c:v>
                  </c:pt>
                  <c:pt idx="570">
                    <c:v>W020</c:v>
                  </c:pt>
                  <c:pt idx="571">
                    <c:v>W019</c:v>
                  </c:pt>
                  <c:pt idx="572">
                    <c:v>W003</c:v>
                  </c:pt>
                  <c:pt idx="573">
                    <c:v>W013</c:v>
                  </c:pt>
                  <c:pt idx="574">
                    <c:v>W011</c:v>
                  </c:pt>
                  <c:pt idx="575">
                    <c:v>W020</c:v>
                  </c:pt>
                  <c:pt idx="576">
                    <c:v>W007</c:v>
                  </c:pt>
                  <c:pt idx="577">
                    <c:v>W018</c:v>
                  </c:pt>
                  <c:pt idx="578">
                    <c:v>W008</c:v>
                  </c:pt>
                  <c:pt idx="579">
                    <c:v>W001</c:v>
                  </c:pt>
                  <c:pt idx="580">
                    <c:v>W028</c:v>
                  </c:pt>
                  <c:pt idx="581">
                    <c:v>W022</c:v>
                  </c:pt>
                  <c:pt idx="582">
                    <c:v>W017</c:v>
                  </c:pt>
                  <c:pt idx="583">
                    <c:v>W001</c:v>
                  </c:pt>
                  <c:pt idx="584">
                    <c:v>W018</c:v>
                  </c:pt>
                  <c:pt idx="585">
                    <c:v>W003</c:v>
                  </c:pt>
                  <c:pt idx="586">
                    <c:v>W024</c:v>
                  </c:pt>
                  <c:pt idx="587">
                    <c:v>W030</c:v>
                  </c:pt>
                  <c:pt idx="588">
                    <c:v>W030</c:v>
                  </c:pt>
                  <c:pt idx="589">
                    <c:v>W029</c:v>
                  </c:pt>
                  <c:pt idx="590">
                    <c:v>W004</c:v>
                  </c:pt>
                  <c:pt idx="591">
                    <c:v>W002</c:v>
                  </c:pt>
                  <c:pt idx="592">
                    <c:v>W029</c:v>
                  </c:pt>
                  <c:pt idx="593">
                    <c:v>W026</c:v>
                  </c:pt>
                  <c:pt idx="594">
                    <c:v>W011</c:v>
                  </c:pt>
                  <c:pt idx="595">
                    <c:v>W028</c:v>
                  </c:pt>
                  <c:pt idx="596">
                    <c:v>W028</c:v>
                  </c:pt>
                  <c:pt idx="597">
                    <c:v>W004</c:v>
                  </c:pt>
                  <c:pt idx="598">
                    <c:v>W024</c:v>
                  </c:pt>
                  <c:pt idx="599">
                    <c:v>W014</c:v>
                  </c:pt>
                  <c:pt idx="600">
                    <c:v>W024</c:v>
                  </c:pt>
                  <c:pt idx="601">
                    <c:v>W030</c:v>
                  </c:pt>
                  <c:pt idx="602">
                    <c:v>W014</c:v>
                  </c:pt>
                  <c:pt idx="603">
                    <c:v>W002</c:v>
                  </c:pt>
                  <c:pt idx="604">
                    <c:v>W003</c:v>
                  </c:pt>
                  <c:pt idx="605">
                    <c:v>W032</c:v>
                  </c:pt>
                  <c:pt idx="606">
                    <c:v>W021</c:v>
                  </c:pt>
                  <c:pt idx="607">
                    <c:v>W020</c:v>
                  </c:pt>
                  <c:pt idx="608">
                    <c:v>W008</c:v>
                  </c:pt>
                  <c:pt idx="609">
                    <c:v>W021</c:v>
                  </c:pt>
                  <c:pt idx="610">
                    <c:v>W015</c:v>
                  </c:pt>
                  <c:pt idx="611">
                    <c:v>W026</c:v>
                  </c:pt>
                  <c:pt idx="612">
                    <c:v>W032</c:v>
                  </c:pt>
                  <c:pt idx="613">
                    <c:v>W025</c:v>
                  </c:pt>
                  <c:pt idx="614">
                    <c:v>W007</c:v>
                  </c:pt>
                  <c:pt idx="615">
                    <c:v>W028</c:v>
                  </c:pt>
                  <c:pt idx="616">
                    <c:v>W025</c:v>
                  </c:pt>
                  <c:pt idx="617">
                    <c:v>W027</c:v>
                  </c:pt>
                  <c:pt idx="618">
                    <c:v>W005</c:v>
                  </c:pt>
                  <c:pt idx="619">
                    <c:v>W004</c:v>
                  </c:pt>
                  <c:pt idx="620">
                    <c:v>W003</c:v>
                  </c:pt>
                  <c:pt idx="621">
                    <c:v>W022</c:v>
                  </c:pt>
                  <c:pt idx="622">
                    <c:v>W006</c:v>
                  </c:pt>
                  <c:pt idx="623">
                    <c:v>W023</c:v>
                  </c:pt>
                  <c:pt idx="624">
                    <c:v>W002</c:v>
                  </c:pt>
                  <c:pt idx="625">
                    <c:v>W003</c:v>
                  </c:pt>
                  <c:pt idx="626">
                    <c:v>W022</c:v>
                  </c:pt>
                  <c:pt idx="627">
                    <c:v>W029</c:v>
                  </c:pt>
                  <c:pt idx="628">
                    <c:v>W025</c:v>
                  </c:pt>
                  <c:pt idx="629">
                    <c:v>W007</c:v>
                  </c:pt>
                  <c:pt idx="630">
                    <c:v>W029</c:v>
                  </c:pt>
                  <c:pt idx="631">
                    <c:v>W002</c:v>
                  </c:pt>
                  <c:pt idx="632">
                    <c:v>W007</c:v>
                  </c:pt>
                  <c:pt idx="633">
                    <c:v>W006</c:v>
                  </c:pt>
                  <c:pt idx="634">
                    <c:v>W031</c:v>
                  </c:pt>
                  <c:pt idx="635">
                    <c:v>W010</c:v>
                  </c:pt>
                  <c:pt idx="636">
                    <c:v>W005</c:v>
                  </c:pt>
                  <c:pt idx="637">
                    <c:v>W028</c:v>
                  </c:pt>
                  <c:pt idx="638">
                    <c:v>W001</c:v>
                  </c:pt>
                  <c:pt idx="639">
                    <c:v>W020</c:v>
                  </c:pt>
                  <c:pt idx="640">
                    <c:v>W007</c:v>
                  </c:pt>
                  <c:pt idx="641">
                    <c:v>W027</c:v>
                  </c:pt>
                  <c:pt idx="642">
                    <c:v>W001</c:v>
                  </c:pt>
                  <c:pt idx="643">
                    <c:v>W005</c:v>
                  </c:pt>
                  <c:pt idx="644">
                    <c:v>W029</c:v>
                  </c:pt>
                  <c:pt idx="645">
                    <c:v>W009</c:v>
                  </c:pt>
                  <c:pt idx="646">
                    <c:v>W014</c:v>
                  </c:pt>
                  <c:pt idx="647">
                    <c:v>W013</c:v>
                  </c:pt>
                  <c:pt idx="648">
                    <c:v>W025</c:v>
                  </c:pt>
                  <c:pt idx="649">
                    <c:v>W007</c:v>
                  </c:pt>
                  <c:pt idx="650">
                    <c:v>W009</c:v>
                  </c:pt>
                  <c:pt idx="651">
                    <c:v>W023</c:v>
                  </c:pt>
                  <c:pt idx="652">
                    <c:v>W001</c:v>
                  </c:pt>
                  <c:pt idx="653">
                    <c:v>W002</c:v>
                  </c:pt>
                  <c:pt idx="654">
                    <c:v>W007</c:v>
                  </c:pt>
                  <c:pt idx="655">
                    <c:v>W029</c:v>
                  </c:pt>
                  <c:pt idx="656">
                    <c:v>W027</c:v>
                  </c:pt>
                  <c:pt idx="657">
                    <c:v>W002</c:v>
                  </c:pt>
                  <c:pt idx="658">
                    <c:v>W011</c:v>
                  </c:pt>
                  <c:pt idx="659">
                    <c:v>W015</c:v>
                  </c:pt>
                  <c:pt idx="660">
                    <c:v>W018</c:v>
                  </c:pt>
                  <c:pt idx="661">
                    <c:v>W028</c:v>
                  </c:pt>
                  <c:pt idx="662">
                    <c:v>W022</c:v>
                  </c:pt>
                  <c:pt idx="663">
                    <c:v>W009</c:v>
                  </c:pt>
                  <c:pt idx="664">
                    <c:v>W032</c:v>
                  </c:pt>
                  <c:pt idx="665">
                    <c:v>W018</c:v>
                  </c:pt>
                  <c:pt idx="666">
                    <c:v>W019</c:v>
                  </c:pt>
                  <c:pt idx="667">
                    <c:v>W030</c:v>
                  </c:pt>
                  <c:pt idx="668">
                    <c:v>W029</c:v>
                  </c:pt>
                  <c:pt idx="669">
                    <c:v>W029</c:v>
                  </c:pt>
                  <c:pt idx="670">
                    <c:v>W019</c:v>
                  </c:pt>
                  <c:pt idx="671">
                    <c:v>W012</c:v>
                  </c:pt>
                  <c:pt idx="672">
                    <c:v>W008</c:v>
                  </c:pt>
                  <c:pt idx="673">
                    <c:v>W005</c:v>
                  </c:pt>
                  <c:pt idx="674">
                    <c:v>W004</c:v>
                  </c:pt>
                  <c:pt idx="675">
                    <c:v>W015</c:v>
                  </c:pt>
                  <c:pt idx="676">
                    <c:v>W028</c:v>
                  </c:pt>
                  <c:pt idx="677">
                    <c:v>W009</c:v>
                  </c:pt>
                  <c:pt idx="678">
                    <c:v>W003</c:v>
                  </c:pt>
                  <c:pt idx="679">
                    <c:v>W016</c:v>
                  </c:pt>
                  <c:pt idx="680">
                    <c:v>W018</c:v>
                  </c:pt>
                  <c:pt idx="681">
                    <c:v>W024</c:v>
                  </c:pt>
                  <c:pt idx="682">
                    <c:v>W001</c:v>
                  </c:pt>
                  <c:pt idx="683">
                    <c:v>W020</c:v>
                  </c:pt>
                  <c:pt idx="684">
                    <c:v>W008</c:v>
                  </c:pt>
                  <c:pt idx="685">
                    <c:v>W016</c:v>
                  </c:pt>
                  <c:pt idx="686">
                    <c:v>W030</c:v>
                  </c:pt>
                  <c:pt idx="687">
                    <c:v>W006</c:v>
                  </c:pt>
                  <c:pt idx="688">
                    <c:v>W029</c:v>
                  </c:pt>
                  <c:pt idx="689">
                    <c:v>W013</c:v>
                  </c:pt>
                  <c:pt idx="690">
                    <c:v>W012</c:v>
                  </c:pt>
                  <c:pt idx="691">
                    <c:v>W009</c:v>
                  </c:pt>
                  <c:pt idx="692">
                    <c:v>W024</c:v>
                  </c:pt>
                  <c:pt idx="693">
                    <c:v>W031</c:v>
                  </c:pt>
                  <c:pt idx="694">
                    <c:v>W023</c:v>
                  </c:pt>
                  <c:pt idx="695">
                    <c:v>W002</c:v>
                  </c:pt>
                  <c:pt idx="696">
                    <c:v>W008</c:v>
                  </c:pt>
                  <c:pt idx="697">
                    <c:v>W024</c:v>
                  </c:pt>
                  <c:pt idx="698">
                    <c:v>W008</c:v>
                  </c:pt>
                  <c:pt idx="699">
                    <c:v>W005</c:v>
                  </c:pt>
                  <c:pt idx="700">
                    <c:v>W021</c:v>
                  </c:pt>
                  <c:pt idx="701">
                    <c:v>W026</c:v>
                  </c:pt>
                  <c:pt idx="702">
                    <c:v>W004</c:v>
                  </c:pt>
                  <c:pt idx="703">
                    <c:v>W009</c:v>
                  </c:pt>
                  <c:pt idx="704">
                    <c:v>W014</c:v>
                  </c:pt>
                  <c:pt idx="705">
                    <c:v>W015</c:v>
                  </c:pt>
                  <c:pt idx="706">
                    <c:v>W009</c:v>
                  </c:pt>
                  <c:pt idx="707">
                    <c:v>W013</c:v>
                  </c:pt>
                  <c:pt idx="708">
                    <c:v>W007</c:v>
                  </c:pt>
                  <c:pt idx="709">
                    <c:v>W017</c:v>
                  </c:pt>
                  <c:pt idx="710">
                    <c:v>W008</c:v>
                  </c:pt>
                  <c:pt idx="711">
                    <c:v>W018</c:v>
                  </c:pt>
                  <c:pt idx="712">
                    <c:v>W004</c:v>
                  </c:pt>
                  <c:pt idx="713">
                    <c:v>W019</c:v>
                  </c:pt>
                  <c:pt idx="714">
                    <c:v>W020</c:v>
                  </c:pt>
                  <c:pt idx="715">
                    <c:v>W008</c:v>
                  </c:pt>
                  <c:pt idx="716">
                    <c:v>W002</c:v>
                  </c:pt>
                  <c:pt idx="717">
                    <c:v>W028</c:v>
                  </c:pt>
                  <c:pt idx="718">
                    <c:v>W005</c:v>
                  </c:pt>
                  <c:pt idx="719">
                    <c:v>W002</c:v>
                  </c:pt>
                  <c:pt idx="720">
                    <c:v>W016</c:v>
                  </c:pt>
                  <c:pt idx="721">
                    <c:v>W009</c:v>
                  </c:pt>
                  <c:pt idx="722">
                    <c:v>W024</c:v>
                  </c:pt>
                  <c:pt idx="723">
                    <c:v>W018</c:v>
                  </c:pt>
                  <c:pt idx="724">
                    <c:v>W020</c:v>
                  </c:pt>
                  <c:pt idx="725">
                    <c:v>W015</c:v>
                  </c:pt>
                  <c:pt idx="726">
                    <c:v>W022</c:v>
                  </c:pt>
                  <c:pt idx="727">
                    <c:v>W018</c:v>
                  </c:pt>
                  <c:pt idx="728">
                    <c:v>W006</c:v>
                  </c:pt>
                  <c:pt idx="729">
                    <c:v>W022</c:v>
                  </c:pt>
                  <c:pt idx="730">
                    <c:v>W029</c:v>
                  </c:pt>
                  <c:pt idx="731">
                    <c:v>W031</c:v>
                  </c:pt>
                  <c:pt idx="732">
                    <c:v>W011</c:v>
                  </c:pt>
                  <c:pt idx="733">
                    <c:v>W011</c:v>
                  </c:pt>
                  <c:pt idx="734">
                    <c:v>W028</c:v>
                  </c:pt>
                  <c:pt idx="735">
                    <c:v>W010</c:v>
                  </c:pt>
                  <c:pt idx="736">
                    <c:v>W016</c:v>
                  </c:pt>
                  <c:pt idx="737">
                    <c:v>W009</c:v>
                  </c:pt>
                  <c:pt idx="738">
                    <c:v>W007</c:v>
                  </c:pt>
                  <c:pt idx="739">
                    <c:v>W028</c:v>
                  </c:pt>
                  <c:pt idx="740">
                    <c:v>W032</c:v>
                  </c:pt>
                  <c:pt idx="741">
                    <c:v>W016</c:v>
                  </c:pt>
                  <c:pt idx="742">
                    <c:v>W011</c:v>
                  </c:pt>
                  <c:pt idx="743">
                    <c:v>W014</c:v>
                  </c:pt>
                  <c:pt idx="744">
                    <c:v>W026</c:v>
                  </c:pt>
                  <c:pt idx="745">
                    <c:v>W029</c:v>
                  </c:pt>
                  <c:pt idx="746">
                    <c:v>W022</c:v>
                  </c:pt>
                  <c:pt idx="747">
                    <c:v>W008</c:v>
                  </c:pt>
                  <c:pt idx="748">
                    <c:v>W020</c:v>
                  </c:pt>
                  <c:pt idx="749">
                    <c:v>W014</c:v>
                  </c:pt>
                  <c:pt idx="750">
                    <c:v>W009</c:v>
                  </c:pt>
                  <c:pt idx="751">
                    <c:v>W021</c:v>
                  </c:pt>
                  <c:pt idx="752">
                    <c:v>W029</c:v>
                  </c:pt>
                  <c:pt idx="753">
                    <c:v>W011</c:v>
                  </c:pt>
                  <c:pt idx="754">
                    <c:v>W030</c:v>
                  </c:pt>
                  <c:pt idx="755">
                    <c:v>W002</c:v>
                  </c:pt>
                  <c:pt idx="756">
                    <c:v>W018</c:v>
                  </c:pt>
                  <c:pt idx="757">
                    <c:v>W015</c:v>
                  </c:pt>
                  <c:pt idx="758">
                    <c:v>W005</c:v>
                  </c:pt>
                  <c:pt idx="759">
                    <c:v>W009</c:v>
                  </c:pt>
                  <c:pt idx="760">
                    <c:v>W023</c:v>
                  </c:pt>
                  <c:pt idx="761">
                    <c:v>W023</c:v>
                  </c:pt>
                  <c:pt idx="762">
                    <c:v>W014</c:v>
                  </c:pt>
                  <c:pt idx="763">
                    <c:v>W008</c:v>
                  </c:pt>
                  <c:pt idx="764">
                    <c:v>W015</c:v>
                  </c:pt>
                  <c:pt idx="765">
                    <c:v>W025</c:v>
                  </c:pt>
                  <c:pt idx="766">
                    <c:v>W030</c:v>
                  </c:pt>
                  <c:pt idx="767">
                    <c:v>W025</c:v>
                  </c:pt>
                  <c:pt idx="768">
                    <c:v>W031</c:v>
                  </c:pt>
                  <c:pt idx="769">
                    <c:v>W004</c:v>
                  </c:pt>
                  <c:pt idx="770">
                    <c:v>W019</c:v>
                  </c:pt>
                  <c:pt idx="771">
                    <c:v>W017</c:v>
                  </c:pt>
                  <c:pt idx="772">
                    <c:v>W007</c:v>
                  </c:pt>
                  <c:pt idx="773">
                    <c:v>W010</c:v>
                  </c:pt>
                  <c:pt idx="774">
                    <c:v>W012</c:v>
                  </c:pt>
                  <c:pt idx="775">
                    <c:v>W030</c:v>
                  </c:pt>
                  <c:pt idx="776">
                    <c:v>W014</c:v>
                  </c:pt>
                  <c:pt idx="777">
                    <c:v>W018</c:v>
                  </c:pt>
                  <c:pt idx="778">
                    <c:v>W018</c:v>
                  </c:pt>
                  <c:pt idx="779">
                    <c:v>W027</c:v>
                  </c:pt>
                  <c:pt idx="780">
                    <c:v>W032</c:v>
                  </c:pt>
                  <c:pt idx="781">
                    <c:v>W015</c:v>
                  </c:pt>
                  <c:pt idx="782">
                    <c:v>W020</c:v>
                  </c:pt>
                  <c:pt idx="783">
                    <c:v>W023</c:v>
                  </c:pt>
                  <c:pt idx="784">
                    <c:v>W014</c:v>
                  </c:pt>
                  <c:pt idx="785">
                    <c:v>W011</c:v>
                  </c:pt>
                  <c:pt idx="786">
                    <c:v>W030</c:v>
                  </c:pt>
                  <c:pt idx="787">
                    <c:v>W023</c:v>
                  </c:pt>
                  <c:pt idx="788">
                    <c:v>W015</c:v>
                  </c:pt>
                  <c:pt idx="789">
                    <c:v>W015</c:v>
                  </c:pt>
                  <c:pt idx="790">
                    <c:v>W006</c:v>
                  </c:pt>
                  <c:pt idx="791">
                    <c:v>W020</c:v>
                  </c:pt>
                  <c:pt idx="792">
                    <c:v>W025</c:v>
                  </c:pt>
                  <c:pt idx="793">
                    <c:v>W016</c:v>
                  </c:pt>
                  <c:pt idx="794">
                    <c:v>W019</c:v>
                  </c:pt>
                  <c:pt idx="795">
                    <c:v>W024</c:v>
                  </c:pt>
                  <c:pt idx="796">
                    <c:v>W012</c:v>
                  </c:pt>
                  <c:pt idx="797">
                    <c:v>W032</c:v>
                  </c:pt>
                  <c:pt idx="798">
                    <c:v>W024</c:v>
                  </c:pt>
                  <c:pt idx="799">
                    <c:v>W014</c:v>
                  </c:pt>
                  <c:pt idx="800">
                    <c:v>W006</c:v>
                  </c:pt>
                  <c:pt idx="801">
                    <c:v>W030</c:v>
                  </c:pt>
                  <c:pt idx="802">
                    <c:v>W032</c:v>
                  </c:pt>
                  <c:pt idx="803">
                    <c:v>W003</c:v>
                  </c:pt>
                  <c:pt idx="804">
                    <c:v>W032</c:v>
                  </c:pt>
                  <c:pt idx="805">
                    <c:v>W032</c:v>
                  </c:pt>
                  <c:pt idx="806">
                    <c:v>W008</c:v>
                  </c:pt>
                  <c:pt idx="807">
                    <c:v>W013</c:v>
                  </c:pt>
                  <c:pt idx="808">
                    <c:v>W018</c:v>
                  </c:pt>
                  <c:pt idx="809">
                    <c:v>W028</c:v>
                  </c:pt>
                  <c:pt idx="810">
                    <c:v>W022</c:v>
                  </c:pt>
                  <c:pt idx="811">
                    <c:v>W014</c:v>
                  </c:pt>
                  <c:pt idx="812">
                    <c:v>W028</c:v>
                  </c:pt>
                  <c:pt idx="813">
                    <c:v>W005</c:v>
                  </c:pt>
                  <c:pt idx="814">
                    <c:v>W012</c:v>
                  </c:pt>
                  <c:pt idx="815">
                    <c:v>W011</c:v>
                  </c:pt>
                  <c:pt idx="816">
                    <c:v>W015</c:v>
                  </c:pt>
                  <c:pt idx="817">
                    <c:v>W022</c:v>
                  </c:pt>
                  <c:pt idx="818">
                    <c:v>W012</c:v>
                  </c:pt>
                  <c:pt idx="819">
                    <c:v>W028</c:v>
                  </c:pt>
                  <c:pt idx="820">
                    <c:v>W001</c:v>
                  </c:pt>
                  <c:pt idx="821">
                    <c:v>W005</c:v>
                  </c:pt>
                  <c:pt idx="822">
                    <c:v>W017</c:v>
                  </c:pt>
                  <c:pt idx="823">
                    <c:v>W028</c:v>
                  </c:pt>
                  <c:pt idx="824">
                    <c:v>W032</c:v>
                  </c:pt>
                  <c:pt idx="825">
                    <c:v>W003</c:v>
                  </c:pt>
                  <c:pt idx="826">
                    <c:v>W006</c:v>
                  </c:pt>
                  <c:pt idx="827">
                    <c:v>W010</c:v>
                  </c:pt>
                  <c:pt idx="828">
                    <c:v>W019</c:v>
                  </c:pt>
                  <c:pt idx="829">
                    <c:v>W021</c:v>
                  </c:pt>
                  <c:pt idx="830">
                    <c:v>W019</c:v>
                  </c:pt>
                  <c:pt idx="831">
                    <c:v>W017</c:v>
                  </c:pt>
                  <c:pt idx="832">
                    <c:v>W007</c:v>
                  </c:pt>
                  <c:pt idx="833">
                    <c:v>W017</c:v>
                  </c:pt>
                  <c:pt idx="834">
                    <c:v>W016</c:v>
                  </c:pt>
                  <c:pt idx="835">
                    <c:v>W005</c:v>
                  </c:pt>
                  <c:pt idx="836">
                    <c:v>W016</c:v>
                  </c:pt>
                  <c:pt idx="837">
                    <c:v>W009</c:v>
                  </c:pt>
                  <c:pt idx="838">
                    <c:v>W029</c:v>
                  </c:pt>
                  <c:pt idx="839">
                    <c:v>W021</c:v>
                  </c:pt>
                  <c:pt idx="840">
                    <c:v>W007</c:v>
                  </c:pt>
                  <c:pt idx="841">
                    <c:v>W007</c:v>
                  </c:pt>
                  <c:pt idx="842">
                    <c:v>W014</c:v>
                  </c:pt>
                  <c:pt idx="843">
                    <c:v>W008</c:v>
                  </c:pt>
                  <c:pt idx="844">
                    <c:v>W031</c:v>
                  </c:pt>
                  <c:pt idx="845">
                    <c:v>W030</c:v>
                  </c:pt>
                  <c:pt idx="846">
                    <c:v>W031</c:v>
                  </c:pt>
                  <c:pt idx="847">
                    <c:v>W001</c:v>
                  </c:pt>
                  <c:pt idx="848">
                    <c:v>W018</c:v>
                  </c:pt>
                  <c:pt idx="849">
                    <c:v>W014</c:v>
                  </c:pt>
                  <c:pt idx="850">
                    <c:v>W021</c:v>
                  </c:pt>
                  <c:pt idx="851">
                    <c:v>W025</c:v>
                  </c:pt>
                  <c:pt idx="852">
                    <c:v>W025</c:v>
                  </c:pt>
                  <c:pt idx="853">
                    <c:v>W019</c:v>
                  </c:pt>
                  <c:pt idx="854">
                    <c:v>W001</c:v>
                  </c:pt>
                  <c:pt idx="855">
                    <c:v>W026</c:v>
                  </c:pt>
                  <c:pt idx="856">
                    <c:v>W017</c:v>
                  </c:pt>
                  <c:pt idx="857">
                    <c:v>W023</c:v>
                  </c:pt>
                  <c:pt idx="858">
                    <c:v>W003</c:v>
                  </c:pt>
                  <c:pt idx="859">
                    <c:v>W017</c:v>
                  </c:pt>
                  <c:pt idx="860">
                    <c:v>W014</c:v>
                  </c:pt>
                  <c:pt idx="861">
                    <c:v>W012</c:v>
                  </c:pt>
                  <c:pt idx="862">
                    <c:v>W020</c:v>
                  </c:pt>
                  <c:pt idx="863">
                    <c:v>W002</c:v>
                  </c:pt>
                  <c:pt idx="864">
                    <c:v>W003</c:v>
                  </c:pt>
                  <c:pt idx="865">
                    <c:v>W002</c:v>
                  </c:pt>
                  <c:pt idx="866">
                    <c:v>W011</c:v>
                  </c:pt>
                  <c:pt idx="867">
                    <c:v>W021</c:v>
                  </c:pt>
                  <c:pt idx="868">
                    <c:v>W017</c:v>
                  </c:pt>
                  <c:pt idx="869">
                    <c:v>W019</c:v>
                  </c:pt>
                  <c:pt idx="870">
                    <c:v>W010</c:v>
                  </c:pt>
                  <c:pt idx="871">
                    <c:v>W020</c:v>
                  </c:pt>
                  <c:pt idx="872">
                    <c:v>W032</c:v>
                  </c:pt>
                  <c:pt idx="873">
                    <c:v>W025</c:v>
                  </c:pt>
                  <c:pt idx="874">
                    <c:v>W011</c:v>
                  </c:pt>
                  <c:pt idx="875">
                    <c:v>W030</c:v>
                  </c:pt>
                  <c:pt idx="876">
                    <c:v>W017</c:v>
                  </c:pt>
                  <c:pt idx="877">
                    <c:v>W019</c:v>
                  </c:pt>
                  <c:pt idx="878">
                    <c:v>W018</c:v>
                  </c:pt>
                  <c:pt idx="879">
                    <c:v>W001</c:v>
                  </c:pt>
                  <c:pt idx="880">
                    <c:v>W002</c:v>
                  </c:pt>
                  <c:pt idx="881">
                    <c:v>W001</c:v>
                  </c:pt>
                  <c:pt idx="882">
                    <c:v>W013</c:v>
                  </c:pt>
                  <c:pt idx="883">
                    <c:v>W015</c:v>
                  </c:pt>
                  <c:pt idx="884">
                    <c:v>W007</c:v>
                  </c:pt>
                  <c:pt idx="885">
                    <c:v>W022</c:v>
                  </c:pt>
                  <c:pt idx="886">
                    <c:v>W010</c:v>
                  </c:pt>
                  <c:pt idx="887">
                    <c:v>W014</c:v>
                  </c:pt>
                  <c:pt idx="888">
                    <c:v>W030</c:v>
                  </c:pt>
                  <c:pt idx="889">
                    <c:v>W026</c:v>
                  </c:pt>
                  <c:pt idx="890">
                    <c:v>W008</c:v>
                  </c:pt>
                  <c:pt idx="891">
                    <c:v>W008</c:v>
                  </c:pt>
                  <c:pt idx="892">
                    <c:v>W012</c:v>
                  </c:pt>
                  <c:pt idx="893">
                    <c:v>W025</c:v>
                  </c:pt>
                  <c:pt idx="894">
                    <c:v>W007</c:v>
                  </c:pt>
                  <c:pt idx="895">
                    <c:v>W029</c:v>
                  </c:pt>
                  <c:pt idx="896">
                    <c:v>W014</c:v>
                  </c:pt>
                  <c:pt idx="897">
                    <c:v>W022</c:v>
                  </c:pt>
                  <c:pt idx="898">
                    <c:v>W006</c:v>
                  </c:pt>
                  <c:pt idx="899">
                    <c:v>W032</c:v>
                  </c:pt>
                  <c:pt idx="900">
                    <c:v>W014</c:v>
                  </c:pt>
                  <c:pt idx="901">
                    <c:v>W022</c:v>
                  </c:pt>
                  <c:pt idx="902">
                    <c:v>W018</c:v>
                  </c:pt>
                  <c:pt idx="903">
                    <c:v>W015</c:v>
                  </c:pt>
                  <c:pt idx="904">
                    <c:v>W006</c:v>
                  </c:pt>
                  <c:pt idx="905">
                    <c:v>W019</c:v>
                  </c:pt>
                  <c:pt idx="906">
                    <c:v>W008</c:v>
                  </c:pt>
                  <c:pt idx="907">
                    <c:v>W005</c:v>
                  </c:pt>
                  <c:pt idx="908">
                    <c:v>W009</c:v>
                  </c:pt>
                  <c:pt idx="909">
                    <c:v>W030</c:v>
                  </c:pt>
                  <c:pt idx="910">
                    <c:v>W021</c:v>
                  </c:pt>
                  <c:pt idx="911">
                    <c:v>W032</c:v>
                  </c:pt>
                  <c:pt idx="912">
                    <c:v>W014</c:v>
                  </c:pt>
                  <c:pt idx="913">
                    <c:v>W028</c:v>
                  </c:pt>
                  <c:pt idx="914">
                    <c:v>W030</c:v>
                  </c:pt>
                  <c:pt idx="915">
                    <c:v>W002</c:v>
                  </c:pt>
                  <c:pt idx="916">
                    <c:v>W032</c:v>
                  </c:pt>
                  <c:pt idx="917">
                    <c:v>W024</c:v>
                  </c:pt>
                  <c:pt idx="918">
                    <c:v>W003</c:v>
                  </c:pt>
                  <c:pt idx="919">
                    <c:v>W005</c:v>
                  </c:pt>
                  <c:pt idx="920">
                    <c:v>W020</c:v>
                  </c:pt>
                  <c:pt idx="921">
                    <c:v>W026</c:v>
                  </c:pt>
                  <c:pt idx="922">
                    <c:v>W014</c:v>
                  </c:pt>
                  <c:pt idx="923">
                    <c:v>W005</c:v>
                  </c:pt>
                  <c:pt idx="924">
                    <c:v>W021</c:v>
                  </c:pt>
                  <c:pt idx="925">
                    <c:v>W003</c:v>
                  </c:pt>
                  <c:pt idx="926">
                    <c:v>W031</c:v>
                  </c:pt>
                  <c:pt idx="927">
                    <c:v>W002</c:v>
                  </c:pt>
                  <c:pt idx="928">
                    <c:v>W009</c:v>
                  </c:pt>
                  <c:pt idx="929">
                    <c:v>W022</c:v>
                  </c:pt>
                  <c:pt idx="930">
                    <c:v>W027</c:v>
                  </c:pt>
                  <c:pt idx="931">
                    <c:v>W029</c:v>
                  </c:pt>
                  <c:pt idx="932">
                    <c:v>W027</c:v>
                  </c:pt>
                  <c:pt idx="933">
                    <c:v>W001</c:v>
                  </c:pt>
                  <c:pt idx="934">
                    <c:v>W018</c:v>
                  </c:pt>
                  <c:pt idx="935">
                    <c:v>W024</c:v>
                  </c:pt>
                  <c:pt idx="936">
                    <c:v>W007</c:v>
                  </c:pt>
                  <c:pt idx="937">
                    <c:v>W010</c:v>
                  </c:pt>
                  <c:pt idx="938">
                    <c:v>W018</c:v>
                  </c:pt>
                  <c:pt idx="939">
                    <c:v>W014</c:v>
                  </c:pt>
                  <c:pt idx="940">
                    <c:v>W018</c:v>
                  </c:pt>
                  <c:pt idx="941">
                    <c:v>W014</c:v>
                  </c:pt>
                  <c:pt idx="942">
                    <c:v>W004</c:v>
                  </c:pt>
                  <c:pt idx="943">
                    <c:v>W032</c:v>
                  </c:pt>
                  <c:pt idx="944">
                    <c:v>W016</c:v>
                  </c:pt>
                  <c:pt idx="945">
                    <c:v>W013</c:v>
                  </c:pt>
                  <c:pt idx="946">
                    <c:v>W013</c:v>
                  </c:pt>
                  <c:pt idx="947">
                    <c:v>W024</c:v>
                  </c:pt>
                  <c:pt idx="948">
                    <c:v>W017</c:v>
                  </c:pt>
                  <c:pt idx="949">
                    <c:v>W028</c:v>
                  </c:pt>
                  <c:pt idx="950">
                    <c:v>W016</c:v>
                  </c:pt>
                  <c:pt idx="951">
                    <c:v>W026</c:v>
                  </c:pt>
                  <c:pt idx="952">
                    <c:v>W001</c:v>
                  </c:pt>
                  <c:pt idx="953">
                    <c:v>W016</c:v>
                  </c:pt>
                  <c:pt idx="954">
                    <c:v>W027</c:v>
                  </c:pt>
                  <c:pt idx="955">
                    <c:v>W025</c:v>
                  </c:pt>
                  <c:pt idx="956">
                    <c:v>W003</c:v>
                  </c:pt>
                  <c:pt idx="957">
                    <c:v>W012</c:v>
                  </c:pt>
                  <c:pt idx="958">
                    <c:v>W001</c:v>
                  </c:pt>
                  <c:pt idx="959">
                    <c:v>W016</c:v>
                  </c:pt>
                  <c:pt idx="960">
                    <c:v>W002</c:v>
                  </c:pt>
                  <c:pt idx="961">
                    <c:v>W018</c:v>
                  </c:pt>
                  <c:pt idx="962">
                    <c:v>W008</c:v>
                  </c:pt>
                  <c:pt idx="963">
                    <c:v>W011</c:v>
                  </c:pt>
                  <c:pt idx="964">
                    <c:v>W019</c:v>
                  </c:pt>
                  <c:pt idx="965">
                    <c:v>W001</c:v>
                  </c:pt>
                  <c:pt idx="966">
                    <c:v>W026</c:v>
                  </c:pt>
                  <c:pt idx="967">
                    <c:v>W013</c:v>
                  </c:pt>
                  <c:pt idx="968">
                    <c:v>W021</c:v>
                  </c:pt>
                  <c:pt idx="969">
                    <c:v>W015</c:v>
                  </c:pt>
                  <c:pt idx="970">
                    <c:v>W014</c:v>
                  </c:pt>
                  <c:pt idx="971">
                    <c:v>W019</c:v>
                  </c:pt>
                  <c:pt idx="972">
                    <c:v>W029</c:v>
                  </c:pt>
                  <c:pt idx="973">
                    <c:v>W028</c:v>
                  </c:pt>
                  <c:pt idx="974">
                    <c:v>W022</c:v>
                  </c:pt>
                  <c:pt idx="975">
                    <c:v>W007</c:v>
                  </c:pt>
                  <c:pt idx="976">
                    <c:v>W006</c:v>
                  </c:pt>
                  <c:pt idx="977">
                    <c:v>W008</c:v>
                  </c:pt>
                  <c:pt idx="978">
                    <c:v>W002</c:v>
                  </c:pt>
                  <c:pt idx="979">
                    <c:v>W025</c:v>
                  </c:pt>
                  <c:pt idx="980">
                    <c:v>W032</c:v>
                  </c:pt>
                  <c:pt idx="981">
                    <c:v>W029</c:v>
                  </c:pt>
                  <c:pt idx="982">
                    <c:v>W011</c:v>
                  </c:pt>
                  <c:pt idx="983">
                    <c:v>W017</c:v>
                  </c:pt>
                  <c:pt idx="984">
                    <c:v>W012</c:v>
                  </c:pt>
                  <c:pt idx="985">
                    <c:v>W019</c:v>
                  </c:pt>
                  <c:pt idx="986">
                    <c:v>W022</c:v>
                  </c:pt>
                  <c:pt idx="987">
                    <c:v>W002</c:v>
                  </c:pt>
                  <c:pt idx="988">
                    <c:v>W013</c:v>
                  </c:pt>
                  <c:pt idx="989">
                    <c:v>W017</c:v>
                  </c:pt>
                  <c:pt idx="990">
                    <c:v>W002</c:v>
                  </c:pt>
                  <c:pt idx="991">
                    <c:v>W030</c:v>
                  </c:pt>
                  <c:pt idx="992">
                    <c:v>W030</c:v>
                  </c:pt>
                  <c:pt idx="993">
                    <c:v>W007</c:v>
                  </c:pt>
                  <c:pt idx="994">
                    <c:v>W011</c:v>
                  </c:pt>
                  <c:pt idx="995">
                    <c:v>W016</c:v>
                  </c:pt>
                  <c:pt idx="996">
                    <c:v>W006</c:v>
                  </c:pt>
                  <c:pt idx="997">
                    <c:v>W010</c:v>
                  </c:pt>
                  <c:pt idx="998">
                    <c:v>W013</c:v>
                  </c:pt>
                  <c:pt idx="999">
                    <c:v>W003</c:v>
                  </c:pt>
                  <c:pt idx="1000">
                    <c:v>W023</c:v>
                  </c:pt>
                  <c:pt idx="1001">
                    <c:v>W005</c:v>
                  </c:pt>
                  <c:pt idx="1002">
                    <c:v>W029</c:v>
                  </c:pt>
                  <c:pt idx="1003">
                    <c:v>W031</c:v>
                  </c:pt>
                  <c:pt idx="1004">
                    <c:v>W006</c:v>
                  </c:pt>
                  <c:pt idx="1005">
                    <c:v>W029</c:v>
                  </c:pt>
                  <c:pt idx="1006">
                    <c:v>W012</c:v>
                  </c:pt>
                  <c:pt idx="1007">
                    <c:v>W006</c:v>
                  </c:pt>
                  <c:pt idx="1008">
                    <c:v>W023</c:v>
                  </c:pt>
                  <c:pt idx="1009">
                    <c:v>W004</c:v>
                  </c:pt>
                  <c:pt idx="1010">
                    <c:v>W009</c:v>
                  </c:pt>
                  <c:pt idx="1011">
                    <c:v>W027</c:v>
                  </c:pt>
                  <c:pt idx="1012">
                    <c:v>W002</c:v>
                  </c:pt>
                </c:lvl>
                <c:lvl>
                  <c:pt idx="0">
                    <c:v>P000001</c:v>
                  </c:pt>
                  <c:pt idx="1">
                    <c:v>P000002</c:v>
                  </c:pt>
                  <c:pt idx="2">
                    <c:v>P000003</c:v>
                  </c:pt>
                  <c:pt idx="3">
                    <c:v>P000004</c:v>
                  </c:pt>
                  <c:pt idx="4">
                    <c:v>P000006</c:v>
                  </c:pt>
                  <c:pt idx="5">
                    <c:v>P000007</c:v>
                  </c:pt>
                  <c:pt idx="6">
                    <c:v>P000008</c:v>
                  </c:pt>
                  <c:pt idx="7">
                    <c:v>P000009</c:v>
                  </c:pt>
                  <c:pt idx="8">
                    <c:v>P000010</c:v>
                  </c:pt>
                  <c:pt idx="9">
                    <c:v>P000011</c:v>
                  </c:pt>
                  <c:pt idx="10">
                    <c:v>P000012</c:v>
                  </c:pt>
                  <c:pt idx="11">
                    <c:v>P000013</c:v>
                  </c:pt>
                  <c:pt idx="12">
                    <c:v>P000015</c:v>
                  </c:pt>
                  <c:pt idx="13">
                    <c:v>P000016</c:v>
                  </c:pt>
                  <c:pt idx="14">
                    <c:v>P000017</c:v>
                  </c:pt>
                  <c:pt idx="15">
                    <c:v>P000018</c:v>
                  </c:pt>
                  <c:pt idx="16">
                    <c:v>P000019</c:v>
                  </c:pt>
                  <c:pt idx="17">
                    <c:v>P000020</c:v>
                  </c:pt>
                  <c:pt idx="18">
                    <c:v>P000022</c:v>
                  </c:pt>
                  <c:pt idx="19">
                    <c:v>P000023</c:v>
                  </c:pt>
                  <c:pt idx="20">
                    <c:v>P000024</c:v>
                  </c:pt>
                  <c:pt idx="21">
                    <c:v>P000025</c:v>
                  </c:pt>
                  <c:pt idx="22">
                    <c:v>P000026</c:v>
                  </c:pt>
                  <c:pt idx="23">
                    <c:v>P000028</c:v>
                  </c:pt>
                  <c:pt idx="24">
                    <c:v>P000029</c:v>
                  </c:pt>
                  <c:pt idx="25">
                    <c:v>P000030</c:v>
                  </c:pt>
                  <c:pt idx="26">
                    <c:v>P000031</c:v>
                  </c:pt>
                  <c:pt idx="27">
                    <c:v>P000032</c:v>
                  </c:pt>
                  <c:pt idx="28">
                    <c:v>P000034</c:v>
                  </c:pt>
                  <c:pt idx="29">
                    <c:v>P000035</c:v>
                  </c:pt>
                  <c:pt idx="30">
                    <c:v>P000037</c:v>
                  </c:pt>
                  <c:pt idx="31">
                    <c:v>P000038</c:v>
                  </c:pt>
                  <c:pt idx="32">
                    <c:v>P000040</c:v>
                  </c:pt>
                  <c:pt idx="33">
                    <c:v>P000041</c:v>
                  </c:pt>
                  <c:pt idx="34">
                    <c:v>P000042</c:v>
                  </c:pt>
                  <c:pt idx="35">
                    <c:v>P000043</c:v>
                  </c:pt>
                  <c:pt idx="36">
                    <c:v>P000044</c:v>
                  </c:pt>
                  <c:pt idx="37">
                    <c:v>P000045</c:v>
                  </c:pt>
                  <c:pt idx="38">
                    <c:v>P000046</c:v>
                  </c:pt>
                  <c:pt idx="39">
                    <c:v>P000047</c:v>
                  </c:pt>
                  <c:pt idx="40">
                    <c:v>P000048</c:v>
                  </c:pt>
                  <c:pt idx="41">
                    <c:v>P000050</c:v>
                  </c:pt>
                  <c:pt idx="42">
                    <c:v>P000051</c:v>
                  </c:pt>
                  <c:pt idx="43">
                    <c:v>P000052</c:v>
                  </c:pt>
                  <c:pt idx="44">
                    <c:v>P000053</c:v>
                  </c:pt>
                  <c:pt idx="45">
                    <c:v>P000054</c:v>
                  </c:pt>
                  <c:pt idx="46">
                    <c:v>P000055</c:v>
                  </c:pt>
                  <c:pt idx="47">
                    <c:v>P000056</c:v>
                  </c:pt>
                  <c:pt idx="48">
                    <c:v>P000057</c:v>
                  </c:pt>
                  <c:pt idx="49">
                    <c:v>P000058</c:v>
                  </c:pt>
                  <c:pt idx="50">
                    <c:v>P000059</c:v>
                  </c:pt>
                  <c:pt idx="51">
                    <c:v>P000060</c:v>
                  </c:pt>
                  <c:pt idx="52">
                    <c:v>P000061</c:v>
                  </c:pt>
                  <c:pt idx="53">
                    <c:v>P000062</c:v>
                  </c:pt>
                  <c:pt idx="54">
                    <c:v>P000063</c:v>
                  </c:pt>
                  <c:pt idx="55">
                    <c:v>P000064</c:v>
                  </c:pt>
                  <c:pt idx="56">
                    <c:v>P000065</c:v>
                  </c:pt>
                  <c:pt idx="57">
                    <c:v>P000066</c:v>
                  </c:pt>
                  <c:pt idx="58">
                    <c:v>P000068</c:v>
                  </c:pt>
                  <c:pt idx="59">
                    <c:v>P000069</c:v>
                  </c:pt>
                  <c:pt idx="60">
                    <c:v>P000070</c:v>
                  </c:pt>
                  <c:pt idx="61">
                    <c:v>P000071</c:v>
                  </c:pt>
                  <c:pt idx="62">
                    <c:v>P000073</c:v>
                  </c:pt>
                  <c:pt idx="63">
                    <c:v>P000074</c:v>
                  </c:pt>
                  <c:pt idx="64">
                    <c:v>P000075</c:v>
                  </c:pt>
                  <c:pt idx="65">
                    <c:v>P000076</c:v>
                  </c:pt>
                  <c:pt idx="66">
                    <c:v>P000077</c:v>
                  </c:pt>
                  <c:pt idx="67">
                    <c:v>P000079</c:v>
                  </c:pt>
                  <c:pt idx="68">
                    <c:v>P000080</c:v>
                  </c:pt>
                  <c:pt idx="69">
                    <c:v>P000081</c:v>
                  </c:pt>
                  <c:pt idx="70">
                    <c:v>P000082</c:v>
                  </c:pt>
                  <c:pt idx="71">
                    <c:v>P000083</c:v>
                  </c:pt>
                  <c:pt idx="72">
                    <c:v>P000085</c:v>
                  </c:pt>
                  <c:pt idx="73">
                    <c:v>P000086</c:v>
                  </c:pt>
                  <c:pt idx="74">
                    <c:v>P000088</c:v>
                  </c:pt>
                  <c:pt idx="75">
                    <c:v>P000090</c:v>
                  </c:pt>
                  <c:pt idx="76">
                    <c:v>P000091</c:v>
                  </c:pt>
                  <c:pt idx="77">
                    <c:v>P000092</c:v>
                  </c:pt>
                  <c:pt idx="78">
                    <c:v>P000093</c:v>
                  </c:pt>
                  <c:pt idx="79">
                    <c:v>P000094</c:v>
                  </c:pt>
                  <c:pt idx="80">
                    <c:v>P000095</c:v>
                  </c:pt>
                  <c:pt idx="81">
                    <c:v>P000096</c:v>
                  </c:pt>
                  <c:pt idx="82">
                    <c:v>P000097</c:v>
                  </c:pt>
                  <c:pt idx="83">
                    <c:v>P000098</c:v>
                  </c:pt>
                  <c:pt idx="84">
                    <c:v>P000099</c:v>
                  </c:pt>
                  <c:pt idx="85">
                    <c:v>P000100</c:v>
                  </c:pt>
                  <c:pt idx="86">
                    <c:v>P000101</c:v>
                  </c:pt>
                  <c:pt idx="87">
                    <c:v>P000102</c:v>
                  </c:pt>
                  <c:pt idx="88">
                    <c:v>P000103</c:v>
                  </c:pt>
                  <c:pt idx="89">
                    <c:v>P000104</c:v>
                  </c:pt>
                  <c:pt idx="90">
                    <c:v>P000105</c:v>
                  </c:pt>
                  <c:pt idx="91">
                    <c:v>P000106</c:v>
                  </c:pt>
                  <c:pt idx="92">
                    <c:v>P000107</c:v>
                  </c:pt>
                  <c:pt idx="93">
                    <c:v>P000108</c:v>
                  </c:pt>
                  <c:pt idx="94">
                    <c:v>P000109</c:v>
                  </c:pt>
                  <c:pt idx="95">
                    <c:v>P000110</c:v>
                  </c:pt>
                  <c:pt idx="96">
                    <c:v>P000111</c:v>
                  </c:pt>
                  <c:pt idx="97">
                    <c:v>P000113</c:v>
                  </c:pt>
                  <c:pt idx="98">
                    <c:v>P000114</c:v>
                  </c:pt>
                  <c:pt idx="99">
                    <c:v>P000117</c:v>
                  </c:pt>
                  <c:pt idx="100">
                    <c:v>P000118</c:v>
                  </c:pt>
                  <c:pt idx="101">
                    <c:v>P000119</c:v>
                  </c:pt>
                  <c:pt idx="102">
                    <c:v>P000120</c:v>
                  </c:pt>
                  <c:pt idx="103">
                    <c:v>P000121</c:v>
                  </c:pt>
                  <c:pt idx="104">
                    <c:v>P000122</c:v>
                  </c:pt>
                  <c:pt idx="105">
                    <c:v>P000123</c:v>
                  </c:pt>
                  <c:pt idx="106">
                    <c:v>P000124</c:v>
                  </c:pt>
                  <c:pt idx="107">
                    <c:v>P000125</c:v>
                  </c:pt>
                  <c:pt idx="108">
                    <c:v>P000126</c:v>
                  </c:pt>
                  <c:pt idx="109">
                    <c:v>P000128</c:v>
                  </c:pt>
                  <c:pt idx="110">
                    <c:v>P000129</c:v>
                  </c:pt>
                  <c:pt idx="111">
                    <c:v>P000130</c:v>
                  </c:pt>
                  <c:pt idx="112">
                    <c:v>P000131</c:v>
                  </c:pt>
                  <c:pt idx="113">
                    <c:v>P000132</c:v>
                  </c:pt>
                  <c:pt idx="114">
                    <c:v>P000133</c:v>
                  </c:pt>
                  <c:pt idx="115">
                    <c:v>P000134</c:v>
                  </c:pt>
                  <c:pt idx="116">
                    <c:v>P000135</c:v>
                  </c:pt>
                  <c:pt idx="117">
                    <c:v>P000136</c:v>
                  </c:pt>
                  <c:pt idx="118">
                    <c:v>P000137</c:v>
                  </c:pt>
                  <c:pt idx="119">
                    <c:v>P000138</c:v>
                  </c:pt>
                  <c:pt idx="120">
                    <c:v>P000139</c:v>
                  </c:pt>
                  <c:pt idx="121">
                    <c:v>P000140</c:v>
                  </c:pt>
                  <c:pt idx="122">
                    <c:v>P000141</c:v>
                  </c:pt>
                  <c:pt idx="123">
                    <c:v>P000142</c:v>
                  </c:pt>
                  <c:pt idx="124">
                    <c:v>P000143</c:v>
                  </c:pt>
                  <c:pt idx="125">
                    <c:v>P000144</c:v>
                  </c:pt>
                  <c:pt idx="126">
                    <c:v>P000145</c:v>
                  </c:pt>
                  <c:pt idx="127">
                    <c:v>P000146</c:v>
                  </c:pt>
                  <c:pt idx="128">
                    <c:v>P000147</c:v>
                  </c:pt>
                  <c:pt idx="129">
                    <c:v>P000148</c:v>
                  </c:pt>
                  <c:pt idx="130">
                    <c:v>P000149</c:v>
                  </c:pt>
                  <c:pt idx="131">
                    <c:v>P000150</c:v>
                  </c:pt>
                  <c:pt idx="132">
                    <c:v>P000152</c:v>
                  </c:pt>
                  <c:pt idx="133">
                    <c:v>P000153</c:v>
                  </c:pt>
                  <c:pt idx="134">
                    <c:v>P000154</c:v>
                  </c:pt>
                  <c:pt idx="135">
                    <c:v>P000155</c:v>
                  </c:pt>
                  <c:pt idx="136">
                    <c:v>P000156</c:v>
                  </c:pt>
                  <c:pt idx="137">
                    <c:v>P000157</c:v>
                  </c:pt>
                  <c:pt idx="138">
                    <c:v>P000158</c:v>
                  </c:pt>
                  <c:pt idx="139">
                    <c:v>P000159</c:v>
                  </c:pt>
                  <c:pt idx="140">
                    <c:v>P000160</c:v>
                  </c:pt>
                  <c:pt idx="141">
                    <c:v>P000162</c:v>
                  </c:pt>
                  <c:pt idx="142">
                    <c:v>P000163</c:v>
                  </c:pt>
                  <c:pt idx="143">
                    <c:v>P000164</c:v>
                  </c:pt>
                  <c:pt idx="144">
                    <c:v>P000166</c:v>
                  </c:pt>
                  <c:pt idx="145">
                    <c:v>P000167</c:v>
                  </c:pt>
                  <c:pt idx="146">
                    <c:v>P000168</c:v>
                  </c:pt>
                  <c:pt idx="147">
                    <c:v>P000169</c:v>
                  </c:pt>
                  <c:pt idx="148">
                    <c:v>P000170</c:v>
                  </c:pt>
                  <c:pt idx="149">
                    <c:v>P000171</c:v>
                  </c:pt>
                  <c:pt idx="150">
                    <c:v>P000172</c:v>
                  </c:pt>
                  <c:pt idx="151">
                    <c:v>P000173</c:v>
                  </c:pt>
                  <c:pt idx="152">
                    <c:v>P000174</c:v>
                  </c:pt>
                  <c:pt idx="153">
                    <c:v>P000175</c:v>
                  </c:pt>
                  <c:pt idx="154">
                    <c:v>P000176</c:v>
                  </c:pt>
                  <c:pt idx="155">
                    <c:v>P000177</c:v>
                  </c:pt>
                  <c:pt idx="156">
                    <c:v>P000178</c:v>
                  </c:pt>
                  <c:pt idx="157">
                    <c:v>P000179</c:v>
                  </c:pt>
                  <c:pt idx="158">
                    <c:v>P000180</c:v>
                  </c:pt>
                  <c:pt idx="159">
                    <c:v>P000181</c:v>
                  </c:pt>
                  <c:pt idx="160">
                    <c:v>P000182</c:v>
                  </c:pt>
                  <c:pt idx="161">
                    <c:v>P000183</c:v>
                  </c:pt>
                  <c:pt idx="162">
                    <c:v>P000184</c:v>
                  </c:pt>
                  <c:pt idx="163">
                    <c:v>P000185</c:v>
                  </c:pt>
                  <c:pt idx="164">
                    <c:v>P000186</c:v>
                  </c:pt>
                  <c:pt idx="165">
                    <c:v>P000187</c:v>
                  </c:pt>
                  <c:pt idx="166">
                    <c:v>P000188</c:v>
                  </c:pt>
                  <c:pt idx="167">
                    <c:v>P000189</c:v>
                  </c:pt>
                  <c:pt idx="168">
                    <c:v>P000191</c:v>
                  </c:pt>
                  <c:pt idx="169">
                    <c:v>P000192</c:v>
                  </c:pt>
                  <c:pt idx="170">
                    <c:v>P000193</c:v>
                  </c:pt>
                  <c:pt idx="171">
                    <c:v>P000195</c:v>
                  </c:pt>
                  <c:pt idx="172">
                    <c:v>P000196</c:v>
                  </c:pt>
                  <c:pt idx="173">
                    <c:v>P000198</c:v>
                  </c:pt>
                  <c:pt idx="174">
                    <c:v>P000199</c:v>
                  </c:pt>
                  <c:pt idx="175">
                    <c:v>P000200</c:v>
                  </c:pt>
                  <c:pt idx="176">
                    <c:v>P000201</c:v>
                  </c:pt>
                  <c:pt idx="177">
                    <c:v>P000202</c:v>
                  </c:pt>
                  <c:pt idx="178">
                    <c:v>P000203</c:v>
                  </c:pt>
                  <c:pt idx="179">
                    <c:v>P000204</c:v>
                  </c:pt>
                  <c:pt idx="180">
                    <c:v>P000205</c:v>
                  </c:pt>
                  <c:pt idx="181">
                    <c:v>P000206</c:v>
                  </c:pt>
                  <c:pt idx="182">
                    <c:v>P000207</c:v>
                  </c:pt>
                  <c:pt idx="183">
                    <c:v>P000208</c:v>
                  </c:pt>
                  <c:pt idx="184">
                    <c:v>P000209</c:v>
                  </c:pt>
                  <c:pt idx="185">
                    <c:v>P000210</c:v>
                  </c:pt>
                  <c:pt idx="186">
                    <c:v>P000211</c:v>
                  </c:pt>
                  <c:pt idx="187">
                    <c:v>P000212</c:v>
                  </c:pt>
                  <c:pt idx="188">
                    <c:v>P000213</c:v>
                  </c:pt>
                  <c:pt idx="189">
                    <c:v>P000214</c:v>
                  </c:pt>
                  <c:pt idx="190">
                    <c:v>P000215</c:v>
                  </c:pt>
                  <c:pt idx="191">
                    <c:v>P000216</c:v>
                  </c:pt>
                  <c:pt idx="192">
                    <c:v>P000217</c:v>
                  </c:pt>
                  <c:pt idx="193">
                    <c:v>P000218</c:v>
                  </c:pt>
                  <c:pt idx="194">
                    <c:v>P000219</c:v>
                  </c:pt>
                  <c:pt idx="195">
                    <c:v>P000220</c:v>
                  </c:pt>
                  <c:pt idx="196">
                    <c:v>P000222</c:v>
                  </c:pt>
                  <c:pt idx="197">
                    <c:v>P000223</c:v>
                  </c:pt>
                  <c:pt idx="198">
                    <c:v>P000224</c:v>
                  </c:pt>
                  <c:pt idx="199">
                    <c:v>P000225</c:v>
                  </c:pt>
                  <c:pt idx="200">
                    <c:v>P000226</c:v>
                  </c:pt>
                  <c:pt idx="201">
                    <c:v>P000227</c:v>
                  </c:pt>
                  <c:pt idx="202">
                    <c:v>P000228</c:v>
                  </c:pt>
                  <c:pt idx="203">
                    <c:v>P000229</c:v>
                  </c:pt>
                  <c:pt idx="204">
                    <c:v>P000230</c:v>
                  </c:pt>
                  <c:pt idx="205">
                    <c:v>P000231</c:v>
                  </c:pt>
                  <c:pt idx="206">
                    <c:v>P000233</c:v>
                  </c:pt>
                  <c:pt idx="207">
                    <c:v>P000234</c:v>
                  </c:pt>
                  <c:pt idx="208">
                    <c:v>P000235</c:v>
                  </c:pt>
                  <c:pt idx="209">
                    <c:v>P000236</c:v>
                  </c:pt>
                  <c:pt idx="210">
                    <c:v>P000237</c:v>
                  </c:pt>
                  <c:pt idx="211">
                    <c:v>P000238</c:v>
                  </c:pt>
                  <c:pt idx="212">
                    <c:v>P000239</c:v>
                  </c:pt>
                  <c:pt idx="213">
                    <c:v>P000240</c:v>
                  </c:pt>
                  <c:pt idx="214">
                    <c:v>P000241</c:v>
                  </c:pt>
                  <c:pt idx="215">
                    <c:v>P000243</c:v>
                  </c:pt>
                  <c:pt idx="216">
                    <c:v>P000244</c:v>
                  </c:pt>
                  <c:pt idx="217">
                    <c:v>P000245</c:v>
                  </c:pt>
                  <c:pt idx="218">
                    <c:v>P000246</c:v>
                  </c:pt>
                  <c:pt idx="219">
                    <c:v>P000247</c:v>
                  </c:pt>
                  <c:pt idx="220">
                    <c:v>P000248</c:v>
                  </c:pt>
                  <c:pt idx="221">
                    <c:v>P000249</c:v>
                  </c:pt>
                  <c:pt idx="222">
                    <c:v>P000250</c:v>
                  </c:pt>
                  <c:pt idx="223">
                    <c:v>P000251</c:v>
                  </c:pt>
                  <c:pt idx="224">
                    <c:v>P000253</c:v>
                  </c:pt>
                  <c:pt idx="225">
                    <c:v>P000254</c:v>
                  </c:pt>
                  <c:pt idx="226">
                    <c:v>P000255</c:v>
                  </c:pt>
                  <c:pt idx="227">
                    <c:v>P000256</c:v>
                  </c:pt>
                  <c:pt idx="228">
                    <c:v>P000257</c:v>
                  </c:pt>
                  <c:pt idx="229">
                    <c:v>P000258</c:v>
                  </c:pt>
                  <c:pt idx="230">
                    <c:v>P000259</c:v>
                  </c:pt>
                  <c:pt idx="231">
                    <c:v>P000260</c:v>
                  </c:pt>
                  <c:pt idx="232">
                    <c:v>P000261</c:v>
                  </c:pt>
                  <c:pt idx="233">
                    <c:v>P000262</c:v>
                  </c:pt>
                  <c:pt idx="234">
                    <c:v>P000263</c:v>
                  </c:pt>
                  <c:pt idx="235">
                    <c:v>P000264</c:v>
                  </c:pt>
                  <c:pt idx="236">
                    <c:v>P000265</c:v>
                  </c:pt>
                  <c:pt idx="237">
                    <c:v>P000266</c:v>
                  </c:pt>
                  <c:pt idx="238">
                    <c:v>P000267</c:v>
                  </c:pt>
                  <c:pt idx="239">
                    <c:v>P000268</c:v>
                  </c:pt>
                  <c:pt idx="240">
                    <c:v>P000269</c:v>
                  </c:pt>
                  <c:pt idx="241">
                    <c:v>P000270</c:v>
                  </c:pt>
                  <c:pt idx="242">
                    <c:v>P000271</c:v>
                  </c:pt>
                  <c:pt idx="243">
                    <c:v>P000272</c:v>
                  </c:pt>
                  <c:pt idx="244">
                    <c:v>P000273</c:v>
                  </c:pt>
                  <c:pt idx="245">
                    <c:v>P000275</c:v>
                  </c:pt>
                  <c:pt idx="246">
                    <c:v>P000276</c:v>
                  </c:pt>
                  <c:pt idx="247">
                    <c:v>P000277</c:v>
                  </c:pt>
                  <c:pt idx="248">
                    <c:v>P000278</c:v>
                  </c:pt>
                  <c:pt idx="249">
                    <c:v>P000279</c:v>
                  </c:pt>
                  <c:pt idx="250">
                    <c:v>P000280</c:v>
                  </c:pt>
                  <c:pt idx="251">
                    <c:v>P000281</c:v>
                  </c:pt>
                  <c:pt idx="252">
                    <c:v>P000282</c:v>
                  </c:pt>
                  <c:pt idx="253">
                    <c:v>P000283</c:v>
                  </c:pt>
                  <c:pt idx="254">
                    <c:v>P000284</c:v>
                  </c:pt>
                  <c:pt idx="255">
                    <c:v>P000285</c:v>
                  </c:pt>
                  <c:pt idx="256">
                    <c:v>P000286</c:v>
                  </c:pt>
                  <c:pt idx="257">
                    <c:v>P000287</c:v>
                  </c:pt>
                  <c:pt idx="258">
                    <c:v>P000288</c:v>
                  </c:pt>
                  <c:pt idx="259">
                    <c:v>P000289</c:v>
                  </c:pt>
                  <c:pt idx="260">
                    <c:v>P000290</c:v>
                  </c:pt>
                  <c:pt idx="261">
                    <c:v>P000291</c:v>
                  </c:pt>
                  <c:pt idx="262">
                    <c:v>P000292</c:v>
                  </c:pt>
                  <c:pt idx="263">
                    <c:v>P000293</c:v>
                  </c:pt>
                  <c:pt idx="264">
                    <c:v>P000295</c:v>
                  </c:pt>
                  <c:pt idx="265">
                    <c:v>P000296</c:v>
                  </c:pt>
                  <c:pt idx="266">
                    <c:v>P000297</c:v>
                  </c:pt>
                  <c:pt idx="267">
                    <c:v>P000298</c:v>
                  </c:pt>
                  <c:pt idx="268">
                    <c:v>P000299</c:v>
                  </c:pt>
                  <c:pt idx="269">
                    <c:v>P000300</c:v>
                  </c:pt>
                  <c:pt idx="270">
                    <c:v>P000301</c:v>
                  </c:pt>
                  <c:pt idx="271">
                    <c:v>P000302</c:v>
                  </c:pt>
                  <c:pt idx="272">
                    <c:v>P000303</c:v>
                  </c:pt>
                  <c:pt idx="273">
                    <c:v>P000305</c:v>
                  </c:pt>
                  <c:pt idx="274">
                    <c:v>P000306</c:v>
                  </c:pt>
                  <c:pt idx="275">
                    <c:v>P000307</c:v>
                  </c:pt>
                  <c:pt idx="276">
                    <c:v>P000308</c:v>
                  </c:pt>
                  <c:pt idx="277">
                    <c:v>P000309</c:v>
                  </c:pt>
                  <c:pt idx="278">
                    <c:v>P000310</c:v>
                  </c:pt>
                  <c:pt idx="279">
                    <c:v>P000311</c:v>
                  </c:pt>
                  <c:pt idx="280">
                    <c:v>P000312</c:v>
                  </c:pt>
                  <c:pt idx="281">
                    <c:v>P000313</c:v>
                  </c:pt>
                  <c:pt idx="282">
                    <c:v>P000314</c:v>
                  </c:pt>
                  <c:pt idx="283">
                    <c:v>P000315</c:v>
                  </c:pt>
                  <c:pt idx="284">
                    <c:v>P000316</c:v>
                  </c:pt>
                  <c:pt idx="285">
                    <c:v>P000317</c:v>
                  </c:pt>
                  <c:pt idx="286">
                    <c:v>P000319</c:v>
                  </c:pt>
                  <c:pt idx="287">
                    <c:v>P000320</c:v>
                  </c:pt>
                  <c:pt idx="288">
                    <c:v>P000321</c:v>
                  </c:pt>
                  <c:pt idx="289">
                    <c:v>P000322</c:v>
                  </c:pt>
                  <c:pt idx="290">
                    <c:v>P000324</c:v>
                  </c:pt>
                  <c:pt idx="291">
                    <c:v>P000325</c:v>
                  </c:pt>
                  <c:pt idx="292">
                    <c:v>P000326</c:v>
                  </c:pt>
                  <c:pt idx="293">
                    <c:v>P000327</c:v>
                  </c:pt>
                  <c:pt idx="294">
                    <c:v>P000328</c:v>
                  </c:pt>
                  <c:pt idx="295">
                    <c:v>P000329</c:v>
                  </c:pt>
                  <c:pt idx="296">
                    <c:v>P000330</c:v>
                  </c:pt>
                  <c:pt idx="297">
                    <c:v>P000331</c:v>
                  </c:pt>
                  <c:pt idx="298">
                    <c:v>P000332</c:v>
                  </c:pt>
                  <c:pt idx="299">
                    <c:v>P000333</c:v>
                  </c:pt>
                  <c:pt idx="300">
                    <c:v>P000334</c:v>
                  </c:pt>
                  <c:pt idx="301">
                    <c:v>P000336</c:v>
                  </c:pt>
                  <c:pt idx="302">
                    <c:v>P000338</c:v>
                  </c:pt>
                  <c:pt idx="303">
                    <c:v>P000339</c:v>
                  </c:pt>
                  <c:pt idx="304">
                    <c:v>P000340</c:v>
                  </c:pt>
                  <c:pt idx="305">
                    <c:v>P000341</c:v>
                  </c:pt>
                  <c:pt idx="306">
                    <c:v>P000342</c:v>
                  </c:pt>
                  <c:pt idx="307">
                    <c:v>P000343</c:v>
                  </c:pt>
                  <c:pt idx="308">
                    <c:v>P000345</c:v>
                  </c:pt>
                  <c:pt idx="309">
                    <c:v>P000346</c:v>
                  </c:pt>
                  <c:pt idx="310">
                    <c:v>P000348</c:v>
                  </c:pt>
                  <c:pt idx="311">
                    <c:v>P000349</c:v>
                  </c:pt>
                  <c:pt idx="312">
                    <c:v>P000350</c:v>
                  </c:pt>
                  <c:pt idx="313">
                    <c:v>P000351</c:v>
                  </c:pt>
                  <c:pt idx="314">
                    <c:v>P000352</c:v>
                  </c:pt>
                  <c:pt idx="315">
                    <c:v>P000353</c:v>
                  </c:pt>
                  <c:pt idx="316">
                    <c:v>P000354</c:v>
                  </c:pt>
                  <c:pt idx="317">
                    <c:v>P000355</c:v>
                  </c:pt>
                  <c:pt idx="318">
                    <c:v>P000356</c:v>
                  </c:pt>
                  <c:pt idx="319">
                    <c:v>P000357</c:v>
                  </c:pt>
                  <c:pt idx="320">
                    <c:v>P000358</c:v>
                  </c:pt>
                  <c:pt idx="321">
                    <c:v>P000359</c:v>
                  </c:pt>
                  <c:pt idx="322">
                    <c:v>P000360</c:v>
                  </c:pt>
                  <c:pt idx="323">
                    <c:v>P000361</c:v>
                  </c:pt>
                  <c:pt idx="324">
                    <c:v>P000362</c:v>
                  </c:pt>
                  <c:pt idx="325">
                    <c:v>P000363</c:v>
                  </c:pt>
                  <c:pt idx="326">
                    <c:v>P000364</c:v>
                  </c:pt>
                  <c:pt idx="327">
                    <c:v>P000365</c:v>
                  </c:pt>
                  <c:pt idx="328">
                    <c:v>P000366</c:v>
                  </c:pt>
                  <c:pt idx="329">
                    <c:v>P000367</c:v>
                  </c:pt>
                  <c:pt idx="330">
                    <c:v>P000368</c:v>
                  </c:pt>
                  <c:pt idx="331">
                    <c:v>P000369</c:v>
                  </c:pt>
                  <c:pt idx="332">
                    <c:v>P000370</c:v>
                  </c:pt>
                  <c:pt idx="333">
                    <c:v>P000371</c:v>
                  </c:pt>
                  <c:pt idx="334">
                    <c:v>P000372</c:v>
                  </c:pt>
                  <c:pt idx="335">
                    <c:v>P000373</c:v>
                  </c:pt>
                  <c:pt idx="336">
                    <c:v>P000374</c:v>
                  </c:pt>
                  <c:pt idx="337">
                    <c:v>P000375</c:v>
                  </c:pt>
                  <c:pt idx="338">
                    <c:v>P000376</c:v>
                  </c:pt>
                  <c:pt idx="339">
                    <c:v>P000379</c:v>
                  </c:pt>
                  <c:pt idx="340">
                    <c:v>P000380</c:v>
                  </c:pt>
                  <c:pt idx="341">
                    <c:v>P000381</c:v>
                  </c:pt>
                  <c:pt idx="342">
                    <c:v>P000382</c:v>
                  </c:pt>
                  <c:pt idx="343">
                    <c:v>P000383</c:v>
                  </c:pt>
                  <c:pt idx="344">
                    <c:v>P000384</c:v>
                  </c:pt>
                  <c:pt idx="345">
                    <c:v>P000385</c:v>
                  </c:pt>
                  <c:pt idx="346">
                    <c:v>P000386</c:v>
                  </c:pt>
                  <c:pt idx="347">
                    <c:v>P000387</c:v>
                  </c:pt>
                  <c:pt idx="348">
                    <c:v>P000388</c:v>
                  </c:pt>
                  <c:pt idx="349">
                    <c:v>P000389</c:v>
                  </c:pt>
                  <c:pt idx="350">
                    <c:v>P000390</c:v>
                  </c:pt>
                  <c:pt idx="351">
                    <c:v>P000391</c:v>
                  </c:pt>
                  <c:pt idx="352">
                    <c:v>P000392</c:v>
                  </c:pt>
                  <c:pt idx="353">
                    <c:v>P000393</c:v>
                  </c:pt>
                  <c:pt idx="354">
                    <c:v>P000394</c:v>
                  </c:pt>
                  <c:pt idx="355">
                    <c:v>P000395</c:v>
                  </c:pt>
                  <c:pt idx="356">
                    <c:v>P000397</c:v>
                  </c:pt>
                  <c:pt idx="357">
                    <c:v>P000398</c:v>
                  </c:pt>
                  <c:pt idx="358">
                    <c:v>P000399</c:v>
                  </c:pt>
                  <c:pt idx="359">
                    <c:v>P000400</c:v>
                  </c:pt>
                  <c:pt idx="360">
                    <c:v>P000401</c:v>
                  </c:pt>
                  <c:pt idx="361">
                    <c:v>P000402</c:v>
                  </c:pt>
                  <c:pt idx="362">
                    <c:v>P000403</c:v>
                  </c:pt>
                  <c:pt idx="363">
                    <c:v>P000404</c:v>
                  </c:pt>
                  <c:pt idx="364">
                    <c:v>P000405</c:v>
                  </c:pt>
                  <c:pt idx="365">
                    <c:v>P000406</c:v>
                  </c:pt>
                  <c:pt idx="366">
                    <c:v>P000408</c:v>
                  </c:pt>
                  <c:pt idx="367">
                    <c:v>P000409</c:v>
                  </c:pt>
                  <c:pt idx="368">
                    <c:v>P000410</c:v>
                  </c:pt>
                  <c:pt idx="369">
                    <c:v>P000411</c:v>
                  </c:pt>
                  <c:pt idx="370">
                    <c:v>P000412</c:v>
                  </c:pt>
                  <c:pt idx="371">
                    <c:v>P000413</c:v>
                  </c:pt>
                  <c:pt idx="372">
                    <c:v>P000414</c:v>
                  </c:pt>
                  <c:pt idx="373">
                    <c:v>P000415</c:v>
                  </c:pt>
                  <c:pt idx="374">
                    <c:v>P000416</c:v>
                  </c:pt>
                  <c:pt idx="375">
                    <c:v>P000418</c:v>
                  </c:pt>
                  <c:pt idx="376">
                    <c:v>P000419</c:v>
                  </c:pt>
                  <c:pt idx="377">
                    <c:v>P000420</c:v>
                  </c:pt>
                  <c:pt idx="378">
                    <c:v>P000421</c:v>
                  </c:pt>
                  <c:pt idx="379">
                    <c:v>P000422</c:v>
                  </c:pt>
                  <c:pt idx="380">
                    <c:v>P000423</c:v>
                  </c:pt>
                  <c:pt idx="381">
                    <c:v>P000424</c:v>
                  </c:pt>
                  <c:pt idx="382">
                    <c:v>P000425</c:v>
                  </c:pt>
                  <c:pt idx="383">
                    <c:v>P000426</c:v>
                  </c:pt>
                  <c:pt idx="384">
                    <c:v>P000427</c:v>
                  </c:pt>
                  <c:pt idx="385">
                    <c:v>P000428</c:v>
                  </c:pt>
                  <c:pt idx="386">
                    <c:v>P000430</c:v>
                  </c:pt>
                  <c:pt idx="387">
                    <c:v>P000432</c:v>
                  </c:pt>
                  <c:pt idx="388">
                    <c:v>P000433</c:v>
                  </c:pt>
                  <c:pt idx="389">
                    <c:v>P000434</c:v>
                  </c:pt>
                  <c:pt idx="390">
                    <c:v>P000435</c:v>
                  </c:pt>
                  <c:pt idx="391">
                    <c:v>P000436</c:v>
                  </c:pt>
                  <c:pt idx="392">
                    <c:v>P000437</c:v>
                  </c:pt>
                  <c:pt idx="393">
                    <c:v>P000438</c:v>
                  </c:pt>
                  <c:pt idx="394">
                    <c:v>P000440</c:v>
                  </c:pt>
                  <c:pt idx="395">
                    <c:v>P000441</c:v>
                  </c:pt>
                  <c:pt idx="396">
                    <c:v>P000442</c:v>
                  </c:pt>
                  <c:pt idx="397">
                    <c:v>P000443</c:v>
                  </c:pt>
                  <c:pt idx="398">
                    <c:v>P000444</c:v>
                  </c:pt>
                  <c:pt idx="399">
                    <c:v>P000445</c:v>
                  </c:pt>
                  <c:pt idx="400">
                    <c:v>P000447</c:v>
                  </c:pt>
                  <c:pt idx="401">
                    <c:v>P000448</c:v>
                  </c:pt>
                  <c:pt idx="402">
                    <c:v>P000449</c:v>
                  </c:pt>
                  <c:pt idx="403">
                    <c:v>P000450</c:v>
                  </c:pt>
                  <c:pt idx="404">
                    <c:v>P000451</c:v>
                  </c:pt>
                  <c:pt idx="405">
                    <c:v>P000452</c:v>
                  </c:pt>
                  <c:pt idx="406">
                    <c:v>P000453</c:v>
                  </c:pt>
                  <c:pt idx="407">
                    <c:v>P000454</c:v>
                  </c:pt>
                  <c:pt idx="408">
                    <c:v>P000455</c:v>
                  </c:pt>
                  <c:pt idx="409">
                    <c:v>P000456</c:v>
                  </c:pt>
                  <c:pt idx="410">
                    <c:v>P000457</c:v>
                  </c:pt>
                  <c:pt idx="411">
                    <c:v>P000458</c:v>
                  </c:pt>
                  <c:pt idx="412">
                    <c:v>P000459</c:v>
                  </c:pt>
                  <c:pt idx="413">
                    <c:v>P000460</c:v>
                  </c:pt>
                  <c:pt idx="414">
                    <c:v>P000461</c:v>
                  </c:pt>
                  <c:pt idx="415">
                    <c:v>P000464</c:v>
                  </c:pt>
                  <c:pt idx="416">
                    <c:v>P000467</c:v>
                  </c:pt>
                  <c:pt idx="417">
                    <c:v>P000468</c:v>
                  </c:pt>
                  <c:pt idx="418">
                    <c:v>P000469</c:v>
                  </c:pt>
                  <c:pt idx="419">
                    <c:v>P000470</c:v>
                  </c:pt>
                  <c:pt idx="420">
                    <c:v>P000471</c:v>
                  </c:pt>
                  <c:pt idx="421">
                    <c:v>P000472</c:v>
                  </c:pt>
                  <c:pt idx="422">
                    <c:v>P000473</c:v>
                  </c:pt>
                  <c:pt idx="423">
                    <c:v>P000474</c:v>
                  </c:pt>
                  <c:pt idx="424">
                    <c:v>P000475</c:v>
                  </c:pt>
                  <c:pt idx="425">
                    <c:v>P000476</c:v>
                  </c:pt>
                  <c:pt idx="426">
                    <c:v>P000477</c:v>
                  </c:pt>
                  <c:pt idx="427">
                    <c:v>P000478</c:v>
                  </c:pt>
                  <c:pt idx="428">
                    <c:v>P000479</c:v>
                  </c:pt>
                  <c:pt idx="429">
                    <c:v>P000480</c:v>
                  </c:pt>
                  <c:pt idx="430">
                    <c:v>P000483</c:v>
                  </c:pt>
                  <c:pt idx="431">
                    <c:v>P000484</c:v>
                  </c:pt>
                  <c:pt idx="432">
                    <c:v>P000485</c:v>
                  </c:pt>
                  <c:pt idx="433">
                    <c:v>P000486</c:v>
                  </c:pt>
                  <c:pt idx="434">
                    <c:v>P000488</c:v>
                  </c:pt>
                  <c:pt idx="435">
                    <c:v>P000489</c:v>
                  </c:pt>
                  <c:pt idx="436">
                    <c:v>P000490</c:v>
                  </c:pt>
                  <c:pt idx="437">
                    <c:v>P000491</c:v>
                  </c:pt>
                  <c:pt idx="438">
                    <c:v>P000492</c:v>
                  </c:pt>
                  <c:pt idx="439">
                    <c:v>P000493</c:v>
                  </c:pt>
                  <c:pt idx="440">
                    <c:v>P000495</c:v>
                  </c:pt>
                  <c:pt idx="441">
                    <c:v>P000496</c:v>
                  </c:pt>
                  <c:pt idx="442">
                    <c:v>P000497</c:v>
                  </c:pt>
                  <c:pt idx="443">
                    <c:v>P000498</c:v>
                  </c:pt>
                  <c:pt idx="444">
                    <c:v>P000499</c:v>
                  </c:pt>
                  <c:pt idx="445">
                    <c:v>P000500</c:v>
                  </c:pt>
                  <c:pt idx="446">
                    <c:v>P000501</c:v>
                  </c:pt>
                  <c:pt idx="447">
                    <c:v>P000502</c:v>
                  </c:pt>
                  <c:pt idx="448">
                    <c:v>P000503</c:v>
                  </c:pt>
                  <c:pt idx="449">
                    <c:v>P000504</c:v>
                  </c:pt>
                  <c:pt idx="450">
                    <c:v>P000505</c:v>
                  </c:pt>
                  <c:pt idx="451">
                    <c:v>P000507</c:v>
                  </c:pt>
                  <c:pt idx="452">
                    <c:v>P000508</c:v>
                  </c:pt>
                  <c:pt idx="453">
                    <c:v>P000509</c:v>
                  </c:pt>
                  <c:pt idx="454">
                    <c:v>P000510</c:v>
                  </c:pt>
                  <c:pt idx="455">
                    <c:v>P000511</c:v>
                  </c:pt>
                  <c:pt idx="456">
                    <c:v>P000512</c:v>
                  </c:pt>
                  <c:pt idx="457">
                    <c:v>P000513</c:v>
                  </c:pt>
                  <c:pt idx="458">
                    <c:v>P000514</c:v>
                  </c:pt>
                  <c:pt idx="459">
                    <c:v>P000515</c:v>
                  </c:pt>
                  <c:pt idx="460">
                    <c:v>P000516</c:v>
                  </c:pt>
                  <c:pt idx="461">
                    <c:v>P000517</c:v>
                  </c:pt>
                  <c:pt idx="462">
                    <c:v>P000518</c:v>
                  </c:pt>
                  <c:pt idx="463">
                    <c:v>P000519</c:v>
                  </c:pt>
                  <c:pt idx="464">
                    <c:v>P000520</c:v>
                  </c:pt>
                  <c:pt idx="465">
                    <c:v>P000521</c:v>
                  </c:pt>
                  <c:pt idx="466">
                    <c:v>P000522</c:v>
                  </c:pt>
                  <c:pt idx="467">
                    <c:v>P000523</c:v>
                  </c:pt>
                  <c:pt idx="468">
                    <c:v>P000524</c:v>
                  </c:pt>
                  <c:pt idx="469">
                    <c:v>P000525</c:v>
                  </c:pt>
                  <c:pt idx="470">
                    <c:v>P000526</c:v>
                  </c:pt>
                  <c:pt idx="471">
                    <c:v>P000527</c:v>
                  </c:pt>
                  <c:pt idx="472">
                    <c:v>P000528</c:v>
                  </c:pt>
                  <c:pt idx="473">
                    <c:v>P000529</c:v>
                  </c:pt>
                  <c:pt idx="474">
                    <c:v>P000530</c:v>
                  </c:pt>
                  <c:pt idx="475">
                    <c:v>P000532</c:v>
                  </c:pt>
                  <c:pt idx="476">
                    <c:v>P000533</c:v>
                  </c:pt>
                  <c:pt idx="477">
                    <c:v>P000534</c:v>
                  </c:pt>
                  <c:pt idx="478">
                    <c:v>P000535</c:v>
                  </c:pt>
                  <c:pt idx="479">
                    <c:v>P000536</c:v>
                  </c:pt>
                  <c:pt idx="480">
                    <c:v>P000537</c:v>
                  </c:pt>
                  <c:pt idx="481">
                    <c:v>P000538</c:v>
                  </c:pt>
                  <c:pt idx="482">
                    <c:v>P000540</c:v>
                  </c:pt>
                  <c:pt idx="483">
                    <c:v>P000541</c:v>
                  </c:pt>
                  <c:pt idx="484">
                    <c:v>P000542</c:v>
                  </c:pt>
                  <c:pt idx="485">
                    <c:v>P000543</c:v>
                  </c:pt>
                  <c:pt idx="486">
                    <c:v>P000544</c:v>
                  </c:pt>
                  <c:pt idx="487">
                    <c:v>P000545</c:v>
                  </c:pt>
                  <c:pt idx="488">
                    <c:v>P000546</c:v>
                  </c:pt>
                  <c:pt idx="489">
                    <c:v>P000547</c:v>
                  </c:pt>
                  <c:pt idx="490">
                    <c:v>P000548</c:v>
                  </c:pt>
                  <c:pt idx="491">
                    <c:v>P000549</c:v>
                  </c:pt>
                  <c:pt idx="492">
                    <c:v>P000550</c:v>
                  </c:pt>
                  <c:pt idx="493">
                    <c:v>P000551</c:v>
                  </c:pt>
                  <c:pt idx="494">
                    <c:v>P000552</c:v>
                  </c:pt>
                  <c:pt idx="495">
                    <c:v>P000553</c:v>
                  </c:pt>
                  <c:pt idx="496">
                    <c:v>P000554</c:v>
                  </c:pt>
                  <c:pt idx="497">
                    <c:v>P000556</c:v>
                  </c:pt>
                  <c:pt idx="498">
                    <c:v>P000557</c:v>
                  </c:pt>
                  <c:pt idx="499">
                    <c:v>P000558</c:v>
                  </c:pt>
                  <c:pt idx="500">
                    <c:v>P000560</c:v>
                  </c:pt>
                  <c:pt idx="501">
                    <c:v>P000561</c:v>
                  </c:pt>
                  <c:pt idx="502">
                    <c:v>P000562</c:v>
                  </c:pt>
                  <c:pt idx="503">
                    <c:v>P000563</c:v>
                  </c:pt>
                  <c:pt idx="504">
                    <c:v>P000564</c:v>
                  </c:pt>
                  <c:pt idx="505">
                    <c:v>P000565</c:v>
                  </c:pt>
                  <c:pt idx="506">
                    <c:v>P000566</c:v>
                  </c:pt>
                  <c:pt idx="507">
                    <c:v>P000567</c:v>
                  </c:pt>
                  <c:pt idx="508">
                    <c:v>P000568</c:v>
                  </c:pt>
                  <c:pt idx="509">
                    <c:v>P000570</c:v>
                  </c:pt>
                  <c:pt idx="510">
                    <c:v>P000571</c:v>
                  </c:pt>
                  <c:pt idx="511">
                    <c:v>P000572</c:v>
                  </c:pt>
                  <c:pt idx="512">
                    <c:v>P000574</c:v>
                  </c:pt>
                  <c:pt idx="513">
                    <c:v>P000575</c:v>
                  </c:pt>
                  <c:pt idx="514">
                    <c:v>P000576</c:v>
                  </c:pt>
                  <c:pt idx="515">
                    <c:v>P000577</c:v>
                  </c:pt>
                  <c:pt idx="516">
                    <c:v>P000578</c:v>
                  </c:pt>
                  <c:pt idx="517">
                    <c:v>P000579</c:v>
                  </c:pt>
                  <c:pt idx="518">
                    <c:v>P000580</c:v>
                  </c:pt>
                  <c:pt idx="519">
                    <c:v>P000581</c:v>
                  </c:pt>
                  <c:pt idx="520">
                    <c:v>P000582</c:v>
                  </c:pt>
                  <c:pt idx="521">
                    <c:v>P000584</c:v>
                  </c:pt>
                  <c:pt idx="522">
                    <c:v>P000585</c:v>
                  </c:pt>
                  <c:pt idx="523">
                    <c:v>P000586</c:v>
                  </c:pt>
                  <c:pt idx="524">
                    <c:v>P000587</c:v>
                  </c:pt>
                  <c:pt idx="525">
                    <c:v>P000588</c:v>
                  </c:pt>
                  <c:pt idx="526">
                    <c:v>P000590</c:v>
                  </c:pt>
                  <c:pt idx="527">
                    <c:v>P000591</c:v>
                  </c:pt>
                  <c:pt idx="528">
                    <c:v>P000592</c:v>
                  </c:pt>
                  <c:pt idx="529">
                    <c:v>P000593</c:v>
                  </c:pt>
                  <c:pt idx="530">
                    <c:v>P000595</c:v>
                  </c:pt>
                  <c:pt idx="531">
                    <c:v>P000596</c:v>
                  </c:pt>
                  <c:pt idx="532">
                    <c:v>P000597</c:v>
                  </c:pt>
                  <c:pt idx="533">
                    <c:v>P000598</c:v>
                  </c:pt>
                  <c:pt idx="534">
                    <c:v>P000599</c:v>
                  </c:pt>
                  <c:pt idx="535">
                    <c:v>P000600</c:v>
                  </c:pt>
                  <c:pt idx="536">
                    <c:v>P000601</c:v>
                  </c:pt>
                  <c:pt idx="537">
                    <c:v>P000602</c:v>
                  </c:pt>
                  <c:pt idx="538">
                    <c:v>P000603</c:v>
                  </c:pt>
                  <c:pt idx="539">
                    <c:v>P000604</c:v>
                  </c:pt>
                  <c:pt idx="540">
                    <c:v>P000605</c:v>
                  </c:pt>
                  <c:pt idx="541">
                    <c:v>P000606</c:v>
                  </c:pt>
                  <c:pt idx="542">
                    <c:v>P000607</c:v>
                  </c:pt>
                  <c:pt idx="543">
                    <c:v>P000608</c:v>
                  </c:pt>
                  <c:pt idx="544">
                    <c:v>P000609</c:v>
                  </c:pt>
                  <c:pt idx="545">
                    <c:v>P000611</c:v>
                  </c:pt>
                  <c:pt idx="546">
                    <c:v>P000612</c:v>
                  </c:pt>
                  <c:pt idx="547">
                    <c:v>P000613</c:v>
                  </c:pt>
                  <c:pt idx="548">
                    <c:v>P000614</c:v>
                  </c:pt>
                  <c:pt idx="549">
                    <c:v>P000615</c:v>
                  </c:pt>
                  <c:pt idx="550">
                    <c:v>P000616</c:v>
                  </c:pt>
                  <c:pt idx="551">
                    <c:v>P000617</c:v>
                  </c:pt>
                  <c:pt idx="552">
                    <c:v>P000619</c:v>
                  </c:pt>
                  <c:pt idx="553">
                    <c:v>P000620</c:v>
                  </c:pt>
                  <c:pt idx="554">
                    <c:v>P000621</c:v>
                  </c:pt>
                  <c:pt idx="555">
                    <c:v>P000622</c:v>
                  </c:pt>
                  <c:pt idx="556">
                    <c:v>P000623</c:v>
                  </c:pt>
                  <c:pt idx="557">
                    <c:v>P000624</c:v>
                  </c:pt>
                  <c:pt idx="558">
                    <c:v>P000625</c:v>
                  </c:pt>
                  <c:pt idx="559">
                    <c:v>P000626</c:v>
                  </c:pt>
                  <c:pt idx="560">
                    <c:v>P000627</c:v>
                  </c:pt>
                  <c:pt idx="561">
                    <c:v>P000628</c:v>
                  </c:pt>
                  <c:pt idx="562">
                    <c:v>P000629</c:v>
                  </c:pt>
                  <c:pt idx="563">
                    <c:v>P000630</c:v>
                  </c:pt>
                  <c:pt idx="564">
                    <c:v>P000631</c:v>
                  </c:pt>
                  <c:pt idx="565">
                    <c:v>P000632</c:v>
                  </c:pt>
                  <c:pt idx="566">
                    <c:v>P000633</c:v>
                  </c:pt>
                  <c:pt idx="567">
                    <c:v>P000635</c:v>
                  </c:pt>
                  <c:pt idx="568">
                    <c:v>P000636</c:v>
                  </c:pt>
                  <c:pt idx="569">
                    <c:v>P000637</c:v>
                  </c:pt>
                  <c:pt idx="570">
                    <c:v>P000639</c:v>
                  </c:pt>
                  <c:pt idx="571">
                    <c:v>P000640</c:v>
                  </c:pt>
                  <c:pt idx="572">
                    <c:v>P000641</c:v>
                  </c:pt>
                  <c:pt idx="573">
                    <c:v>P000642</c:v>
                  </c:pt>
                  <c:pt idx="574">
                    <c:v>P000643</c:v>
                  </c:pt>
                  <c:pt idx="575">
                    <c:v>P000644</c:v>
                  </c:pt>
                  <c:pt idx="576">
                    <c:v>P000645</c:v>
                  </c:pt>
                  <c:pt idx="577">
                    <c:v>P000646</c:v>
                  </c:pt>
                  <c:pt idx="578">
                    <c:v>P000647</c:v>
                  </c:pt>
                  <c:pt idx="579">
                    <c:v>P000648</c:v>
                  </c:pt>
                  <c:pt idx="580">
                    <c:v>P000650</c:v>
                  </c:pt>
                  <c:pt idx="581">
                    <c:v>P000651</c:v>
                  </c:pt>
                  <c:pt idx="582">
                    <c:v>P000652</c:v>
                  </c:pt>
                  <c:pt idx="583">
                    <c:v>P000654</c:v>
                  </c:pt>
                  <c:pt idx="584">
                    <c:v>P000655</c:v>
                  </c:pt>
                  <c:pt idx="585">
                    <c:v>P000656</c:v>
                  </c:pt>
                  <c:pt idx="586">
                    <c:v>P000657</c:v>
                  </c:pt>
                  <c:pt idx="587">
                    <c:v>P000658</c:v>
                  </c:pt>
                  <c:pt idx="588">
                    <c:v>P000659</c:v>
                  </c:pt>
                  <c:pt idx="589">
                    <c:v>P000660</c:v>
                  </c:pt>
                  <c:pt idx="590">
                    <c:v>P000661</c:v>
                  </c:pt>
                  <c:pt idx="591">
                    <c:v>P000663</c:v>
                  </c:pt>
                  <c:pt idx="592">
                    <c:v>P000664</c:v>
                  </c:pt>
                  <c:pt idx="593">
                    <c:v>P000665</c:v>
                  </c:pt>
                  <c:pt idx="594">
                    <c:v>P000666</c:v>
                  </c:pt>
                  <c:pt idx="595">
                    <c:v>P000667</c:v>
                  </c:pt>
                  <c:pt idx="596">
                    <c:v>P000668</c:v>
                  </c:pt>
                  <c:pt idx="597">
                    <c:v>P000669</c:v>
                  </c:pt>
                  <c:pt idx="598">
                    <c:v>P000670</c:v>
                  </c:pt>
                  <c:pt idx="599">
                    <c:v>P000672</c:v>
                  </c:pt>
                  <c:pt idx="600">
                    <c:v>P000673</c:v>
                  </c:pt>
                  <c:pt idx="601">
                    <c:v>P000674</c:v>
                  </c:pt>
                  <c:pt idx="602">
                    <c:v>P000675</c:v>
                  </c:pt>
                  <c:pt idx="603">
                    <c:v>P000677</c:v>
                  </c:pt>
                  <c:pt idx="604">
                    <c:v>P000678</c:v>
                  </c:pt>
                  <c:pt idx="605">
                    <c:v>P000679</c:v>
                  </c:pt>
                  <c:pt idx="606">
                    <c:v>P000681</c:v>
                  </c:pt>
                  <c:pt idx="607">
                    <c:v>P000682</c:v>
                  </c:pt>
                  <c:pt idx="608">
                    <c:v>P000683</c:v>
                  </c:pt>
                  <c:pt idx="609">
                    <c:v>P000684</c:v>
                  </c:pt>
                  <c:pt idx="610">
                    <c:v>P000685</c:v>
                  </c:pt>
                  <c:pt idx="611">
                    <c:v>P000686</c:v>
                  </c:pt>
                  <c:pt idx="612">
                    <c:v>P000688</c:v>
                  </c:pt>
                  <c:pt idx="613">
                    <c:v>P000689</c:v>
                  </c:pt>
                  <c:pt idx="614">
                    <c:v>P000690</c:v>
                  </c:pt>
                  <c:pt idx="615">
                    <c:v>P000691</c:v>
                  </c:pt>
                  <c:pt idx="616">
                    <c:v>P000692</c:v>
                  </c:pt>
                  <c:pt idx="617">
                    <c:v>P000693</c:v>
                  </c:pt>
                  <c:pt idx="618">
                    <c:v>P000694</c:v>
                  </c:pt>
                  <c:pt idx="619">
                    <c:v>P000695</c:v>
                  </c:pt>
                  <c:pt idx="620">
                    <c:v>P000696</c:v>
                  </c:pt>
                  <c:pt idx="621">
                    <c:v>P000697</c:v>
                  </c:pt>
                  <c:pt idx="622">
                    <c:v>P000698</c:v>
                  </c:pt>
                  <c:pt idx="623">
                    <c:v>P000699</c:v>
                  </c:pt>
                  <c:pt idx="624">
                    <c:v>P000700</c:v>
                  </c:pt>
                  <c:pt idx="625">
                    <c:v>P000701</c:v>
                  </c:pt>
                  <c:pt idx="626">
                    <c:v>P000702</c:v>
                  </c:pt>
                  <c:pt idx="627">
                    <c:v>P000704</c:v>
                  </c:pt>
                  <c:pt idx="628">
                    <c:v>P000705</c:v>
                  </c:pt>
                  <c:pt idx="629">
                    <c:v>P000706</c:v>
                  </c:pt>
                  <c:pt idx="630">
                    <c:v>P000707</c:v>
                  </c:pt>
                  <c:pt idx="631">
                    <c:v>P000708</c:v>
                  </c:pt>
                  <c:pt idx="632">
                    <c:v>P000709</c:v>
                  </c:pt>
                  <c:pt idx="633">
                    <c:v>P000710</c:v>
                  </c:pt>
                  <c:pt idx="634">
                    <c:v>P000712</c:v>
                  </c:pt>
                  <c:pt idx="635">
                    <c:v>P000713</c:v>
                  </c:pt>
                  <c:pt idx="636">
                    <c:v>P000714</c:v>
                  </c:pt>
                  <c:pt idx="637">
                    <c:v>P000715</c:v>
                  </c:pt>
                  <c:pt idx="638">
                    <c:v>P000716</c:v>
                  </c:pt>
                  <c:pt idx="639">
                    <c:v>P000717</c:v>
                  </c:pt>
                  <c:pt idx="640">
                    <c:v>P000718</c:v>
                  </c:pt>
                  <c:pt idx="641">
                    <c:v>P000719</c:v>
                  </c:pt>
                  <c:pt idx="642">
                    <c:v>P000720</c:v>
                  </c:pt>
                  <c:pt idx="643">
                    <c:v>P000722</c:v>
                  </c:pt>
                  <c:pt idx="644">
                    <c:v>P000723</c:v>
                  </c:pt>
                  <c:pt idx="645">
                    <c:v>P000725</c:v>
                  </c:pt>
                  <c:pt idx="646">
                    <c:v>P000727</c:v>
                  </c:pt>
                  <c:pt idx="647">
                    <c:v>P000728</c:v>
                  </c:pt>
                  <c:pt idx="648">
                    <c:v>P000729</c:v>
                  </c:pt>
                  <c:pt idx="649">
                    <c:v>P000730</c:v>
                  </c:pt>
                  <c:pt idx="650">
                    <c:v>P000731</c:v>
                  </c:pt>
                  <c:pt idx="651">
                    <c:v>P000732</c:v>
                  </c:pt>
                  <c:pt idx="652">
                    <c:v>P000733</c:v>
                  </c:pt>
                  <c:pt idx="653">
                    <c:v>P000734</c:v>
                  </c:pt>
                  <c:pt idx="654">
                    <c:v>P000735</c:v>
                  </c:pt>
                  <c:pt idx="655">
                    <c:v>P000736</c:v>
                  </c:pt>
                  <c:pt idx="656">
                    <c:v>P000737</c:v>
                  </c:pt>
                  <c:pt idx="657">
                    <c:v>P000738</c:v>
                  </c:pt>
                  <c:pt idx="658">
                    <c:v>P000739</c:v>
                  </c:pt>
                  <c:pt idx="659">
                    <c:v>P000740</c:v>
                  </c:pt>
                  <c:pt idx="660">
                    <c:v>P000741</c:v>
                  </c:pt>
                  <c:pt idx="661">
                    <c:v>P000743</c:v>
                  </c:pt>
                  <c:pt idx="662">
                    <c:v>P000744</c:v>
                  </c:pt>
                  <c:pt idx="663">
                    <c:v>P000745</c:v>
                  </c:pt>
                  <c:pt idx="664">
                    <c:v>P000746</c:v>
                  </c:pt>
                  <c:pt idx="665">
                    <c:v>P000747</c:v>
                  </c:pt>
                  <c:pt idx="666">
                    <c:v>P000748</c:v>
                  </c:pt>
                  <c:pt idx="667">
                    <c:v>P000749</c:v>
                  </c:pt>
                  <c:pt idx="668">
                    <c:v>P000750</c:v>
                  </c:pt>
                  <c:pt idx="669">
                    <c:v>P000751</c:v>
                  </c:pt>
                  <c:pt idx="670">
                    <c:v>P000752</c:v>
                  </c:pt>
                  <c:pt idx="671">
                    <c:v>P000753</c:v>
                  </c:pt>
                  <c:pt idx="672">
                    <c:v>P000754</c:v>
                  </c:pt>
                  <c:pt idx="673">
                    <c:v>P000755</c:v>
                  </c:pt>
                  <c:pt idx="674">
                    <c:v>P000756</c:v>
                  </c:pt>
                  <c:pt idx="675">
                    <c:v>P000757</c:v>
                  </c:pt>
                  <c:pt idx="676">
                    <c:v>P000759</c:v>
                  </c:pt>
                  <c:pt idx="677">
                    <c:v>P000760</c:v>
                  </c:pt>
                  <c:pt idx="678">
                    <c:v>P000761</c:v>
                  </c:pt>
                  <c:pt idx="679">
                    <c:v>P000762</c:v>
                  </c:pt>
                  <c:pt idx="680">
                    <c:v>P000763</c:v>
                  </c:pt>
                  <c:pt idx="681">
                    <c:v>P000764</c:v>
                  </c:pt>
                  <c:pt idx="682">
                    <c:v>P000765</c:v>
                  </c:pt>
                  <c:pt idx="683">
                    <c:v>P000766</c:v>
                  </c:pt>
                  <c:pt idx="684">
                    <c:v>P000769</c:v>
                  </c:pt>
                  <c:pt idx="685">
                    <c:v>P000770</c:v>
                  </c:pt>
                  <c:pt idx="686">
                    <c:v>P000771</c:v>
                  </c:pt>
                  <c:pt idx="687">
                    <c:v>P000774</c:v>
                  </c:pt>
                  <c:pt idx="688">
                    <c:v>P000776</c:v>
                  </c:pt>
                  <c:pt idx="689">
                    <c:v>P000777</c:v>
                  </c:pt>
                  <c:pt idx="690">
                    <c:v>P000778</c:v>
                  </c:pt>
                  <c:pt idx="691">
                    <c:v>P000779</c:v>
                  </c:pt>
                  <c:pt idx="692">
                    <c:v>P000781</c:v>
                  </c:pt>
                  <c:pt idx="693">
                    <c:v>P000782</c:v>
                  </c:pt>
                  <c:pt idx="694">
                    <c:v>P000783</c:v>
                  </c:pt>
                  <c:pt idx="695">
                    <c:v>P000784</c:v>
                  </c:pt>
                  <c:pt idx="696">
                    <c:v>P000785</c:v>
                  </c:pt>
                  <c:pt idx="697">
                    <c:v>P000786</c:v>
                  </c:pt>
                  <c:pt idx="698">
                    <c:v>P000788</c:v>
                  </c:pt>
                  <c:pt idx="699">
                    <c:v>P000789</c:v>
                  </c:pt>
                  <c:pt idx="700">
                    <c:v>P000790</c:v>
                  </c:pt>
                  <c:pt idx="701">
                    <c:v>P000791</c:v>
                  </c:pt>
                  <c:pt idx="702">
                    <c:v>P000792</c:v>
                  </c:pt>
                  <c:pt idx="703">
                    <c:v>P000793</c:v>
                  </c:pt>
                  <c:pt idx="704">
                    <c:v>P000794</c:v>
                  </c:pt>
                  <c:pt idx="705">
                    <c:v>P000795</c:v>
                  </c:pt>
                  <c:pt idx="706">
                    <c:v>P000796</c:v>
                  </c:pt>
                  <c:pt idx="707">
                    <c:v>P000797</c:v>
                  </c:pt>
                  <c:pt idx="708">
                    <c:v>P000798</c:v>
                  </c:pt>
                  <c:pt idx="709">
                    <c:v>P000799</c:v>
                  </c:pt>
                  <c:pt idx="710">
                    <c:v>P000800</c:v>
                  </c:pt>
                  <c:pt idx="711">
                    <c:v>P000801</c:v>
                  </c:pt>
                  <c:pt idx="712">
                    <c:v>P000803</c:v>
                  </c:pt>
                  <c:pt idx="713">
                    <c:v>P000804</c:v>
                  </c:pt>
                  <c:pt idx="714">
                    <c:v>P000806</c:v>
                  </c:pt>
                  <c:pt idx="715">
                    <c:v>P000808</c:v>
                  </c:pt>
                  <c:pt idx="716">
                    <c:v>P000809</c:v>
                  </c:pt>
                  <c:pt idx="717">
                    <c:v>P000810</c:v>
                  </c:pt>
                  <c:pt idx="718">
                    <c:v>P000811</c:v>
                  </c:pt>
                  <c:pt idx="719">
                    <c:v>P000812</c:v>
                  </c:pt>
                  <c:pt idx="720">
                    <c:v>P000813</c:v>
                  </c:pt>
                  <c:pt idx="721">
                    <c:v>P000814</c:v>
                  </c:pt>
                  <c:pt idx="722">
                    <c:v>P000815</c:v>
                  </c:pt>
                  <c:pt idx="723">
                    <c:v>P000816</c:v>
                  </c:pt>
                  <c:pt idx="724">
                    <c:v>P000817</c:v>
                  </c:pt>
                  <c:pt idx="725">
                    <c:v>P000818</c:v>
                  </c:pt>
                  <c:pt idx="726">
                    <c:v>P000820</c:v>
                  </c:pt>
                  <c:pt idx="727">
                    <c:v>P000822</c:v>
                  </c:pt>
                  <c:pt idx="728">
                    <c:v>P000823</c:v>
                  </c:pt>
                  <c:pt idx="729">
                    <c:v>P000824</c:v>
                  </c:pt>
                  <c:pt idx="730">
                    <c:v>P000825</c:v>
                  </c:pt>
                  <c:pt idx="731">
                    <c:v>P000826</c:v>
                  </c:pt>
                  <c:pt idx="732">
                    <c:v>P000827</c:v>
                  </c:pt>
                  <c:pt idx="733">
                    <c:v>P000828</c:v>
                  </c:pt>
                  <c:pt idx="734">
                    <c:v>P000829</c:v>
                  </c:pt>
                  <c:pt idx="735">
                    <c:v>P000830</c:v>
                  </c:pt>
                  <c:pt idx="736">
                    <c:v>P000832</c:v>
                  </c:pt>
                  <c:pt idx="737">
                    <c:v>P000833</c:v>
                  </c:pt>
                  <c:pt idx="738">
                    <c:v>P000835</c:v>
                  </c:pt>
                  <c:pt idx="739">
                    <c:v>P000836</c:v>
                  </c:pt>
                  <c:pt idx="740">
                    <c:v>P000837</c:v>
                  </c:pt>
                  <c:pt idx="741">
                    <c:v>P000838</c:v>
                  </c:pt>
                  <c:pt idx="742">
                    <c:v>P000839</c:v>
                  </c:pt>
                  <c:pt idx="743">
                    <c:v>P000840</c:v>
                  </c:pt>
                  <c:pt idx="744">
                    <c:v>P000841</c:v>
                  </c:pt>
                  <c:pt idx="745">
                    <c:v>P000842</c:v>
                  </c:pt>
                  <c:pt idx="746">
                    <c:v>P000843</c:v>
                  </c:pt>
                  <c:pt idx="747">
                    <c:v>P000844</c:v>
                  </c:pt>
                  <c:pt idx="748">
                    <c:v>P000845</c:v>
                  </c:pt>
                  <c:pt idx="749">
                    <c:v>P000846</c:v>
                  </c:pt>
                  <c:pt idx="750">
                    <c:v>P000847</c:v>
                  </c:pt>
                  <c:pt idx="751">
                    <c:v>P000848</c:v>
                  </c:pt>
                  <c:pt idx="752">
                    <c:v>P000849</c:v>
                  </c:pt>
                  <c:pt idx="753">
                    <c:v>P000850</c:v>
                  </c:pt>
                  <c:pt idx="754">
                    <c:v>P000851</c:v>
                  </c:pt>
                  <c:pt idx="755">
                    <c:v>P000852</c:v>
                  </c:pt>
                  <c:pt idx="756">
                    <c:v>P000853</c:v>
                  </c:pt>
                  <c:pt idx="757">
                    <c:v>P000854</c:v>
                  </c:pt>
                  <c:pt idx="758">
                    <c:v>P000856</c:v>
                  </c:pt>
                  <c:pt idx="759">
                    <c:v>P000857</c:v>
                  </c:pt>
                  <c:pt idx="760">
                    <c:v>P000858</c:v>
                  </c:pt>
                  <c:pt idx="761">
                    <c:v>P000859</c:v>
                  </c:pt>
                  <c:pt idx="762">
                    <c:v>P000860</c:v>
                  </c:pt>
                  <c:pt idx="763">
                    <c:v>P000861</c:v>
                  </c:pt>
                  <c:pt idx="764">
                    <c:v>P000862</c:v>
                  </c:pt>
                  <c:pt idx="765">
                    <c:v>P000863</c:v>
                  </c:pt>
                  <c:pt idx="766">
                    <c:v>P000864</c:v>
                  </c:pt>
                  <c:pt idx="767">
                    <c:v>P000865</c:v>
                  </c:pt>
                  <c:pt idx="768">
                    <c:v>P000866</c:v>
                  </c:pt>
                  <c:pt idx="769">
                    <c:v>P000867</c:v>
                  </c:pt>
                  <c:pt idx="770">
                    <c:v>P000868</c:v>
                  </c:pt>
                  <c:pt idx="771">
                    <c:v>P000869</c:v>
                  </c:pt>
                  <c:pt idx="772">
                    <c:v>P000870</c:v>
                  </c:pt>
                  <c:pt idx="773">
                    <c:v>P000872</c:v>
                  </c:pt>
                  <c:pt idx="774">
                    <c:v>P000873</c:v>
                  </c:pt>
                  <c:pt idx="775">
                    <c:v>P000874</c:v>
                  </c:pt>
                  <c:pt idx="776">
                    <c:v>P000875</c:v>
                  </c:pt>
                  <c:pt idx="777">
                    <c:v>P000876</c:v>
                  </c:pt>
                  <c:pt idx="778">
                    <c:v>P000877</c:v>
                  </c:pt>
                  <c:pt idx="779">
                    <c:v>P000878</c:v>
                  </c:pt>
                  <c:pt idx="780">
                    <c:v>P000880</c:v>
                  </c:pt>
                  <c:pt idx="781">
                    <c:v>P000881</c:v>
                  </c:pt>
                  <c:pt idx="782">
                    <c:v>P000882</c:v>
                  </c:pt>
                  <c:pt idx="783">
                    <c:v>P000883</c:v>
                  </c:pt>
                  <c:pt idx="784">
                    <c:v>P000884</c:v>
                  </c:pt>
                  <c:pt idx="785">
                    <c:v>P000885</c:v>
                  </c:pt>
                  <c:pt idx="786">
                    <c:v>P000886</c:v>
                  </c:pt>
                  <c:pt idx="787">
                    <c:v>P000887</c:v>
                  </c:pt>
                  <c:pt idx="788">
                    <c:v>P000888</c:v>
                  </c:pt>
                  <c:pt idx="789">
                    <c:v>P000889</c:v>
                  </c:pt>
                  <c:pt idx="790">
                    <c:v>P000890</c:v>
                  </c:pt>
                  <c:pt idx="791">
                    <c:v>P000891</c:v>
                  </c:pt>
                  <c:pt idx="792">
                    <c:v>P000892</c:v>
                  </c:pt>
                  <c:pt idx="793">
                    <c:v>P000893</c:v>
                  </c:pt>
                  <c:pt idx="794">
                    <c:v>P000894</c:v>
                  </c:pt>
                  <c:pt idx="795">
                    <c:v>P000895</c:v>
                  </c:pt>
                  <c:pt idx="796">
                    <c:v>P000896</c:v>
                  </c:pt>
                  <c:pt idx="797">
                    <c:v>P000897</c:v>
                  </c:pt>
                  <c:pt idx="798">
                    <c:v>P000898</c:v>
                  </c:pt>
                  <c:pt idx="799">
                    <c:v>P000899</c:v>
                  </c:pt>
                  <c:pt idx="800">
                    <c:v>P000900</c:v>
                  </c:pt>
                  <c:pt idx="801">
                    <c:v>P000901</c:v>
                  </c:pt>
                  <c:pt idx="802">
                    <c:v>P000902</c:v>
                  </c:pt>
                  <c:pt idx="803">
                    <c:v>P000903</c:v>
                  </c:pt>
                  <c:pt idx="804">
                    <c:v>P000904</c:v>
                  </c:pt>
                  <c:pt idx="805">
                    <c:v>P000905</c:v>
                  </c:pt>
                  <c:pt idx="806">
                    <c:v>P000906</c:v>
                  </c:pt>
                  <c:pt idx="807">
                    <c:v>P000907</c:v>
                  </c:pt>
                  <c:pt idx="808">
                    <c:v>P000908</c:v>
                  </c:pt>
                  <c:pt idx="809">
                    <c:v>P000909</c:v>
                  </c:pt>
                  <c:pt idx="810">
                    <c:v>P000911</c:v>
                  </c:pt>
                  <c:pt idx="811">
                    <c:v>P000912</c:v>
                  </c:pt>
                  <c:pt idx="812">
                    <c:v>P000915</c:v>
                  </c:pt>
                  <c:pt idx="813">
                    <c:v>P000916</c:v>
                  </c:pt>
                  <c:pt idx="814">
                    <c:v>P000917</c:v>
                  </c:pt>
                  <c:pt idx="815">
                    <c:v>P000919</c:v>
                  </c:pt>
                  <c:pt idx="816">
                    <c:v>P000920</c:v>
                  </c:pt>
                  <c:pt idx="817">
                    <c:v>P000921</c:v>
                  </c:pt>
                  <c:pt idx="818">
                    <c:v>P000923</c:v>
                  </c:pt>
                  <c:pt idx="819">
                    <c:v>P000924</c:v>
                  </c:pt>
                  <c:pt idx="820">
                    <c:v>P000925</c:v>
                  </c:pt>
                  <c:pt idx="821">
                    <c:v>P000926</c:v>
                  </c:pt>
                  <c:pt idx="822">
                    <c:v>P000927</c:v>
                  </c:pt>
                  <c:pt idx="823">
                    <c:v>P000928</c:v>
                  </c:pt>
                  <c:pt idx="824">
                    <c:v>P000929</c:v>
                  </c:pt>
                  <c:pt idx="825">
                    <c:v>P000930</c:v>
                  </c:pt>
                  <c:pt idx="826">
                    <c:v>P000931</c:v>
                  </c:pt>
                  <c:pt idx="827">
                    <c:v>P000932</c:v>
                  </c:pt>
                  <c:pt idx="828">
                    <c:v>P000933</c:v>
                  </c:pt>
                  <c:pt idx="829">
                    <c:v>P000934</c:v>
                  </c:pt>
                  <c:pt idx="830">
                    <c:v>P000935</c:v>
                  </c:pt>
                  <c:pt idx="831">
                    <c:v>P000936</c:v>
                  </c:pt>
                  <c:pt idx="832">
                    <c:v>P000937</c:v>
                  </c:pt>
                  <c:pt idx="833">
                    <c:v>P000938</c:v>
                  </c:pt>
                  <c:pt idx="834">
                    <c:v>P000940</c:v>
                  </c:pt>
                  <c:pt idx="835">
                    <c:v>P000941</c:v>
                  </c:pt>
                  <c:pt idx="836">
                    <c:v>P000942</c:v>
                  </c:pt>
                  <c:pt idx="837">
                    <c:v>P000943</c:v>
                  </c:pt>
                  <c:pt idx="838">
                    <c:v>P000944</c:v>
                  </c:pt>
                  <c:pt idx="839">
                    <c:v>P000945</c:v>
                  </c:pt>
                  <c:pt idx="840">
                    <c:v>P000946</c:v>
                  </c:pt>
                  <c:pt idx="841">
                    <c:v>P000947</c:v>
                  </c:pt>
                  <c:pt idx="842">
                    <c:v>P000948</c:v>
                  </c:pt>
                  <c:pt idx="843">
                    <c:v>P000949</c:v>
                  </c:pt>
                  <c:pt idx="844">
                    <c:v>P000950</c:v>
                  </c:pt>
                  <c:pt idx="845">
                    <c:v>P000952</c:v>
                  </c:pt>
                  <c:pt idx="846">
                    <c:v>P000953</c:v>
                  </c:pt>
                  <c:pt idx="847">
                    <c:v>P000954</c:v>
                  </c:pt>
                  <c:pt idx="848">
                    <c:v>P000955</c:v>
                  </c:pt>
                  <c:pt idx="849">
                    <c:v>P000956</c:v>
                  </c:pt>
                  <c:pt idx="850">
                    <c:v>P000957</c:v>
                  </c:pt>
                  <c:pt idx="851">
                    <c:v>P000958</c:v>
                  </c:pt>
                  <c:pt idx="852">
                    <c:v>P000960</c:v>
                  </c:pt>
                  <c:pt idx="853">
                    <c:v>P000961</c:v>
                  </c:pt>
                  <c:pt idx="854">
                    <c:v>P000962</c:v>
                  </c:pt>
                  <c:pt idx="855">
                    <c:v>P000963</c:v>
                  </c:pt>
                  <c:pt idx="856">
                    <c:v>P000964</c:v>
                  </c:pt>
                  <c:pt idx="857">
                    <c:v>P000967</c:v>
                  </c:pt>
                  <c:pt idx="858">
                    <c:v>P000968</c:v>
                  </c:pt>
                  <c:pt idx="859">
                    <c:v>P000969</c:v>
                  </c:pt>
                  <c:pt idx="860">
                    <c:v>P000970</c:v>
                  </c:pt>
                  <c:pt idx="861">
                    <c:v>P000971</c:v>
                  </c:pt>
                  <c:pt idx="862">
                    <c:v>P000973</c:v>
                  </c:pt>
                  <c:pt idx="863">
                    <c:v>P000974</c:v>
                  </c:pt>
                  <c:pt idx="864">
                    <c:v>P000976</c:v>
                  </c:pt>
                  <c:pt idx="865">
                    <c:v>P000977</c:v>
                  </c:pt>
                  <c:pt idx="866">
                    <c:v>P000978</c:v>
                  </c:pt>
                  <c:pt idx="867">
                    <c:v>P000979</c:v>
                  </c:pt>
                  <c:pt idx="868">
                    <c:v>P000981</c:v>
                  </c:pt>
                  <c:pt idx="869">
                    <c:v>P000982</c:v>
                  </c:pt>
                  <c:pt idx="870">
                    <c:v>P000983</c:v>
                  </c:pt>
                  <c:pt idx="871">
                    <c:v>P000984</c:v>
                  </c:pt>
                  <c:pt idx="872">
                    <c:v>P000987</c:v>
                  </c:pt>
                  <c:pt idx="873">
                    <c:v>P000988</c:v>
                  </c:pt>
                  <c:pt idx="874">
                    <c:v>P000989</c:v>
                  </c:pt>
                  <c:pt idx="875">
                    <c:v>P000990</c:v>
                  </c:pt>
                  <c:pt idx="876">
                    <c:v>P000991</c:v>
                  </c:pt>
                  <c:pt idx="877">
                    <c:v>P000992</c:v>
                  </c:pt>
                  <c:pt idx="878">
                    <c:v>P000993</c:v>
                  </c:pt>
                  <c:pt idx="879">
                    <c:v>P000994</c:v>
                  </c:pt>
                  <c:pt idx="880">
                    <c:v>P000995</c:v>
                  </c:pt>
                  <c:pt idx="881">
                    <c:v>P000996</c:v>
                  </c:pt>
                  <c:pt idx="882">
                    <c:v>P000997</c:v>
                  </c:pt>
                  <c:pt idx="883">
                    <c:v>P000998</c:v>
                  </c:pt>
                  <c:pt idx="884">
                    <c:v>P000999</c:v>
                  </c:pt>
                  <c:pt idx="885">
                    <c:v>P001000</c:v>
                  </c:pt>
                  <c:pt idx="886">
                    <c:v>P001001</c:v>
                  </c:pt>
                  <c:pt idx="887">
                    <c:v>P001003</c:v>
                  </c:pt>
                  <c:pt idx="888">
                    <c:v>P001004</c:v>
                  </c:pt>
                  <c:pt idx="889">
                    <c:v>P001005</c:v>
                  </c:pt>
                  <c:pt idx="890">
                    <c:v>P001006</c:v>
                  </c:pt>
                  <c:pt idx="891">
                    <c:v>P001007</c:v>
                  </c:pt>
                  <c:pt idx="892">
                    <c:v>P001009</c:v>
                  </c:pt>
                  <c:pt idx="893">
                    <c:v>P001010</c:v>
                  </c:pt>
                  <c:pt idx="894">
                    <c:v>P001011</c:v>
                  </c:pt>
                  <c:pt idx="895">
                    <c:v>P001012</c:v>
                  </c:pt>
                  <c:pt idx="896">
                    <c:v>P001013</c:v>
                  </c:pt>
                  <c:pt idx="897">
                    <c:v>P001014</c:v>
                  </c:pt>
                  <c:pt idx="898">
                    <c:v>P001015</c:v>
                  </c:pt>
                  <c:pt idx="899">
                    <c:v>P001016</c:v>
                  </c:pt>
                  <c:pt idx="900">
                    <c:v>P001017</c:v>
                  </c:pt>
                  <c:pt idx="901">
                    <c:v>P001018</c:v>
                  </c:pt>
                  <c:pt idx="902">
                    <c:v>P001019</c:v>
                  </c:pt>
                  <c:pt idx="903">
                    <c:v>P001020</c:v>
                  </c:pt>
                  <c:pt idx="904">
                    <c:v>P001021</c:v>
                  </c:pt>
                  <c:pt idx="905">
                    <c:v>P001022</c:v>
                  </c:pt>
                  <c:pt idx="906">
                    <c:v>P001023</c:v>
                  </c:pt>
                  <c:pt idx="907">
                    <c:v>P001024</c:v>
                  </c:pt>
                  <c:pt idx="908">
                    <c:v>P001025</c:v>
                  </c:pt>
                  <c:pt idx="909">
                    <c:v>P001026</c:v>
                  </c:pt>
                  <c:pt idx="910">
                    <c:v>P001027</c:v>
                  </c:pt>
                  <c:pt idx="911">
                    <c:v>P001028</c:v>
                  </c:pt>
                  <c:pt idx="912">
                    <c:v>P001029</c:v>
                  </c:pt>
                  <c:pt idx="913">
                    <c:v>P001030</c:v>
                  </c:pt>
                  <c:pt idx="914">
                    <c:v>P001031</c:v>
                  </c:pt>
                  <c:pt idx="915">
                    <c:v>P001033</c:v>
                  </c:pt>
                  <c:pt idx="916">
                    <c:v>P001035</c:v>
                  </c:pt>
                  <c:pt idx="917">
                    <c:v>P001036</c:v>
                  </c:pt>
                  <c:pt idx="918">
                    <c:v>P001037</c:v>
                  </c:pt>
                  <c:pt idx="919">
                    <c:v>P001038</c:v>
                  </c:pt>
                  <c:pt idx="920">
                    <c:v>P001039</c:v>
                  </c:pt>
                  <c:pt idx="921">
                    <c:v>P001040</c:v>
                  </c:pt>
                  <c:pt idx="922">
                    <c:v>P001041</c:v>
                  </c:pt>
                  <c:pt idx="923">
                    <c:v>P001042</c:v>
                  </c:pt>
                  <c:pt idx="924">
                    <c:v>P001043</c:v>
                  </c:pt>
                  <c:pt idx="925">
                    <c:v>P001044</c:v>
                  </c:pt>
                  <c:pt idx="926">
                    <c:v>P001045</c:v>
                  </c:pt>
                  <c:pt idx="927">
                    <c:v>P001046</c:v>
                  </c:pt>
                  <c:pt idx="928">
                    <c:v>P001047</c:v>
                  </c:pt>
                  <c:pt idx="929">
                    <c:v>P001048</c:v>
                  </c:pt>
                  <c:pt idx="930">
                    <c:v>P001049</c:v>
                  </c:pt>
                  <c:pt idx="931">
                    <c:v>P001050</c:v>
                  </c:pt>
                  <c:pt idx="932">
                    <c:v>P001051</c:v>
                  </c:pt>
                  <c:pt idx="933">
                    <c:v>P001052</c:v>
                  </c:pt>
                  <c:pt idx="934">
                    <c:v>P001053</c:v>
                  </c:pt>
                  <c:pt idx="935">
                    <c:v>P001054</c:v>
                  </c:pt>
                  <c:pt idx="936">
                    <c:v>P001055</c:v>
                  </c:pt>
                  <c:pt idx="937">
                    <c:v>P001056</c:v>
                  </c:pt>
                  <c:pt idx="938">
                    <c:v>P001057</c:v>
                  </c:pt>
                  <c:pt idx="939">
                    <c:v>P001058</c:v>
                  </c:pt>
                  <c:pt idx="940">
                    <c:v>P001059</c:v>
                  </c:pt>
                  <c:pt idx="941">
                    <c:v>P001060</c:v>
                  </c:pt>
                  <c:pt idx="942">
                    <c:v>P001061</c:v>
                  </c:pt>
                  <c:pt idx="943">
                    <c:v>P001062</c:v>
                  </c:pt>
                  <c:pt idx="944">
                    <c:v>P001064</c:v>
                  </c:pt>
                  <c:pt idx="945">
                    <c:v>P001065</c:v>
                  </c:pt>
                  <c:pt idx="946">
                    <c:v>P001066</c:v>
                  </c:pt>
                  <c:pt idx="947">
                    <c:v>P001067</c:v>
                  </c:pt>
                  <c:pt idx="948">
                    <c:v>P001068</c:v>
                  </c:pt>
                  <c:pt idx="949">
                    <c:v>P001069</c:v>
                  </c:pt>
                  <c:pt idx="950">
                    <c:v>P001070</c:v>
                  </c:pt>
                  <c:pt idx="951">
                    <c:v>P001071</c:v>
                  </c:pt>
                  <c:pt idx="952">
                    <c:v>P001072</c:v>
                  </c:pt>
                  <c:pt idx="953">
                    <c:v>P001073</c:v>
                  </c:pt>
                  <c:pt idx="954">
                    <c:v>P001074</c:v>
                  </c:pt>
                  <c:pt idx="955">
                    <c:v>P001075</c:v>
                  </c:pt>
                  <c:pt idx="956">
                    <c:v>P001077</c:v>
                  </c:pt>
                  <c:pt idx="957">
                    <c:v>P001079</c:v>
                  </c:pt>
                  <c:pt idx="958">
                    <c:v>P001080</c:v>
                  </c:pt>
                  <c:pt idx="959">
                    <c:v>P001081</c:v>
                  </c:pt>
                  <c:pt idx="960">
                    <c:v>P001082</c:v>
                  </c:pt>
                  <c:pt idx="961">
                    <c:v>P001083</c:v>
                  </c:pt>
                  <c:pt idx="962">
                    <c:v>P001084</c:v>
                  </c:pt>
                  <c:pt idx="963">
                    <c:v>P001085</c:v>
                  </c:pt>
                  <c:pt idx="964">
                    <c:v>P001086</c:v>
                  </c:pt>
                  <c:pt idx="965">
                    <c:v>P001087</c:v>
                  </c:pt>
                  <c:pt idx="966">
                    <c:v>P001088</c:v>
                  </c:pt>
                  <c:pt idx="967">
                    <c:v>P001090</c:v>
                  </c:pt>
                  <c:pt idx="968">
                    <c:v>P001091</c:v>
                  </c:pt>
                  <c:pt idx="969">
                    <c:v>P001092</c:v>
                  </c:pt>
                  <c:pt idx="970">
                    <c:v>P001093</c:v>
                  </c:pt>
                  <c:pt idx="971">
                    <c:v>P001094</c:v>
                  </c:pt>
                  <c:pt idx="972">
                    <c:v>P001096</c:v>
                  </c:pt>
                  <c:pt idx="973">
                    <c:v>P001097</c:v>
                  </c:pt>
                  <c:pt idx="974">
                    <c:v>P001098</c:v>
                  </c:pt>
                  <c:pt idx="975">
                    <c:v>P001099</c:v>
                  </c:pt>
                  <c:pt idx="976">
                    <c:v>P001100</c:v>
                  </c:pt>
                  <c:pt idx="977">
                    <c:v>P001102</c:v>
                  </c:pt>
                  <c:pt idx="978">
                    <c:v>P001103</c:v>
                  </c:pt>
                  <c:pt idx="979">
                    <c:v>P001104</c:v>
                  </c:pt>
                  <c:pt idx="980">
                    <c:v>P001105</c:v>
                  </c:pt>
                  <c:pt idx="981">
                    <c:v>P001106</c:v>
                  </c:pt>
                  <c:pt idx="982">
                    <c:v>P001107</c:v>
                  </c:pt>
                  <c:pt idx="983">
                    <c:v>P001108</c:v>
                  </c:pt>
                  <c:pt idx="984">
                    <c:v>P001109</c:v>
                  </c:pt>
                  <c:pt idx="985">
                    <c:v>P001110</c:v>
                  </c:pt>
                  <c:pt idx="986">
                    <c:v>P001111</c:v>
                  </c:pt>
                  <c:pt idx="987">
                    <c:v>P001112</c:v>
                  </c:pt>
                  <c:pt idx="988">
                    <c:v>P001114</c:v>
                  </c:pt>
                  <c:pt idx="989">
                    <c:v>P001115</c:v>
                  </c:pt>
                  <c:pt idx="990">
                    <c:v>P001116</c:v>
                  </c:pt>
                  <c:pt idx="991">
                    <c:v>P001118</c:v>
                  </c:pt>
                  <c:pt idx="992">
                    <c:v>P001119</c:v>
                  </c:pt>
                  <c:pt idx="993">
                    <c:v>P001120</c:v>
                  </c:pt>
                  <c:pt idx="994">
                    <c:v>P001121</c:v>
                  </c:pt>
                  <c:pt idx="995">
                    <c:v>P001122</c:v>
                  </c:pt>
                  <c:pt idx="996">
                    <c:v>P001123</c:v>
                  </c:pt>
                  <c:pt idx="997">
                    <c:v>P001124</c:v>
                  </c:pt>
                  <c:pt idx="998">
                    <c:v>P001125</c:v>
                  </c:pt>
                  <c:pt idx="999">
                    <c:v>P001126</c:v>
                  </c:pt>
                  <c:pt idx="1000">
                    <c:v>P001127</c:v>
                  </c:pt>
                  <c:pt idx="1001">
                    <c:v>P001128</c:v>
                  </c:pt>
                  <c:pt idx="1002">
                    <c:v>P001129</c:v>
                  </c:pt>
                  <c:pt idx="1003">
                    <c:v>P001130</c:v>
                  </c:pt>
                  <c:pt idx="1004">
                    <c:v>P001131</c:v>
                  </c:pt>
                  <c:pt idx="1005">
                    <c:v>P001132</c:v>
                  </c:pt>
                  <c:pt idx="1006">
                    <c:v>P001133</c:v>
                  </c:pt>
                  <c:pt idx="1007">
                    <c:v>P001134</c:v>
                  </c:pt>
                  <c:pt idx="1008">
                    <c:v>P001136</c:v>
                  </c:pt>
                  <c:pt idx="1009">
                    <c:v>P001137</c:v>
                  </c:pt>
                  <c:pt idx="1010">
                    <c:v>P001138</c:v>
                  </c:pt>
                  <c:pt idx="1011">
                    <c:v>P001139</c:v>
                  </c:pt>
                  <c:pt idx="1012">
                    <c:v>P001140</c:v>
                  </c:pt>
                </c:lvl>
              </c:multiLvlStrCache>
            </c:multiLvlStrRef>
          </c:cat>
          <c:val>
            <c:numRef>
              <c:f>Sheet2!$B$4:$B$2030</c:f>
              <c:numCache>
                <c:formatCode>General</c:formatCode>
                <c:ptCount val="10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6-406C-9A9C-D5D8F507D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922256"/>
        <c:axId val="1962999792"/>
      </c:barChart>
      <c:catAx>
        <c:axId val="168892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99792"/>
        <c:crosses val="autoZero"/>
        <c:auto val="1"/>
        <c:lblAlgn val="ctr"/>
        <c:lblOffset val="100"/>
        <c:noMultiLvlLbl val="0"/>
      </c:catAx>
      <c:valAx>
        <c:axId val="196299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2225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Avg_Pick_By_Zone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Zone_Analysis!$D$1</c:f>
              <c:strCache>
                <c:ptCount val="1"/>
                <c:pt idx="0">
                  <c:v>Avg_Pick_Min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Zone_Analysis!$A$2:$A$9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Zone_Analysis!$D$2:$D$9</c:f>
              <c:numCache>
                <c:formatCode>General</c:formatCode>
                <c:ptCount val="8"/>
                <c:pt idx="0">
                  <c:v>5.18</c:v>
                </c:pt>
                <c:pt idx="1">
                  <c:v>9.39</c:v>
                </c:pt>
                <c:pt idx="2">
                  <c:v>7.42</c:v>
                </c:pt>
                <c:pt idx="3">
                  <c:v>10.01</c:v>
                </c:pt>
                <c:pt idx="4">
                  <c:v>5.76</c:v>
                </c:pt>
                <c:pt idx="5">
                  <c:v>7.64</c:v>
                </c:pt>
                <c:pt idx="6">
                  <c:v>10.69</c:v>
                </c:pt>
                <c:pt idx="7">
                  <c:v>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C-4E9F-ABB3-CAE09DE24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763664"/>
        <c:axId val="1680612656"/>
      </c:barChart>
      <c:catAx>
        <c:axId val="168876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12656"/>
        <c:crosses val="autoZero"/>
        <c:auto val="1"/>
        <c:lblAlgn val="ctr"/>
        <c:lblOffset val="100"/>
        <c:noMultiLvlLbl val="0"/>
      </c:catAx>
      <c:valAx>
        <c:axId val="16806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636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Pick time by shift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Shift_Analysis!$C$1</c:f>
              <c:strCache>
                <c:ptCount val="1"/>
                <c:pt idx="0">
                  <c:v>Avg_Pick_Min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Shift_Analysis!$A$2:$A$5</c:f>
              <c:strCache>
                <c:ptCount val="4"/>
                <c:pt idx="0">
                  <c:v>Evening</c:v>
                </c:pt>
                <c:pt idx="1">
                  <c:v>Morning</c:v>
                </c:pt>
                <c:pt idx="2">
                  <c:v>Night</c:v>
                </c:pt>
                <c:pt idx="3">
                  <c:v>Unknown</c:v>
                </c:pt>
              </c:strCache>
            </c:strRef>
          </c:cat>
          <c:val>
            <c:numRef>
              <c:f>Shift_Analysis!$C$2:$C$5</c:f>
              <c:numCache>
                <c:formatCode>General</c:formatCode>
                <c:ptCount val="4"/>
                <c:pt idx="0">
                  <c:v>8.65</c:v>
                </c:pt>
                <c:pt idx="1">
                  <c:v>7.34</c:v>
                </c:pt>
                <c:pt idx="2">
                  <c:v>7.8</c:v>
                </c:pt>
                <c:pt idx="3">
                  <c:v>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C-4AB3-A112-A88254504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063936"/>
        <c:axId val="1962962352"/>
      </c:lineChart>
      <c:catAx>
        <c:axId val="16860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62352"/>
        <c:crosses val="autoZero"/>
        <c:auto val="1"/>
        <c:lblAlgn val="ctr"/>
        <c:lblOffset val="100"/>
        <c:noMultiLvlLbl val="0"/>
      </c:catAx>
      <c:valAx>
        <c:axId val="196296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0639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Time by Experience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Experience_Analysis!$C$1</c:f>
              <c:strCache>
                <c:ptCount val="1"/>
                <c:pt idx="0">
                  <c:v>Avg_Pick_Min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97-4C91-BA46-7397351D1B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97-4C91-BA46-7397351D1B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97-4C91-BA46-7397351D1B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97-4C91-BA46-7397351D1BB1}"/>
              </c:ext>
            </c:extLst>
          </c:dPt>
          <c:cat>
            <c:strRef>
              <c:f>Experience_Analysis!$A$2:$A$5</c:f>
              <c:strCache>
                <c:ptCount val="4"/>
                <c:pt idx="0">
                  <c:v>Beginner</c:v>
                </c:pt>
                <c:pt idx="1">
                  <c:v>Experienced</c:v>
                </c:pt>
                <c:pt idx="2">
                  <c:v>Intermediate</c:v>
                </c:pt>
                <c:pt idx="3">
                  <c:v>Unknown</c:v>
                </c:pt>
              </c:strCache>
            </c:strRef>
          </c:cat>
          <c:val>
            <c:numRef>
              <c:f>Experience_Analysis!$C$2:$C$5</c:f>
              <c:numCache>
                <c:formatCode>General</c:formatCode>
                <c:ptCount val="4"/>
                <c:pt idx="0">
                  <c:v>9.57</c:v>
                </c:pt>
                <c:pt idx="1">
                  <c:v>6.74</c:v>
                </c:pt>
                <c:pt idx="2">
                  <c:v>7.69</c:v>
                </c:pt>
                <c:pt idx="3">
                  <c:v>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97-4C91-BA46-7397351D1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Pick by Category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Category_Analysis!$C$1</c:f>
              <c:strCache>
                <c:ptCount val="1"/>
                <c:pt idx="0">
                  <c:v>Avg_Pick_Min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strRef>
              <c:f>Category_Analysis!$A$2:$A$8</c:f>
              <c:strCache>
                <c:ptCount val="7"/>
                <c:pt idx="0">
                  <c:v>Apparel</c:v>
                </c:pt>
                <c:pt idx="1">
                  <c:v>Bulk Materials</c:v>
                </c:pt>
                <c:pt idx="2">
                  <c:v>Electronics</c:v>
                </c:pt>
                <c:pt idx="3">
                  <c:v>Fragile Goods</c:v>
                </c:pt>
                <c:pt idx="4">
                  <c:v>Home Goods</c:v>
                </c:pt>
                <c:pt idx="5">
                  <c:v>Small Parts</c:v>
                </c:pt>
                <c:pt idx="6">
                  <c:v>Unknown</c:v>
                </c:pt>
              </c:strCache>
            </c:strRef>
          </c:xVal>
          <c:yVal>
            <c:numRef>
              <c:f>Category_Analysis!$C$2:$C$8</c:f>
              <c:numCache>
                <c:formatCode>General</c:formatCode>
                <c:ptCount val="7"/>
                <c:pt idx="0">
                  <c:v>7.93</c:v>
                </c:pt>
                <c:pt idx="1">
                  <c:v>7.53</c:v>
                </c:pt>
                <c:pt idx="2">
                  <c:v>7.62</c:v>
                </c:pt>
                <c:pt idx="3">
                  <c:v>8.08</c:v>
                </c:pt>
                <c:pt idx="4">
                  <c:v>7.73</c:v>
                </c:pt>
                <c:pt idx="5">
                  <c:v>7.84</c:v>
                </c:pt>
                <c:pt idx="6">
                  <c:v>7.83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3A-4958-A5DB-5AA027098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773408"/>
        <c:axId val="1963005072"/>
      </c:scatterChart>
      <c:valAx>
        <c:axId val="16887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005072"/>
        <c:crosses val="autoZero"/>
        <c:crossBetween val="midCat"/>
      </c:valAx>
      <c:valAx>
        <c:axId val="19630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734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Hourly Picking Workload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Hourly_Analysis!$B$1</c:f>
              <c:strCache>
                <c:ptCount val="1"/>
                <c:pt idx="0">
                  <c:v>Pick_Records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Hourly_Analysis!$A$2:$A$25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Hourly_Analysis!$B$2:$B$25</c:f>
              <c:numCache>
                <c:formatCode>General</c:formatCode>
                <c:ptCount val="24"/>
                <c:pt idx="0">
                  <c:v>40</c:v>
                </c:pt>
                <c:pt idx="1">
                  <c:v>56</c:v>
                </c:pt>
                <c:pt idx="2">
                  <c:v>36</c:v>
                </c:pt>
                <c:pt idx="3">
                  <c:v>52</c:v>
                </c:pt>
                <c:pt idx="4">
                  <c:v>28</c:v>
                </c:pt>
                <c:pt idx="5">
                  <c:v>39</c:v>
                </c:pt>
                <c:pt idx="6">
                  <c:v>31</c:v>
                </c:pt>
                <c:pt idx="7">
                  <c:v>38</c:v>
                </c:pt>
                <c:pt idx="8">
                  <c:v>41</c:v>
                </c:pt>
                <c:pt idx="9">
                  <c:v>58</c:v>
                </c:pt>
                <c:pt idx="10">
                  <c:v>55</c:v>
                </c:pt>
                <c:pt idx="11">
                  <c:v>38</c:v>
                </c:pt>
                <c:pt idx="12">
                  <c:v>38</c:v>
                </c:pt>
                <c:pt idx="13">
                  <c:v>61</c:v>
                </c:pt>
                <c:pt idx="14">
                  <c:v>53</c:v>
                </c:pt>
                <c:pt idx="15">
                  <c:v>32</c:v>
                </c:pt>
                <c:pt idx="16">
                  <c:v>26</c:v>
                </c:pt>
                <c:pt idx="17">
                  <c:v>31</c:v>
                </c:pt>
                <c:pt idx="18">
                  <c:v>36</c:v>
                </c:pt>
                <c:pt idx="19">
                  <c:v>34</c:v>
                </c:pt>
                <c:pt idx="20">
                  <c:v>45</c:v>
                </c:pt>
                <c:pt idx="21">
                  <c:v>53</c:v>
                </c:pt>
                <c:pt idx="22">
                  <c:v>54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2-4CB7-B657-5D70D8286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Start 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Pick 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7</xdr:row>
      <xdr:rowOff>80010</xdr:rowOff>
    </xdr:from>
    <xdr:to>
      <xdr:col>8</xdr:col>
      <xdr:colOff>434340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12</xdr:row>
      <xdr:rowOff>34290</xdr:rowOff>
    </xdr:from>
    <xdr:to>
      <xdr:col>7</xdr:col>
      <xdr:colOff>472440</xdr:colOff>
      <xdr:row>27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7</xdr:row>
      <xdr:rowOff>110490</xdr:rowOff>
    </xdr:from>
    <xdr:to>
      <xdr:col>8</xdr:col>
      <xdr:colOff>152400</xdr:colOff>
      <xdr:row>22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7</xdr:row>
      <xdr:rowOff>80010</xdr:rowOff>
    </xdr:from>
    <xdr:to>
      <xdr:col>7</xdr:col>
      <xdr:colOff>373380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13</xdr:row>
      <xdr:rowOff>11430</xdr:rowOff>
    </xdr:from>
    <xdr:to>
      <xdr:col>6</xdr:col>
      <xdr:colOff>480060</xdr:colOff>
      <xdr:row>28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wak s" refreshedDate="46308.515778935187" createdVersion="8" refreshedVersion="8" minRefreshableVersion="3" recordCount="1013" xr:uid="{00000000-000A-0000-FFFF-FFFF06000000}">
  <cacheSource type="worksheet">
    <worksheetSource ref="A1:AA1014" sheet="Cleaned_Data"/>
  </cacheSource>
  <cacheFields count="27">
    <cacheField name="pick_id" numFmtId="0">
      <sharedItems count="1013">
        <s v="P000440"/>
        <s v="P000293"/>
        <s v="P000837"/>
        <s v="P000426"/>
        <s v="P000880"/>
        <s v="P000016"/>
        <s v="P000685"/>
        <s v="P000216"/>
        <s v="P001006"/>
        <s v="P000581"/>
        <s v="P000949"/>
        <s v="P000166"/>
        <s v="P000314"/>
        <s v="P000010"/>
        <s v="P000365"/>
        <s v="P000349"/>
        <s v="P000489"/>
        <s v="P000182"/>
        <s v="P000123"/>
        <s v="P000554"/>
        <s v="P000883"/>
        <s v="P000894"/>
        <s v="P000409"/>
        <s v="P000324"/>
        <s v="P000887"/>
        <s v="P001136"/>
        <s v="P000302"/>
        <s v="P000256"/>
        <s v="P000073"/>
        <s v="P000661"/>
        <s v="P000461"/>
        <s v="P000208"/>
        <s v="P000632"/>
        <s v="P000253"/>
        <s v="P000032"/>
        <s v="P000295"/>
        <s v="P000672"/>
        <s v="P000003"/>
        <s v="P001127"/>
        <s v="P000353"/>
        <s v="P000753"/>
        <s v="P001109"/>
        <s v="P001110"/>
        <s v="P000421"/>
        <s v="P000018"/>
        <s v="P000153"/>
        <s v="P000553"/>
        <s v="P000373"/>
        <s v="P000177"/>
        <s v="P000122"/>
        <s v="P000504"/>
        <s v="P001007"/>
        <s v="P000108"/>
        <s v="P000639"/>
        <s v="P000710"/>
        <s v="P000093"/>
        <s v="P000712"/>
        <s v="P000792"/>
        <s v="P000604"/>
        <s v="P000602"/>
        <s v="P000048"/>
        <s v="P001029"/>
        <s v="P000291"/>
        <s v="P000635"/>
        <s v="P000624"/>
        <s v="P001022"/>
        <s v="P001024"/>
        <s v="P000778"/>
        <s v="P000599"/>
        <s v="P000783"/>
        <s v="P000370"/>
        <s v="P000979"/>
        <s v="P000201"/>
        <s v="P000219"/>
        <s v="P000840"/>
        <s v="P000524"/>
        <s v="P000521"/>
        <s v="P000620"/>
        <s v="P000884"/>
        <s v="P000510"/>
        <s v="P000104"/>
        <s v="P000159"/>
        <s v="P000133"/>
        <s v="P000926"/>
        <s v="P000404"/>
        <s v="P000957"/>
        <s v="P000902"/>
        <s v="P000389"/>
        <s v="P000132"/>
        <s v="P000403"/>
        <s v="P000457"/>
        <s v="P000456"/>
        <s v="P001071"/>
        <s v="P000448"/>
        <s v="P000043"/>
        <s v="P000035"/>
        <s v="P000011"/>
        <s v="P000437"/>
        <s v="P000928"/>
        <s v="P000351"/>
        <s v="P000543"/>
        <s v="P000968"/>
        <s v="P000970"/>
        <s v="P001102"/>
        <s v="P000453"/>
        <s v="P000458"/>
        <s v="P000459"/>
        <s v="P000361"/>
        <s v="P000558"/>
        <s v="P000497"/>
        <s v="P000950"/>
        <s v="P000890"/>
        <s v="P000888"/>
        <s v="P000904"/>
        <s v="P000903"/>
        <s v="P000346"/>
        <s v="P000392"/>
        <s v="P000207"/>
        <s v="P000310"/>
        <s v="P000106"/>
        <s v="P000074"/>
        <s v="P001014"/>
        <s v="P000992"/>
        <s v="P000498"/>
        <s v="P000327"/>
        <s v="P000886"/>
        <s v="P000849"/>
        <s v="P000118"/>
        <s v="P000111"/>
        <s v="P000086"/>
        <s v="P000973"/>
        <s v="P000164"/>
        <s v="P000340"/>
        <s v="P000168"/>
        <s v="P000873"/>
        <s v="P000568"/>
        <s v="P000147"/>
        <s v="P000150"/>
        <s v="P000937"/>
        <s v="P000633"/>
        <s v="P000627"/>
        <s v="P000401"/>
        <s v="P000677"/>
        <s v="P000423"/>
        <s v="P000422"/>
        <s v="P001053"/>
        <s v="P001062"/>
        <s v="P001087"/>
        <s v="P001096"/>
        <s v="P001134"/>
        <s v="P001084"/>
        <s v="P000262"/>
        <s v="P001033"/>
        <s v="P000379"/>
        <s v="P000243"/>
        <s v="P000486"/>
        <s v="P000469"/>
        <s v="P000467"/>
        <s v="P000460"/>
        <s v="P000699"/>
        <s v="P000769"/>
        <s v="P000774"/>
        <s v="P000811"/>
        <s v="P000597"/>
        <s v="P000270"/>
        <s v="P000266"/>
        <s v="P000734"/>
        <s v="P000735"/>
        <s v="P000746"/>
        <s v="P000297"/>
        <s v="P000790"/>
        <s v="P000788"/>
        <s v="P000692"/>
        <s v="P000683"/>
        <s v="P000915"/>
        <s v="P000907"/>
        <s v="P000952"/>
        <s v="P000496"/>
        <s v="P000945"/>
        <s v="P000948"/>
        <s v="P000143"/>
        <s v="P000545"/>
        <s v="P000920"/>
        <s v="P000447"/>
        <s v="P000433"/>
        <s v="P000414"/>
        <s v="P001123"/>
        <s v="P001126"/>
        <s v="P000013"/>
        <s v="P001119"/>
        <s v="P001077"/>
        <s v="P000430"/>
        <s v="P000895"/>
        <s v="P000157"/>
        <s v="P000532"/>
        <s v="P000530"/>
        <s v="P000338"/>
        <s v="P000328"/>
        <s v="P000865"/>
        <s v="P000178"/>
        <s v="P000570"/>
        <s v="P000146"/>
        <s v="P000298"/>
        <s v="P000598"/>
        <s v="P000311"/>
        <s v="P000213"/>
        <s v="P000765"/>
        <s v="P000864"/>
        <s v="P000209"/>
        <s v="P000204"/>
        <s v="P000071"/>
        <s v="P000990"/>
        <s v="P000795"/>
        <s v="P000590"/>
        <s v="P001013"/>
        <s v="P000813"/>
        <s v="P000107"/>
        <s v="P001036"/>
        <s v="P000593"/>
        <s v="P000588"/>
        <s v="P000587"/>
        <s v="P000825"/>
        <s v="P000369"/>
        <s v="P000578"/>
        <s v="P000571"/>
        <s v="P000196"/>
        <s v="P000862"/>
        <s v="P000857"/>
        <s v="P000978"/>
        <s v="P000082"/>
        <s v="P000503"/>
        <s v="P000641"/>
        <s v="P000387"/>
        <s v="P000471"/>
        <s v="P000473"/>
        <s v="P000045"/>
        <s v="P000491"/>
        <s v="P000490"/>
        <s v="P000485"/>
        <s v="P000762"/>
        <s v="P000052"/>
        <s v="P000693"/>
        <s v="P000748"/>
        <s v="P000275"/>
        <s v="P000714"/>
        <s v="P000688"/>
        <s v="P000400"/>
        <s v="P000061"/>
        <s v="P001046"/>
        <s v="P000395"/>
        <s v="P001058"/>
        <s v="P000283"/>
        <s v="P000288"/>
        <s v="P000679"/>
        <s v="P000656"/>
        <s v="P000264"/>
        <s v="P000299"/>
        <s v="P000655"/>
        <s v="P000729"/>
        <s v="P000727"/>
        <s v="P001079"/>
        <s v="P001108"/>
        <s v="P001112"/>
        <s v="P000411"/>
        <s v="P000416"/>
        <s v="P000418"/>
        <s v="P000420"/>
        <s v="P001083"/>
        <s v="P001094"/>
        <s v="P001098"/>
        <s v="P000716"/>
        <s v="P000658"/>
        <s v="P000287"/>
        <s v="P000621"/>
        <s v="P000622"/>
        <s v="P000625"/>
        <s v="P000755"/>
        <s v="P000245"/>
        <s v="P000691"/>
        <s v="P000700"/>
        <s v="P000785"/>
        <s v="P000743"/>
        <s v="P000745"/>
        <s v="P000750"/>
        <s v="P000752"/>
        <s v="P000647"/>
        <s v="P000342"/>
        <s v="P000600"/>
        <s v="P000316"/>
        <s v="P000844"/>
        <s v="P000846"/>
        <s v="P000215"/>
        <s v="P000246"/>
        <s v="P000766"/>
        <s v="P000770"/>
        <s v="P000776"/>
        <s v="P000777"/>
        <s v="P000794"/>
        <s v="P000797"/>
        <s v="P000823"/>
        <s v="P000322"/>
        <s v="P000614"/>
        <s v="P000356"/>
        <s v="P000359"/>
        <s v="P000584"/>
        <s v="P000192"/>
        <s v="P000193"/>
        <s v="P000218"/>
        <s v="P000861"/>
        <s v="P000162"/>
        <s v="P000870"/>
        <s v="P000874"/>
        <s v="P000876"/>
        <s v="P000877"/>
        <s v="P000188"/>
        <s v="P000341"/>
        <s v="P000564"/>
        <s v="P000566"/>
        <s v="P000572"/>
        <s v="P000343"/>
        <s v="P000896"/>
        <s v="P000897"/>
        <s v="P000964"/>
        <s v="P000131"/>
        <s v="P000171"/>
        <s v="P000174"/>
        <s v="P000916"/>
        <s v="P000919"/>
        <s v="P000929"/>
        <s v="P000930"/>
        <s v="P000350"/>
        <s v="P000388"/>
        <s v="P000548"/>
        <s v="P000549"/>
        <s v="P000124"/>
        <s v="P000969"/>
        <s v="P000936"/>
        <s v="P000940"/>
        <s v="P000958"/>
        <s v="P000360"/>
        <s v="P000363"/>
        <s v="P000511"/>
        <s v="P000514"/>
        <s v="P000518"/>
        <s v="P000993"/>
        <s v="P000096"/>
        <s v="P000098"/>
        <s v="P000105"/>
        <s v="P000138"/>
        <s v="P000140"/>
        <s v="P000141"/>
        <s v="P000113"/>
        <s v="P000114"/>
        <s v="P000120"/>
        <s v="P000121"/>
        <s v="P000085"/>
        <s v="P000982"/>
        <s v="P000984"/>
        <s v="P000987"/>
        <s v="P000988"/>
        <s v="P000989"/>
        <s v="P001037"/>
        <s v="P001005"/>
        <s v="P001010"/>
        <s v="P001016"/>
        <s v="P000522"/>
        <s v="P000053"/>
        <s v="P000058"/>
        <s v="P001020"/>
        <s v="P001021"/>
        <s v="P001030"/>
        <s v="P000060"/>
        <s v="P000064"/>
        <s v="P000424"/>
        <s v="P000425"/>
        <s v="P001039"/>
        <s v="P001040"/>
        <s v="P001044"/>
        <s v="P001049"/>
        <s v="P001051"/>
        <s v="P001056"/>
        <s v="P001064"/>
        <s v="P000402"/>
        <s v="P000004"/>
        <s v="P000040"/>
        <s v="P001139"/>
        <s v="P000001"/>
        <s v="P000009"/>
        <s v="P000020"/>
        <s v="P000002"/>
        <s v="P000749"/>
        <s v="P000741"/>
        <s v="P001137"/>
        <s v="P001111"/>
        <s v="P001129"/>
        <s v="P000054"/>
        <s v="P000050"/>
        <s v="P000044"/>
        <s v="P000455"/>
        <s v="P000454"/>
        <s v="P000451"/>
        <s v="P000450"/>
        <s v="P001057"/>
        <s v="P000725"/>
        <s v="P000717"/>
        <s v="P000709"/>
        <s v="P000707"/>
        <s v="P000226"/>
        <s v="P000786"/>
        <s v="P000784"/>
        <s v="P000255"/>
        <s v="P000488"/>
        <s v="P000478"/>
        <s v="P000475"/>
        <s v="P000065"/>
        <s v="P000238"/>
        <s v="P000233"/>
        <s v="P000705"/>
        <s v="P000702"/>
        <s v="P000701"/>
        <s v="P000698"/>
        <s v="P000690"/>
        <s v="P001028"/>
        <s v="P001023"/>
        <s v="P001019"/>
        <s v="P000083"/>
        <s v="P000817"/>
        <s v="P000280"/>
        <s v="P000277"/>
        <s v="P000276"/>
        <s v="P000678"/>
        <s v="P000838"/>
        <s v="P000832"/>
        <s v="P000828"/>
        <s v="P000827"/>
        <s v="P000675"/>
        <s v="P000669"/>
        <s v="P000666"/>
        <s v="P000665"/>
        <s v="P000654"/>
        <s v="P000517"/>
        <s v="P000513"/>
        <s v="P000509"/>
        <s v="P000505"/>
        <s v="P000103"/>
        <s v="P000997"/>
        <s v="P000991"/>
        <s v="P000223"/>
        <s v="P000306"/>
        <s v="P000305"/>
        <s v="P000303"/>
        <s v="P000841"/>
        <s v="P000967"/>
        <s v="P000125"/>
        <s v="P000386"/>
        <s v="P000380"/>
        <s v="P000869"/>
        <s v="P000867"/>
        <s v="P000643"/>
        <s v="P000640"/>
        <s v="P000631"/>
        <s v="P000629"/>
        <s v="P000866"/>
        <s v="P000850"/>
        <s v="P000848"/>
        <s v="P000319"/>
        <s v="P000612"/>
        <s v="P000611"/>
        <s v="P000609"/>
        <s v="P000189"/>
        <s v="P000181"/>
        <s v="P000556"/>
        <s v="P000552"/>
        <s v="P000542"/>
        <s v="P000537"/>
        <s v="P000536"/>
        <s v="P000956"/>
        <s v="P000941"/>
        <s v="P000935"/>
        <s v="P000170"/>
        <s v="P000334"/>
        <s v="P000332"/>
        <s v="P000329"/>
        <s v="P000596"/>
        <s v="P000906"/>
        <s v="P000563"/>
        <s v="P000562"/>
        <s v="P000374"/>
        <s v="P000371"/>
        <s v="P000560"/>
        <s v="P000931"/>
        <s v="P000152"/>
        <s v="P000149"/>
        <s v="P000145"/>
        <s v="P000582"/>
        <s v="P000355"/>
        <s v="P000354"/>
        <s v="P000577"/>
        <s v="P000917"/>
        <s v="P000176"/>
        <s v="P000173"/>
        <s v="P000441"/>
        <s v="P000436"/>
        <s v="P001088"/>
        <s v="P001082"/>
        <s v="P001073"/>
        <s v="P000251"/>
        <s v="P000248"/>
        <s v="P000273"/>
        <s v="P000272"/>
        <s v="P000269"/>
        <s v="P000263"/>
        <s v="P000759"/>
        <s v="P000751"/>
        <s v="P000760"/>
        <s v="P000761"/>
        <s v="P000260"/>
        <s v="P000268"/>
        <s v="P000731"/>
        <s v="P000732"/>
        <s v="P000250"/>
        <s v="P000057"/>
        <s v="P000059"/>
        <s v="P001067"/>
        <s v="P001068"/>
        <s v="P001133"/>
        <s v="P000008"/>
        <s v="P000428"/>
        <s v="P000432"/>
        <s v="P000442"/>
        <s v="P001100"/>
        <s v="P001140"/>
        <s v="P000921"/>
        <s v="P000576"/>
        <s v="P000579"/>
        <s v="P000352"/>
        <s v="P000357"/>
        <s v="P000358"/>
        <s v="P000585"/>
        <s v="P000586"/>
        <s v="P000155"/>
        <s v="P000156"/>
        <s v="P000158"/>
        <s v="P000932"/>
        <s v="P000362"/>
        <s v="P000364"/>
        <s v="P000367"/>
        <s v="P000574"/>
        <s v="P000898"/>
        <s v="P000905"/>
        <s v="P000592"/>
        <s v="P000330"/>
        <s v="P000333"/>
        <s v="P000336"/>
        <s v="P000339"/>
        <s v="P000601"/>
        <s v="P000605"/>
        <s v="P000163"/>
        <s v="P000944"/>
        <s v="P000947"/>
        <s v="P000954"/>
        <s v="P000544"/>
        <s v="P000547"/>
        <s v="P000557"/>
        <s v="P000180"/>
        <s v="P000187"/>
        <s v="P000309"/>
        <s v="P000312"/>
        <s v="P000313"/>
        <s v="P000191"/>
        <s v="P000882"/>
        <s v="P000885"/>
        <s v="P000889"/>
        <s v="P000893"/>
        <s v="P000854"/>
        <s v="P000198"/>
        <s v="P000616"/>
        <s v="P000617"/>
        <s v="P000626"/>
        <s v="P000636"/>
        <s v="P000868"/>
        <s v="P000963"/>
        <s v="P000134"/>
        <s v="P000382"/>
        <s v="P000385"/>
        <s v="P000393"/>
        <s v="P000529"/>
        <s v="P000126"/>
        <s v="P000971"/>
        <s v="P000974"/>
        <s v="P000976"/>
        <s v="P000842"/>
        <s v="P000645"/>
        <s v="P000292"/>
        <s v="P000296"/>
        <s v="P000300"/>
        <s v="P000650"/>
        <s v="P000211"/>
        <s v="P000212"/>
        <s v="P000222"/>
        <s v="P000224"/>
        <s v="P000225"/>
        <s v="P000994"/>
        <s v="P000995"/>
        <s v="P000996"/>
        <s v="P000095"/>
        <s v="P000097"/>
        <s v="P000100"/>
        <s v="P000525"/>
        <s v="P000526"/>
        <s v="P000818"/>
        <s v="P000659"/>
        <s v="P000663"/>
        <s v="P000668"/>
        <s v="P000826"/>
        <s v="P000833"/>
        <s v="P000803"/>
        <s v="P000278"/>
        <s v="P000281"/>
        <s v="P000282"/>
        <s v="P000285"/>
        <s v="P000804"/>
        <s v="P000808"/>
        <s v="P000809"/>
        <s v="P000810"/>
        <s v="P000816"/>
        <s v="P001011"/>
        <s v="P001015"/>
        <s v="P001017"/>
        <s v="P000081"/>
        <s v="P000090"/>
        <s v="P000091"/>
        <s v="P000492"/>
        <s v="P000495"/>
        <s v="P000406"/>
        <s v="P000408"/>
        <s v="P000500"/>
        <s v="P001026"/>
        <s v="P000684"/>
        <s v="P000697"/>
        <s v="P000706"/>
        <s v="P000231"/>
        <s v="P000235"/>
        <s v="P000236"/>
        <s v="P000241"/>
        <s v="P001031"/>
        <s v="P000062"/>
        <s v="P000066"/>
        <s v="P000470"/>
        <s v="P000477"/>
        <s v="P000479"/>
        <s v="P001038"/>
        <s v="P001043"/>
        <s v="P000258"/>
        <s v="P000781"/>
        <s v="P000782"/>
        <s v="P000798"/>
        <s v="P000719"/>
        <s v="P000723"/>
        <s v="P001050"/>
        <s v="P001055"/>
        <s v="P001059"/>
        <s v="P000445"/>
        <s v="P000449"/>
        <s v="P000464"/>
        <s v="P000047"/>
        <s v="P000051"/>
        <s v="P000038"/>
        <s v="P000026"/>
        <s v="P001120"/>
        <s v="P001121"/>
        <s v="P001128"/>
        <s v="P001106"/>
        <s v="P001115"/>
        <s v="P001138"/>
        <s v="P000738"/>
        <s v="P000739"/>
        <s v="P000744"/>
        <s v="P001131"/>
        <s v="P001091"/>
        <s v="P000267"/>
        <s v="P000265"/>
        <s v="P000261"/>
        <s v="P000259"/>
        <s v="P000763"/>
        <s v="P000757"/>
        <s v="P000740"/>
        <s v="P000006"/>
        <s v="P000007"/>
        <s v="P001074"/>
        <s v="P001070"/>
        <s v="P001069"/>
        <s v="P000056"/>
        <s v="P000046"/>
        <s v="P000419"/>
        <s v="P000413"/>
        <s v="P000779"/>
        <s v="P000247"/>
        <s v="P000244"/>
        <s v="P000737"/>
        <s v="P000271"/>
        <s v="P000410"/>
        <s v="P000452"/>
        <s v="P000444"/>
        <s v="P001048"/>
        <s v="P001045"/>
        <s v="P001035"/>
        <s v="P000483"/>
        <s v="P000480"/>
        <s v="P000472"/>
        <s v="P000069"/>
        <s v="P001027"/>
        <s v="P000227"/>
        <s v="P000405"/>
        <s v="P000399"/>
        <s v="P000493"/>
        <s v="P000088"/>
        <s v="P000080"/>
        <s v="P000079"/>
        <s v="P000523"/>
        <s v="P000520"/>
        <s v="P000516"/>
        <s v="P000515"/>
        <s v="P001009"/>
        <s v="P001001"/>
        <s v="P000109"/>
        <s v="P000102"/>
        <s v="P000800"/>
        <s v="P000704"/>
        <s v="P000695"/>
        <s v="P000694"/>
        <s v="P001000"/>
        <s v="P000981"/>
        <s v="P000977"/>
        <s v="P000391"/>
        <s v="P000384"/>
        <s v="P000381"/>
        <s v="P000117"/>
        <s v="P000128"/>
        <s v="P000962"/>
        <s v="P000820"/>
        <s v="P000815"/>
        <s v="P000812"/>
        <s v="P000806"/>
        <s v="P000682"/>
        <s v="P000681"/>
        <s v="P000286"/>
        <s v="P000541"/>
        <s v="P000946"/>
        <s v="P000943"/>
        <s v="P000372"/>
        <s v="P000933"/>
        <s v="P000144"/>
        <s v="P000927"/>
        <s v="P000925"/>
        <s v="P000923"/>
        <s v="P000580"/>
        <s v="P000646"/>
        <s v="P000836"/>
        <s v="P000835"/>
        <s v="P000829"/>
        <s v="P000824"/>
        <s v="P000660"/>
        <s v="P000175"/>
        <s v="P000591"/>
        <s v="P000901"/>
        <s v="P000899"/>
        <s v="P000891"/>
        <s v="P000321"/>
        <s v="P000320"/>
        <s v="P000606"/>
        <s v="P000185"/>
        <s v="P000179"/>
        <s v="P000644"/>
        <s v="P000642"/>
        <s v="P000856"/>
        <s v="P000214"/>
        <s v="P000630"/>
        <s v="P000628"/>
        <s v="P000623"/>
        <s v="P000206"/>
        <s v="P000199"/>
        <s v="P000863"/>
        <s v="P000041"/>
        <s v="P001097"/>
        <s v="P001092"/>
        <s v="P001114"/>
        <s v="P001105"/>
        <s v="P001104"/>
        <s v="P000022"/>
        <s v="P000017"/>
        <s v="P000019"/>
        <s v="P001107"/>
        <s v="P001125"/>
        <s v="P001122"/>
        <s v="P001103"/>
        <s v="P000195"/>
        <s v="P000860"/>
        <s v="P000859"/>
        <s v="P000029"/>
        <s v="P000031"/>
        <s v="P000028"/>
        <s v="P001093"/>
        <s v="P000037"/>
        <s v="P000872"/>
        <s v="P000878"/>
        <s v="P000613"/>
        <s v="P000648"/>
        <s v="P000651"/>
        <s v="P000608"/>
        <s v="P000852"/>
        <s v="P000203"/>
        <s v="P000603"/>
        <s v="P000326"/>
        <s v="P000909"/>
        <s v="P000892"/>
        <s v="P000881"/>
        <s v="P000325"/>
        <s v="P000172"/>
        <s v="P000301"/>
        <s v="P000375"/>
        <s v="P000148"/>
        <s v="P000934"/>
        <s v="P000938"/>
        <s v="P000567"/>
        <s v="P000561"/>
        <s v="P000284"/>
        <s v="P000290"/>
        <s v="P000814"/>
        <s v="P000822"/>
        <s v="P000279"/>
        <s v="P000550"/>
        <s v="P000540"/>
        <s v="P000830"/>
        <s v="P000348"/>
        <s v="P000345"/>
        <s v="P000664"/>
        <s v="P000673"/>
        <s v="P000670"/>
        <s v="P000667"/>
        <s v="P000167"/>
        <s v="P000983"/>
        <s v="P000533"/>
        <s v="P000534"/>
        <s v="P000137"/>
        <s v="P000139"/>
        <s v="P000142"/>
        <s v="P000129"/>
        <s v="P000720"/>
        <s v="P000728"/>
        <s v="P000730"/>
        <s v="P000501"/>
        <s v="P000076"/>
        <s v="P000476"/>
        <s v="P000077"/>
        <s v="P001018"/>
        <s v="P000796"/>
        <s v="P000230"/>
        <s v="P000715"/>
        <s v="P000398"/>
        <s v="P000394"/>
        <s v="P000527"/>
        <s v="P001072"/>
        <s v="P000438"/>
        <s v="P000427"/>
        <s v="P001086"/>
        <s v="P000434"/>
        <s v="P001132"/>
        <s v="P000068"/>
        <s v="P001061"/>
        <s v="P001118"/>
        <s v="P000754"/>
        <s v="P000015"/>
        <s v="P001065"/>
        <s v="P001066"/>
        <s v="P000415"/>
        <s v="P000789"/>
        <s v="P000801"/>
        <s v="P001003"/>
        <s v="P000512"/>
        <s v="P000507"/>
        <s v="P000101"/>
        <s v="P000689"/>
        <s v="P000999"/>
        <s v="P000094"/>
        <s v="P000535"/>
        <s v="P000911"/>
        <s v="P000912"/>
        <s v="P000845"/>
        <s v="P000843"/>
        <s v="P000366"/>
        <s v="P000908"/>
        <s v="P000961"/>
        <s v="P000289"/>
        <s v="P000955"/>
        <s v="P000960"/>
        <s v="P000565"/>
        <s v="P000154"/>
        <s v="P000368"/>
        <s v="P000942"/>
        <s v="P000839"/>
        <s v="P000315"/>
        <s v="P000443"/>
        <s v="P000042"/>
        <s v="P000023"/>
        <s v="P000217"/>
        <s v="P000847"/>
        <s v="P000012"/>
        <s v="P000435"/>
        <s v="P001085"/>
        <s v="P001080"/>
        <s v="P001075"/>
        <s v="P000764"/>
        <s v="P000747"/>
        <s v="P000055"/>
        <s v="P000733"/>
        <s v="P001047"/>
        <s v="P000502"/>
        <s v="P001060"/>
        <s v="P001042"/>
        <s v="P001041"/>
        <s v="P000713"/>
        <s v="P000228"/>
        <s v="P000508"/>
        <s v="P000519"/>
        <s v="P000239"/>
        <s v="P000686"/>
        <s v="P000376"/>
        <s v="P000383"/>
        <s v="P000249"/>
        <s v="P000257"/>
        <s v="P000771"/>
        <s v="P001025"/>
        <s v="P000474"/>
        <s v="P000722"/>
        <s v="P000390"/>
        <s v="P000110"/>
        <s v="P000130"/>
        <s v="P000136"/>
        <s v="P000708"/>
        <s v="P000793"/>
        <s v="P000229"/>
        <s v="P000528"/>
        <s v="P000652"/>
        <s v="P000317"/>
        <s v="P000186"/>
        <s v="P000220"/>
        <s v="P000308"/>
        <s v="P000200"/>
        <s v="P000307"/>
        <s v="P000210"/>
        <s v="P000619"/>
        <s v="P000607"/>
        <s v="P000875"/>
        <s v="P000858"/>
        <s v="P000718"/>
        <s v="P000234"/>
        <s v="P000240"/>
        <s v="P000237"/>
        <s v="P001004"/>
        <s v="P000799"/>
        <s v="P000791"/>
        <s v="P000499"/>
        <s v="P000637"/>
        <s v="P001130"/>
        <s v="P000025"/>
        <s v="P000024"/>
        <s v="P000546"/>
        <s v="P000551"/>
        <s v="P000924"/>
        <s v="P000953"/>
        <s v="P001090"/>
        <s v="P000412"/>
        <s v="P001081"/>
        <s v="P001052"/>
        <s v="P000756"/>
        <s v="P000736"/>
        <s v="P000254"/>
        <s v="P000696"/>
        <s v="P000998"/>
        <s v="P000468"/>
        <s v="P000070"/>
        <s v="P000484"/>
        <s v="P001054"/>
        <s v="P000119"/>
        <s v="P000397"/>
        <s v="P000160"/>
        <s v="P000615"/>
        <s v="P000202"/>
        <s v="P000851"/>
        <s v="P001099"/>
        <s v="P001124"/>
        <s v="P001116"/>
        <s v="P000183"/>
        <s v="P000853"/>
        <s v="P000595"/>
        <s v="P000575"/>
        <s v="P001012"/>
        <s v="P000135"/>
        <s v="P000030"/>
        <s v="P000674"/>
        <s v="P000063"/>
        <s v="P000075"/>
        <s v="P000331"/>
        <s v="P000034"/>
        <s v="P000205"/>
        <s v="P000184"/>
        <s v="P000099"/>
        <s v="P000900"/>
        <s v="P000657"/>
        <s v="P000092"/>
        <s v="P000538"/>
        <s v="P000169"/>
      </sharedItems>
    </cacheField>
    <cacheField name="order_id" numFmtId="0">
      <sharedItems count="252">
        <s v="O00104"/>
        <s v="O00069"/>
        <s v="O00196"/>
        <s v="O00101"/>
        <s v="O00204"/>
        <s v="O00007"/>
        <s v="O00161"/>
        <s v="O00048"/>
        <s v="O00232"/>
        <s v="O00136"/>
        <s v="O00219"/>
        <s v="O00039"/>
        <s v="O00074"/>
        <s v="O00005"/>
        <s v="O00084"/>
        <s v="O00081"/>
        <s v="O00116"/>
        <s v="O00042"/>
        <s v="O00029"/>
        <s v="O00130"/>
        <s v="O00206"/>
        <s v="O00208"/>
        <s v="O00092"/>
        <s v="O00077"/>
        <s v="O00260"/>
        <s v="O00071"/>
        <s v="O00059"/>
        <s v="O00018"/>
        <s v="O00155"/>
        <s v="O00108"/>
        <s v="O00047"/>
        <s v="O00146"/>
        <s v="O00011"/>
        <s v="O00159"/>
        <s v="O00002"/>
        <s v="O00258"/>
        <s v="O00178"/>
        <s v="O00250"/>
        <s v="O00251"/>
        <s v="O00098"/>
        <s v="O00037"/>
        <s v="O00085"/>
        <s v="O00041"/>
        <s v="O00120"/>
        <s v="O00027"/>
        <s v="O00148"/>
        <s v="O00165"/>
        <s v="O00025"/>
        <s v="O00166"/>
        <s v="O00187"/>
        <s v="O00139"/>
        <s v="O00014"/>
        <s v="O00236"/>
        <s v="O00068"/>
        <s v="O00147"/>
        <s v="O00145"/>
        <s v="O00234"/>
        <s v="O00235"/>
        <s v="O00183"/>
        <s v="O00138"/>
        <s v="O00184"/>
        <s v="O00224"/>
        <s v="O00046"/>
        <s v="O00049"/>
        <s v="O00124"/>
        <s v="O00123"/>
        <s v="O00038"/>
        <s v="O00031"/>
        <s v="O00214"/>
        <s v="O00090"/>
        <s v="O00221"/>
        <s v="O00209"/>
        <s v="O00088"/>
        <s v="O00030"/>
        <s v="O00107"/>
        <s v="O00243"/>
        <s v="O00106"/>
        <s v="O00013"/>
        <s v="O00006"/>
        <s v="O00127"/>
        <s v="O00222"/>
        <s v="O00249"/>
        <s v="O00083"/>
        <s v="O00131"/>
        <s v="O00118"/>
        <s v="O00220"/>
        <s v="O00207"/>
        <s v="O00080"/>
        <s v="O00089"/>
        <s v="O00073"/>
        <s v="O00019"/>
        <s v="O00233"/>
        <s v="O00228"/>
        <s v="O00198"/>
        <s v="O00028"/>
        <s v="O00022"/>
        <s v="O00203"/>
        <s v="O00134"/>
        <s v="O00034"/>
        <s v="O00036"/>
        <s v="O00215"/>
        <s v="O00160"/>
        <s v="O00099"/>
        <s v="O00241"/>
        <s v="O00242"/>
        <s v="O00246"/>
        <s v="O00061"/>
        <s v="O00086"/>
        <s v="O00057"/>
        <s v="O00115"/>
        <s v="O00109"/>
        <s v="O00163"/>
        <s v="O00181"/>
        <s v="O00182"/>
        <s v="O00190"/>
        <s v="O00063"/>
        <s v="O00172"/>
        <s v="O00173"/>
        <s v="O00070"/>
        <s v="O00186"/>
        <s v="O00185"/>
        <s v="O00162"/>
        <s v="O00212"/>
        <s v="O00210"/>
        <s v="O00033"/>
        <s v="O00213"/>
        <s v="O00103"/>
        <s v="O00095"/>
        <s v="O00256"/>
        <s v="O00252"/>
        <s v="O00245"/>
        <s v="O00125"/>
        <s v="O00079"/>
        <s v="O00201"/>
        <s v="O00180"/>
        <s v="O00200"/>
        <s v="O00188"/>
        <s v="O00137"/>
        <s v="O00191"/>
        <s v="O00192"/>
        <s v="O00045"/>
        <s v="O00199"/>
        <s v="O00119"/>
        <s v="O00149"/>
        <s v="O00110"/>
        <s v="O00117"/>
        <s v="O00015"/>
        <s v="O00167"/>
        <s v="O00016"/>
        <s v="O00239"/>
        <s v="O00066"/>
        <s v="O00067"/>
        <s v="O00153"/>
        <s v="O00171"/>
        <s v="O00094"/>
        <s v="O00096"/>
        <s v="O00097"/>
        <s v="O00248"/>
        <s v="O00154"/>
        <s v="O00179"/>
        <s v="O00164"/>
        <s v="O00177"/>
        <s v="O00152"/>
        <s v="O00075"/>
        <s v="O00197"/>
        <s v="O00142"/>
        <s v="O00082"/>
        <s v="O00044"/>
        <s v="O00133"/>
        <s v="O00040"/>
        <s v="O00129"/>
        <s v="O00218"/>
        <s v="O00032"/>
        <s v="O00225"/>
        <s v="O00226"/>
        <s v="O00227"/>
        <s v="O00237"/>
        <s v="O00231"/>
        <s v="O00017"/>
        <s v="O00100"/>
        <s v="O00238"/>
        <s v="O00240"/>
        <s v="O00012"/>
        <s v="O00001"/>
        <s v="O00175"/>
        <s v="O00259"/>
        <s v="O00170"/>
        <s v="O00054"/>
        <s v="O00112"/>
        <s v="O00111"/>
        <s v="O00056"/>
        <s v="O00055"/>
        <s v="O00065"/>
        <s v="O00064"/>
        <s v="O00194"/>
        <s v="O00193"/>
        <s v="O00157"/>
        <s v="O00122"/>
        <s v="O00230"/>
        <s v="O00052"/>
        <s v="O00072"/>
        <s v="O00202"/>
        <s v="O00150"/>
        <s v="O00076"/>
        <s v="O00141"/>
        <s v="O00140"/>
        <s v="O00126"/>
        <s v="O00078"/>
        <s v="O00132"/>
        <s v="O00247"/>
        <s v="O00244"/>
        <s v="O00058"/>
        <s v="O00102"/>
        <s v="O00105"/>
        <s v="O00135"/>
        <s v="O00043"/>
        <s v="O00143"/>
        <s v="O00087"/>
        <s v="O00223"/>
        <s v="O00053"/>
        <s v="O00229"/>
        <s v="O00156"/>
        <s v="O00189"/>
        <s v="O00021"/>
        <s v="O00024"/>
        <s v="O00091"/>
        <s v="O00113"/>
        <s v="O00060"/>
        <s v="O00168"/>
        <s v="O00009"/>
        <s v="O00253"/>
        <s v="O00254"/>
        <s v="O00174"/>
        <s v="O00062"/>
        <s v="O00004"/>
        <s v="O00093"/>
        <s v="O00114"/>
        <s v="O00023"/>
        <s v="O00026"/>
        <s v="O00151"/>
        <s v="O00257"/>
        <s v="O00255"/>
        <s v="O00010"/>
        <s v="O00205"/>
        <s v="O00035"/>
        <s v="O00216"/>
        <s v="O00158"/>
        <s v="O00169"/>
        <s v="O00020"/>
        <s v="O00050"/>
        <s v="O00144"/>
        <s v="O00128"/>
      </sharedItems>
    </cacheField>
    <cacheField name="picker_id" numFmtId="0">
      <sharedItems count="32">
        <s v="W012"/>
        <s v="W008"/>
        <s v="W032"/>
        <s v="W006"/>
        <s v="W015"/>
        <s v="W023"/>
        <s v="W021"/>
        <s v="W027"/>
        <s v="W004"/>
        <s v="W005"/>
        <s v="W002"/>
        <s v="W019"/>
        <s v="W022"/>
        <s v="W001"/>
        <s v="W030"/>
        <s v="W014"/>
        <s v="W003"/>
        <s v="W007"/>
        <s v="W020"/>
        <s v="W031"/>
        <s v="W026"/>
        <s v="W016"/>
        <s v="W018"/>
        <s v="W013"/>
        <s v="W010"/>
        <s v="W028"/>
        <s v="W011"/>
        <s v="W029"/>
        <s v="W017"/>
        <s v="W025"/>
        <s v="W024"/>
        <s v="W009"/>
      </sharedItems>
    </cacheField>
    <cacheField name="zone_id" numFmtId="0">
      <sharedItems/>
    </cacheField>
    <cacheField name="item_id" numFmtId="0">
      <sharedItems/>
    </cacheField>
    <cacheField name="start_time" numFmtId="165">
      <sharedItems containsSemiMixedTypes="0" containsNonDate="0" containsDate="1" containsString="0" minDate="2026-09-01T11:38:00" maxDate="2026-09-29T07:54:00"/>
    </cacheField>
    <cacheField name="finish_time" numFmtId="165">
      <sharedItems containsSemiMixedTypes="0" containsNonDate="0" containsDate="1" containsString="0" minDate="2026-09-01T11:43:00" maxDate="2026-09-29T07:58:00"/>
    </cacheField>
    <cacheField name="quantity" numFmtId="0">
      <sharedItems containsSemiMixedTypes="0" containsString="0" containsNumber="1" containsInteger="1" minValue="1" maxValue="7"/>
    </cacheField>
    <cacheField name="pick_time_min" numFmtId="0">
      <sharedItems containsSemiMixedTypes="0" containsString="0" containsNumber="1" containsInteger="1" minValue="0" maxValue="18"/>
    </cacheField>
    <cacheField name="missing_timestamp" numFmtId="0">
      <sharedItems/>
    </cacheField>
    <cacheField name="negative_duration" numFmtId="0">
      <sharedItems/>
    </cacheField>
    <cacheField name="invalid_quantity" numFmtId="0">
      <sharedItems/>
    </cacheField>
    <cacheField name="item_count" numFmtId="0">
      <sharedItems containsString="0" containsBlank="1" containsNumber="1" containsInteger="1" minValue="1" maxValue="20"/>
    </cacheField>
    <cacheField name="priority" numFmtId="0">
      <sharedItems/>
    </cacheField>
    <cacheField name="order_timestamp" numFmtId="0">
      <sharedItems containsNonDate="0" containsDate="1" containsString="0" containsBlank="1" minDate="2026-09-01T10:12:00" maxDate="2026-09-29T05:12:00"/>
    </cacheField>
    <cacheField name="item_count_missing" numFmtId="0">
      <sharedItems/>
    </cacheField>
    <cacheField name="category" numFmtId="0">
      <sharedItems/>
    </cacheField>
    <cacheField name="size" numFmtId="0">
      <sharedItems count="4">
        <s v="Small"/>
        <s v="Medium"/>
        <s v="Large"/>
        <s v="Unknown"/>
      </sharedItems>
    </cacheField>
    <cacheField name="storage_class" numFmtId="0">
      <sharedItems/>
    </cacheField>
    <cacheField name="shift" numFmtId="0">
      <sharedItems/>
    </cacheField>
    <cacheField name="experience_band" numFmtId="0">
      <sharedItems/>
    </cacheField>
    <cacheField name="zone_type" numFmtId="0">
      <sharedItems/>
    </cacheField>
    <cacheField name="distance_band" numFmtId="0">
      <sharedItems/>
    </cacheField>
    <cacheField name="order_hour" numFmtId="0">
      <sharedItems containsString="0" containsBlank="1" containsNumber="1" containsInteger="1" minValue="0" maxValue="23"/>
    </cacheField>
    <cacheField name="order_day" numFmtId="0">
      <sharedItems containsBlank="1"/>
    </cacheField>
    <cacheField name="order_size_group" numFmtId="0">
      <sharedItems containsBlank="1"/>
    </cacheField>
    <cacheField name="pick_time_per_unit" numFmtId="0">
      <sharedItems containsSemiMixedTypes="0" containsString="0" containsNumber="1" minValue="0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13">
  <r>
    <x v="0"/>
    <x v="0"/>
    <x v="0"/>
    <s v="G"/>
    <s v="I0075"/>
    <d v="2026-09-29T05:15:00"/>
    <d v="2026-09-29T05:33:00"/>
    <n v="3"/>
    <n v="18"/>
    <b v="0"/>
    <b v="0"/>
    <b v="0"/>
    <n v="15"/>
    <s v="Normal"/>
    <d v="2026-09-29T05:12:00"/>
    <b v="0"/>
    <s v="Fragile Goods"/>
    <x v="0"/>
    <s v="Standard"/>
    <s v="Night"/>
    <s v="Beginner"/>
    <s v="Cold Storage"/>
    <s v="Far"/>
    <n v="5"/>
    <s v="Tuesday"/>
    <s v="Large (11-20)"/>
    <n v="6"/>
  </r>
  <r>
    <x v="1"/>
    <x v="1"/>
    <x v="1"/>
    <s v="G"/>
    <s v="I0011"/>
    <d v="2026-09-20T18:35:00"/>
    <d v="2026-09-20T18:52:00"/>
    <n v="5"/>
    <n v="17"/>
    <b v="0"/>
    <b v="0"/>
    <b v="0"/>
    <n v="6"/>
    <s v="High"/>
    <d v="2026-09-20T18:02:00"/>
    <b v="0"/>
    <s v="Fragile Goods"/>
    <x v="1"/>
    <s v="Climate-Controlled"/>
    <s v="Night"/>
    <s v="Beginner"/>
    <s v="Cold Storage"/>
    <s v="Far"/>
    <n v="18"/>
    <s v="Sunday"/>
    <s v="Medium (6-10)"/>
    <n v="3.4"/>
  </r>
  <r>
    <x v="2"/>
    <x v="2"/>
    <x v="2"/>
    <s v="B"/>
    <s v="I0045"/>
    <d v="2026-09-04T16:43:00"/>
    <d v="2026-09-04T17:00:00"/>
    <n v="6"/>
    <n v="17"/>
    <b v="0"/>
    <b v="0"/>
    <b v="0"/>
    <n v="15"/>
    <s v="Normal"/>
    <d v="2026-09-04T15:51:00"/>
    <b v="0"/>
    <s v="Apparel"/>
    <x v="2"/>
    <s v="Climate-Controlled"/>
    <s v="Evening"/>
    <s v="Beginner"/>
    <s v="Bulk Storage"/>
    <s v="Far"/>
    <n v="15"/>
    <s v="Friday"/>
    <s v="Large (11-20)"/>
    <n v="2.833333333333333"/>
  </r>
  <r>
    <x v="3"/>
    <x v="3"/>
    <x v="3"/>
    <s v="G"/>
    <s v="I0036"/>
    <d v="2026-09-24T05:33:00"/>
    <d v="2026-09-24T05:49:00"/>
    <n v="6"/>
    <n v="16"/>
    <b v="0"/>
    <b v="0"/>
    <b v="0"/>
    <n v="3"/>
    <s v="High"/>
    <d v="2026-09-24T04:06:00"/>
    <b v="0"/>
    <s v="Apparel"/>
    <x v="0"/>
    <s v="Unknown"/>
    <s v="Night"/>
    <s v="Beginner"/>
    <s v="Cold Storage"/>
    <s v="Far"/>
    <n v="4"/>
    <s v="Thursday"/>
    <s v="Small (1-5)"/>
    <n v="2.666666666666667"/>
  </r>
  <r>
    <x v="4"/>
    <x v="4"/>
    <x v="2"/>
    <s v="D"/>
    <s v="I0049"/>
    <d v="2026-09-10T02:08:00"/>
    <d v="2026-09-10T02:24:00"/>
    <n v="1"/>
    <n v="16"/>
    <b v="0"/>
    <b v="0"/>
    <b v="0"/>
    <n v="10"/>
    <s v="Normal"/>
    <d v="2026-09-10T01:19:00"/>
    <b v="0"/>
    <s v="Small Parts"/>
    <x v="1"/>
    <s v="Standard"/>
    <s v="Evening"/>
    <s v="Beginner"/>
    <s v="Fragile"/>
    <s v="Unknown"/>
    <n v="1"/>
    <s v="Thursday"/>
    <s v="Medium (6-10)"/>
    <n v="16"/>
  </r>
  <r>
    <x v="5"/>
    <x v="5"/>
    <x v="3"/>
    <s v="G"/>
    <s v="I0059"/>
    <d v="2026-09-15T08:17:00"/>
    <d v="2026-09-15T08:33:00"/>
    <n v="5"/>
    <n v="16"/>
    <b v="0"/>
    <b v="0"/>
    <b v="0"/>
    <n v="10"/>
    <s v="Urgent"/>
    <d v="2026-09-15T05:21:00"/>
    <b v="0"/>
    <s v="Electronics"/>
    <x v="1"/>
    <s v="Bulk"/>
    <s v="Night"/>
    <s v="Beginner"/>
    <s v="Cold Storage"/>
    <s v="Far"/>
    <n v="5"/>
    <s v="Tuesday"/>
    <s v="Medium (6-10)"/>
    <n v="3.2"/>
  </r>
  <r>
    <x v="6"/>
    <x v="6"/>
    <x v="4"/>
    <s v="G"/>
    <s v="I0005"/>
    <d v="2026-09-17T21:13:00"/>
    <d v="2026-09-17T21:28:00"/>
    <n v="7"/>
    <n v="15"/>
    <b v="0"/>
    <b v="0"/>
    <b v="0"/>
    <n v="5"/>
    <s v="Normal"/>
    <d v="2026-09-17T20:54:00"/>
    <b v="0"/>
    <s v="Apparel"/>
    <x v="0"/>
    <s v="Climate-Controlled"/>
    <s v="Night"/>
    <s v="Unknown"/>
    <s v="Cold Storage"/>
    <s v="Far"/>
    <n v="20"/>
    <s v="Thursday"/>
    <s v="Small (1-5)"/>
    <n v="2.142857142857143"/>
  </r>
  <r>
    <x v="7"/>
    <x v="7"/>
    <x v="5"/>
    <s v="D"/>
    <s v="I0011"/>
    <d v="2026-09-09T14:13:00"/>
    <d v="2026-09-09T14:28:00"/>
    <n v="5"/>
    <n v="15"/>
    <b v="0"/>
    <b v="0"/>
    <b v="0"/>
    <n v="10"/>
    <s v="Urgent"/>
    <d v="2026-09-09T12:46:00"/>
    <b v="0"/>
    <s v="Fragile Goods"/>
    <x v="1"/>
    <s v="Climate-Controlled"/>
    <s v="Unknown"/>
    <s v="Beginner"/>
    <s v="Fragile"/>
    <s v="Unknown"/>
    <n v="12"/>
    <s v="Wednesday"/>
    <s v="Medium (6-10)"/>
    <n v="3"/>
  </r>
  <r>
    <x v="8"/>
    <x v="8"/>
    <x v="1"/>
    <s v="B"/>
    <s v="I0055"/>
    <d v="2026-09-03T00:12:00"/>
    <d v="2026-09-03T00:27:00"/>
    <n v="6"/>
    <n v="15"/>
    <b v="0"/>
    <b v="0"/>
    <b v="0"/>
    <n v="15"/>
    <s v="High"/>
    <d v="2026-09-02T21:30:00"/>
    <b v="0"/>
    <s v="Fragile Goods"/>
    <x v="1"/>
    <s v="Climate-Controlled"/>
    <s v="Night"/>
    <s v="Beginner"/>
    <s v="Bulk Storage"/>
    <s v="Far"/>
    <n v="21"/>
    <s v="Wednesday"/>
    <s v="Large (11-20)"/>
    <n v="2.5"/>
  </r>
  <r>
    <x v="9"/>
    <x v="9"/>
    <x v="3"/>
    <s v="G"/>
    <s v="I0039"/>
    <d v="2026-09-01T14:33:00"/>
    <d v="2026-09-01T14:48:00"/>
    <n v="2"/>
    <n v="15"/>
    <b v="0"/>
    <b v="0"/>
    <b v="0"/>
    <n v="12"/>
    <s v="High"/>
    <d v="2026-09-01T13:09:00"/>
    <b v="0"/>
    <s v="Apparel"/>
    <x v="0"/>
    <s v="Fragile"/>
    <s v="Night"/>
    <s v="Beginner"/>
    <s v="Cold Storage"/>
    <s v="Far"/>
    <n v="13"/>
    <s v="Tuesday"/>
    <s v="Large (11-20)"/>
    <n v="7.5"/>
  </r>
  <r>
    <x v="10"/>
    <x v="10"/>
    <x v="1"/>
    <s v="D"/>
    <s v="I0050"/>
    <d v="2026-09-08T12:52:00"/>
    <d v="2026-09-08T13:07:00"/>
    <n v="7"/>
    <n v="15"/>
    <b v="0"/>
    <b v="0"/>
    <b v="0"/>
    <n v="10"/>
    <s v="Low"/>
    <d v="2026-09-08T11:10:00"/>
    <b v="0"/>
    <s v="Home Goods"/>
    <x v="1"/>
    <s v="Bulk"/>
    <s v="Night"/>
    <s v="Beginner"/>
    <s v="Fragile"/>
    <s v="Unknown"/>
    <n v="11"/>
    <s v="Tuesday"/>
    <s v="Medium (6-10)"/>
    <n v="2.142857142857143"/>
  </r>
  <r>
    <x v="11"/>
    <x v="11"/>
    <x v="6"/>
    <s v="G"/>
    <s v="I0010"/>
    <d v="2026-09-12T01:05:00"/>
    <d v="2026-09-12T01:20:00"/>
    <n v="7"/>
    <n v="15"/>
    <b v="0"/>
    <b v="0"/>
    <b v="0"/>
    <n v="20"/>
    <s v="Normal"/>
    <d v="2026-09-12T00:55:00"/>
    <b v="0"/>
    <s v="Fragile Goods"/>
    <x v="1"/>
    <s v="Standard"/>
    <s v="Night"/>
    <s v="Intermediate"/>
    <s v="Cold Storage"/>
    <s v="Far"/>
    <n v="0"/>
    <s v="Saturday"/>
    <s v="Large (11-20)"/>
    <n v="2.142857142857143"/>
  </r>
  <r>
    <x v="12"/>
    <x v="12"/>
    <x v="0"/>
    <s v="D"/>
    <s v="I0063"/>
    <d v="2026-09-23T01:02:00"/>
    <d v="2026-09-23T01:17:00"/>
    <n v="7"/>
    <n v="15"/>
    <b v="0"/>
    <b v="0"/>
    <b v="0"/>
    <n v="4"/>
    <s v="Normal"/>
    <d v="2026-09-23T00:48:00"/>
    <b v="0"/>
    <s v="Home Goods"/>
    <x v="2"/>
    <s v="Fragile"/>
    <s v="Night"/>
    <s v="Beginner"/>
    <s v="Fragile"/>
    <s v="Unknown"/>
    <n v="0"/>
    <s v="Wednesday"/>
    <s v="Small (1-5)"/>
    <n v="2.142857142857143"/>
  </r>
  <r>
    <x v="13"/>
    <x v="13"/>
    <x v="2"/>
    <s v="B"/>
    <s v="I0036"/>
    <d v="2026-09-10T07:56:00"/>
    <d v="2026-09-10T08:11:00"/>
    <n v="6"/>
    <n v="15"/>
    <b v="0"/>
    <b v="0"/>
    <b v="0"/>
    <n v="4"/>
    <s v="Normal"/>
    <d v="2026-09-10T05:21:00"/>
    <b v="0"/>
    <s v="Apparel"/>
    <x v="0"/>
    <s v="Unknown"/>
    <s v="Evening"/>
    <s v="Beginner"/>
    <s v="Bulk Storage"/>
    <s v="Far"/>
    <n v="5"/>
    <s v="Thursday"/>
    <s v="Small (1-5)"/>
    <n v="2.5"/>
  </r>
  <r>
    <x v="14"/>
    <x v="14"/>
    <x v="7"/>
    <s v="G"/>
    <s v="I0066"/>
    <d v="2026-09-25T09:41:00"/>
    <d v="2026-09-25T09:56:00"/>
    <n v="5"/>
    <n v="15"/>
    <b v="0"/>
    <b v="0"/>
    <b v="0"/>
    <n v="20"/>
    <s v="Low"/>
    <d v="2026-09-25T09:29:00"/>
    <b v="0"/>
    <s v="Bulk Materials"/>
    <x v="2"/>
    <s v="Bulk"/>
    <s v="Morning"/>
    <s v="Beginner"/>
    <s v="Cold Storage"/>
    <s v="Far"/>
    <n v="9"/>
    <s v="Friday"/>
    <s v="Large (11-20)"/>
    <n v="3"/>
  </r>
  <r>
    <x v="15"/>
    <x v="15"/>
    <x v="8"/>
    <s v="G"/>
    <s v="I0028"/>
    <d v="2026-09-18T20:08:00"/>
    <d v="2026-09-18T20:23:00"/>
    <n v="6"/>
    <n v="15"/>
    <b v="0"/>
    <b v="0"/>
    <b v="0"/>
    <n v="20"/>
    <s v="Low"/>
    <d v="2026-09-18T17:39:00"/>
    <b v="0"/>
    <s v="Fragile Goods"/>
    <x v="1"/>
    <s v="Standard"/>
    <s v="Evening"/>
    <s v="Unknown"/>
    <s v="Cold Storage"/>
    <s v="Far"/>
    <n v="17"/>
    <s v="Friday"/>
    <s v="Large (11-20)"/>
    <n v="2.5"/>
  </r>
  <r>
    <x v="16"/>
    <x v="16"/>
    <x v="9"/>
    <s v="G"/>
    <s v="I0037"/>
    <d v="2026-09-28T13:02:00"/>
    <d v="2026-09-28T13:16:00"/>
    <n v="6"/>
    <n v="14"/>
    <b v="0"/>
    <b v="0"/>
    <b v="0"/>
    <n v="4"/>
    <s v="Urgent"/>
    <d v="2026-09-28T10:39:00"/>
    <b v="0"/>
    <s v="Electronics"/>
    <x v="1"/>
    <s v="Climate-Controlled"/>
    <s v="Unknown"/>
    <s v="Intermediate"/>
    <s v="Cold Storage"/>
    <s v="Far"/>
    <n v="10"/>
    <s v="Monday"/>
    <s v="Small (1-5)"/>
    <n v="2.333333333333333"/>
  </r>
  <r>
    <x v="17"/>
    <x v="17"/>
    <x v="0"/>
    <s v="G"/>
    <s v="I0068"/>
    <d v="2026-09-09T15:47:00"/>
    <d v="2026-09-09T16:01:00"/>
    <n v="1"/>
    <n v="14"/>
    <b v="0"/>
    <b v="0"/>
    <b v="0"/>
    <n v="10"/>
    <s v="Normal"/>
    <d v="2026-09-09T15:39:00"/>
    <b v="0"/>
    <s v="Electronics"/>
    <x v="1"/>
    <s v="Climate-Controlled"/>
    <s v="Night"/>
    <s v="Beginner"/>
    <s v="Cold Storage"/>
    <s v="Far"/>
    <n v="15"/>
    <s v="Wednesday"/>
    <s v="Medium (6-10)"/>
    <n v="14"/>
  </r>
  <r>
    <x v="18"/>
    <x v="18"/>
    <x v="4"/>
    <s v="G"/>
    <s v="I0056"/>
    <d v="2026-09-08T03:30:00"/>
    <d v="2026-09-08T03:44:00"/>
    <n v="7"/>
    <n v="14"/>
    <b v="0"/>
    <b v="0"/>
    <b v="0"/>
    <n v="6"/>
    <s v="Normal"/>
    <d v="2026-09-08T03:19:00"/>
    <b v="0"/>
    <s v="Apparel"/>
    <x v="1"/>
    <s v="Fragile"/>
    <s v="Night"/>
    <s v="Unknown"/>
    <s v="Cold Storage"/>
    <s v="Far"/>
    <n v="3"/>
    <s v="Tuesday"/>
    <s v="Medium (6-10)"/>
    <n v="2"/>
  </r>
  <r>
    <x v="19"/>
    <x v="19"/>
    <x v="10"/>
    <s v="G"/>
    <s v="I0010"/>
    <d v="2026-09-19T02:06:00"/>
    <d v="2026-09-19T02:20:00"/>
    <n v="6"/>
    <n v="14"/>
    <b v="0"/>
    <b v="0"/>
    <b v="0"/>
    <n v="12"/>
    <s v="High"/>
    <d v="2026-09-19T01:42:00"/>
    <b v="0"/>
    <s v="Fragile Goods"/>
    <x v="1"/>
    <s v="Standard"/>
    <s v="Night"/>
    <s v="Unknown"/>
    <s v="Cold Storage"/>
    <s v="Far"/>
    <n v="1"/>
    <s v="Saturday"/>
    <s v="Large (11-20)"/>
    <n v="2.333333333333333"/>
  </r>
  <r>
    <x v="20"/>
    <x v="20"/>
    <x v="5"/>
    <s v="D"/>
    <s v="I0060"/>
    <d v="2026-09-02T10:34:00"/>
    <d v="2026-09-02T10:48:00"/>
    <n v="5"/>
    <n v="14"/>
    <b v="0"/>
    <b v="0"/>
    <b v="0"/>
    <n v="12"/>
    <s v="High"/>
    <d v="2026-09-02T09:01:00"/>
    <b v="0"/>
    <s v="Small Parts"/>
    <x v="2"/>
    <s v="Climate-Controlled"/>
    <s v="Unknown"/>
    <s v="Beginner"/>
    <s v="Fragile"/>
    <s v="Unknown"/>
    <n v="9"/>
    <s v="Wednesday"/>
    <s v="Large (11-20)"/>
    <n v="2.8"/>
  </r>
  <r>
    <x v="21"/>
    <x v="21"/>
    <x v="11"/>
    <s v="B"/>
    <s v="I0010"/>
    <d v="2026-09-18T11:26:00"/>
    <d v="2026-09-18T11:40:00"/>
    <n v="7"/>
    <n v="14"/>
    <b v="0"/>
    <b v="0"/>
    <b v="0"/>
    <n v="6"/>
    <s v="Urgent"/>
    <d v="2026-09-18T11:01:00"/>
    <b v="0"/>
    <s v="Fragile Goods"/>
    <x v="1"/>
    <s v="Standard"/>
    <s v="Night"/>
    <s v="Intermediate"/>
    <s v="Bulk Storage"/>
    <s v="Far"/>
    <n v="11"/>
    <s v="Friday"/>
    <s v="Medium (6-10)"/>
    <n v="2"/>
  </r>
  <r>
    <x v="22"/>
    <x v="22"/>
    <x v="7"/>
    <s v="G"/>
    <s v="I0010"/>
    <d v="2026-09-28T18:34:00"/>
    <d v="2026-09-28T18:48:00"/>
    <n v="7"/>
    <n v="14"/>
    <b v="0"/>
    <b v="0"/>
    <b v="0"/>
    <n v="3"/>
    <s v="Normal"/>
    <d v="2026-09-28T17:46:00"/>
    <b v="0"/>
    <s v="Fragile Goods"/>
    <x v="1"/>
    <s v="Standard"/>
    <s v="Morning"/>
    <s v="Beginner"/>
    <s v="Cold Storage"/>
    <s v="Far"/>
    <n v="17"/>
    <s v="Monday"/>
    <s v="Small (1-5)"/>
    <n v="2"/>
  </r>
  <r>
    <x v="23"/>
    <x v="23"/>
    <x v="12"/>
    <s v="G"/>
    <s v="I0021"/>
    <d v="2026-09-25T09:54:00"/>
    <d v="2026-09-25T10:08:00"/>
    <n v="4"/>
    <n v="14"/>
    <b v="0"/>
    <b v="0"/>
    <b v="0"/>
    <n v="20"/>
    <s v="High"/>
    <d v="2026-09-25T08:21:00"/>
    <b v="0"/>
    <s v="Apparel"/>
    <x v="0"/>
    <s v="Standard"/>
    <s v="Unknown"/>
    <s v="Intermediate"/>
    <s v="Cold Storage"/>
    <s v="Far"/>
    <n v="8"/>
    <s v="Friday"/>
    <s v="Large (11-20)"/>
    <n v="3.5"/>
  </r>
  <r>
    <x v="24"/>
    <x v="20"/>
    <x v="5"/>
    <s v="G"/>
    <s v="I0036"/>
    <d v="2026-09-02T10:22:00"/>
    <d v="2026-09-02T10:36:00"/>
    <n v="4"/>
    <n v="14"/>
    <b v="0"/>
    <b v="0"/>
    <b v="0"/>
    <n v="12"/>
    <s v="High"/>
    <d v="2026-09-02T09:01:00"/>
    <b v="0"/>
    <s v="Apparel"/>
    <x v="0"/>
    <s v="Unknown"/>
    <s v="Unknown"/>
    <s v="Beginner"/>
    <s v="Cold Storage"/>
    <s v="Far"/>
    <n v="9"/>
    <s v="Wednesday"/>
    <s v="Large (11-20)"/>
    <n v="3.5"/>
  </r>
  <r>
    <x v="25"/>
    <x v="24"/>
    <x v="5"/>
    <s v="B"/>
    <s v="I0058"/>
    <d v="2026-09-22T21:18:00"/>
    <d v="2026-09-22T21:32:00"/>
    <n v="5"/>
    <n v="14"/>
    <b v="0"/>
    <b v="0"/>
    <b v="0"/>
    <n v="20"/>
    <s v="High"/>
    <d v="2026-09-22T21:17:00"/>
    <b v="0"/>
    <s v="Home Goods"/>
    <x v="1"/>
    <s v="Unknown"/>
    <s v="Unknown"/>
    <s v="Beginner"/>
    <s v="Bulk Storage"/>
    <s v="Far"/>
    <n v="21"/>
    <s v="Tuesday"/>
    <s v="Large (11-20)"/>
    <n v="2.8"/>
  </r>
  <r>
    <x v="26"/>
    <x v="25"/>
    <x v="13"/>
    <s v="G"/>
    <s v="I0069"/>
    <d v="2026-09-24T05:38:00"/>
    <d v="2026-09-24T05:52:00"/>
    <n v="2"/>
    <n v="14"/>
    <b v="0"/>
    <b v="0"/>
    <b v="0"/>
    <n v="6"/>
    <s v="Low"/>
    <d v="2026-09-24T05:19:00"/>
    <b v="0"/>
    <s v="Electronics"/>
    <x v="2"/>
    <s v="Climate-Controlled"/>
    <s v="Night"/>
    <s v="Intermediate"/>
    <s v="Cold Storage"/>
    <s v="Far"/>
    <n v="5"/>
    <s v="Thursday"/>
    <s v="Medium (6-10)"/>
    <n v="7"/>
  </r>
  <r>
    <x v="27"/>
    <x v="26"/>
    <x v="7"/>
    <s v="D"/>
    <s v="I0010"/>
    <d v="2026-09-21T21:28:00"/>
    <d v="2026-09-21T21:41:00"/>
    <n v="5"/>
    <n v="13"/>
    <b v="0"/>
    <b v="0"/>
    <b v="0"/>
    <n v="10"/>
    <s v="High"/>
    <d v="2026-09-21T19:02:00"/>
    <b v="0"/>
    <s v="Fragile Goods"/>
    <x v="1"/>
    <s v="Standard"/>
    <s v="Morning"/>
    <s v="Beginner"/>
    <s v="Fragile"/>
    <s v="Unknown"/>
    <n v="19"/>
    <s v="Monday"/>
    <s v="Medium (6-10)"/>
    <n v="2.6"/>
  </r>
  <r>
    <x v="28"/>
    <x v="27"/>
    <x v="13"/>
    <s v="G"/>
    <s v="I0056"/>
    <d v="2026-09-28T05:00:00"/>
    <d v="2026-09-28T05:13:00"/>
    <n v="6"/>
    <n v="13"/>
    <b v="0"/>
    <b v="0"/>
    <b v="0"/>
    <n v="8"/>
    <s v="Normal"/>
    <d v="2026-09-28T03:05:00"/>
    <b v="0"/>
    <s v="Apparel"/>
    <x v="1"/>
    <s v="Fragile"/>
    <s v="Night"/>
    <s v="Intermediate"/>
    <s v="Cold Storage"/>
    <s v="Far"/>
    <n v="3"/>
    <s v="Monday"/>
    <s v="Medium (6-10)"/>
    <n v="2.166666666666667"/>
  </r>
  <r>
    <x v="29"/>
    <x v="28"/>
    <x v="8"/>
    <s v="B"/>
    <s v="I0062"/>
    <d v="2026-09-22T04:18:00"/>
    <d v="2026-09-22T04:31:00"/>
    <n v="7"/>
    <n v="13"/>
    <b v="0"/>
    <b v="0"/>
    <b v="0"/>
    <n v="12"/>
    <s v="Unknown"/>
    <d v="2026-09-22T01:56:00"/>
    <b v="0"/>
    <s v="Home Goods"/>
    <x v="1"/>
    <s v="Bulk"/>
    <s v="Evening"/>
    <s v="Unknown"/>
    <s v="Bulk Storage"/>
    <s v="Far"/>
    <n v="1"/>
    <s v="Tuesday"/>
    <s v="Large (11-20)"/>
    <n v="1.857142857142857"/>
  </r>
  <r>
    <x v="30"/>
    <x v="29"/>
    <x v="1"/>
    <s v="G"/>
    <s v="I0010"/>
    <d v="2026-09-04T11:55:00"/>
    <d v="2026-09-04T12:08:00"/>
    <n v="3"/>
    <n v="13"/>
    <b v="0"/>
    <b v="0"/>
    <b v="0"/>
    <n v="10"/>
    <s v="Urgent"/>
    <d v="2026-09-04T11:45:00"/>
    <b v="0"/>
    <s v="Fragile Goods"/>
    <x v="1"/>
    <s v="Standard"/>
    <s v="Night"/>
    <s v="Beginner"/>
    <s v="Cold Storage"/>
    <s v="Far"/>
    <n v="11"/>
    <s v="Friday"/>
    <s v="Medium (6-10)"/>
    <n v="4.333333333333333"/>
  </r>
  <r>
    <x v="31"/>
    <x v="30"/>
    <x v="5"/>
    <s v="G"/>
    <s v="I0017"/>
    <d v="2026-09-01T21:48:00"/>
    <d v="2026-09-01T22:01:00"/>
    <n v="5"/>
    <n v="13"/>
    <b v="0"/>
    <b v="0"/>
    <b v="0"/>
    <m/>
    <s v="High"/>
    <d v="2026-09-01T20:14:00"/>
    <b v="1"/>
    <s v="Bulk Materials"/>
    <x v="1"/>
    <s v="Bulk"/>
    <s v="Unknown"/>
    <s v="Beginner"/>
    <s v="Cold Storage"/>
    <s v="Far"/>
    <n v="20"/>
    <s v="Tuesday"/>
    <m/>
    <n v="2.6"/>
  </r>
  <r>
    <x v="32"/>
    <x v="31"/>
    <x v="12"/>
    <s v="D"/>
    <s v="I0078"/>
    <d v="2026-09-04T13:54:00"/>
    <d v="2026-09-04T14:07:00"/>
    <n v="5"/>
    <n v="13"/>
    <b v="0"/>
    <b v="0"/>
    <b v="0"/>
    <n v="12"/>
    <s v="Normal"/>
    <d v="2026-09-04T12:31:00"/>
    <b v="0"/>
    <s v="Apparel"/>
    <x v="1"/>
    <s v="Climate-Controlled"/>
    <s v="Unknown"/>
    <s v="Intermediate"/>
    <s v="Fragile"/>
    <s v="Unknown"/>
    <n v="12"/>
    <s v="Friday"/>
    <s v="Large (11-20)"/>
    <n v="2.6"/>
  </r>
  <r>
    <x v="33"/>
    <x v="26"/>
    <x v="2"/>
    <s v="G"/>
    <s v="I0033"/>
    <d v="2026-09-21T21:00:00"/>
    <d v="2026-09-21T21:13:00"/>
    <n v="2"/>
    <n v="13"/>
    <b v="0"/>
    <b v="0"/>
    <b v="0"/>
    <n v="10"/>
    <s v="High"/>
    <d v="2026-09-21T19:02:00"/>
    <b v="0"/>
    <s v="Small Parts"/>
    <x v="1"/>
    <s v="Bulk"/>
    <s v="Evening"/>
    <s v="Beginner"/>
    <s v="Cold Storage"/>
    <s v="Far"/>
    <n v="19"/>
    <s v="Monday"/>
    <s v="Medium (6-10)"/>
    <n v="6.5"/>
  </r>
  <r>
    <x v="34"/>
    <x v="32"/>
    <x v="1"/>
    <s v="B"/>
    <s v="I0027"/>
    <d v="2026-09-19T13:39:00"/>
    <d v="2026-09-19T13:52:00"/>
    <n v="5"/>
    <n v="13"/>
    <b v="0"/>
    <b v="0"/>
    <b v="0"/>
    <n v="15"/>
    <s v="Low"/>
    <d v="2026-09-19T12:37:00"/>
    <b v="0"/>
    <s v="Unknown"/>
    <x v="2"/>
    <s v="Bulk"/>
    <s v="Night"/>
    <s v="Beginner"/>
    <s v="Bulk Storage"/>
    <s v="Far"/>
    <n v="12"/>
    <s v="Saturday"/>
    <s v="Large (11-20)"/>
    <n v="2.6"/>
  </r>
  <r>
    <x v="35"/>
    <x v="1"/>
    <x v="14"/>
    <s v="D"/>
    <s v="I0065"/>
    <d v="2026-09-20T19:25:00"/>
    <d v="2026-09-20T19:38:00"/>
    <n v="4"/>
    <n v="13"/>
    <b v="0"/>
    <b v="0"/>
    <b v="0"/>
    <n v="6"/>
    <s v="High"/>
    <d v="2026-09-20T18:02:00"/>
    <b v="0"/>
    <s v="Small Parts"/>
    <x v="1"/>
    <s v="Fragile"/>
    <s v="Night"/>
    <s v="Unknown"/>
    <s v="Fragile"/>
    <s v="Unknown"/>
    <n v="18"/>
    <s v="Sunday"/>
    <s v="Medium (6-10)"/>
    <n v="3.25"/>
  </r>
  <r>
    <x v="36"/>
    <x v="33"/>
    <x v="15"/>
    <s v="D"/>
    <s v="I0037"/>
    <d v="2026-09-27T14:17:00"/>
    <d v="2026-09-27T14:30:00"/>
    <n v="6"/>
    <n v="13"/>
    <b v="0"/>
    <b v="0"/>
    <b v="0"/>
    <n v="10"/>
    <s v="High"/>
    <d v="2026-09-27T12:45:00"/>
    <b v="0"/>
    <s v="Electronics"/>
    <x v="1"/>
    <s v="Climate-Controlled"/>
    <s v="Morning"/>
    <s v="Unknown"/>
    <s v="Fragile"/>
    <s v="Unknown"/>
    <n v="12"/>
    <s v="Sunday"/>
    <s v="Medium (6-10)"/>
    <n v="2.166666666666667"/>
  </r>
  <r>
    <x v="37"/>
    <x v="34"/>
    <x v="2"/>
    <s v="B"/>
    <s v="I0019"/>
    <d v="2026-09-05T09:49:00"/>
    <d v="2026-09-05T10:02:00"/>
    <n v="4"/>
    <n v="13"/>
    <b v="0"/>
    <b v="0"/>
    <b v="0"/>
    <n v="5"/>
    <s v="Normal"/>
    <d v="2026-09-05T08:50:00"/>
    <b v="0"/>
    <s v="Fragile Goods"/>
    <x v="1"/>
    <s v="Bulk"/>
    <s v="Evening"/>
    <s v="Beginner"/>
    <s v="Bulk Storage"/>
    <s v="Far"/>
    <n v="8"/>
    <s v="Saturday"/>
    <s v="Small (1-5)"/>
    <n v="3.25"/>
  </r>
  <r>
    <x v="38"/>
    <x v="35"/>
    <x v="5"/>
    <s v="G"/>
    <s v="I0025"/>
    <d v="2026-09-06T03:06:00"/>
    <d v="2026-09-06T03:19:00"/>
    <n v="4"/>
    <n v="13"/>
    <b v="0"/>
    <b v="0"/>
    <b v="0"/>
    <n v="5"/>
    <s v="Low"/>
    <d v="2026-09-06T02:34:00"/>
    <b v="0"/>
    <s v="Home Goods"/>
    <x v="0"/>
    <s v="Fragile"/>
    <s v="Unknown"/>
    <s v="Beginner"/>
    <s v="Cold Storage"/>
    <s v="Far"/>
    <n v="2"/>
    <s v="Sunday"/>
    <s v="Small (1-5)"/>
    <n v="3.25"/>
  </r>
  <r>
    <x v="39"/>
    <x v="15"/>
    <x v="1"/>
    <s v="D"/>
    <s v="I0022"/>
    <d v="2026-09-18T18:02:00"/>
    <d v="2026-09-18T18:15:00"/>
    <n v="6"/>
    <n v="13"/>
    <b v="0"/>
    <b v="0"/>
    <b v="0"/>
    <n v="20"/>
    <s v="Low"/>
    <d v="2026-09-18T17:39:00"/>
    <b v="0"/>
    <s v="Unknown"/>
    <x v="0"/>
    <s v="Standard"/>
    <s v="Night"/>
    <s v="Beginner"/>
    <s v="Fragile"/>
    <s v="Unknown"/>
    <n v="17"/>
    <s v="Friday"/>
    <s v="Large (11-20)"/>
    <n v="2.166666666666667"/>
  </r>
  <r>
    <x v="40"/>
    <x v="36"/>
    <x v="0"/>
    <s v="B"/>
    <s v="I0029"/>
    <d v="2026-09-08T11:54:00"/>
    <d v="2026-09-08T12:07:00"/>
    <n v="4"/>
    <n v="13"/>
    <b v="0"/>
    <b v="0"/>
    <b v="0"/>
    <n v="8"/>
    <s v="Normal"/>
    <d v="2026-09-08T10:31:00"/>
    <b v="0"/>
    <s v="Small Parts"/>
    <x v="1"/>
    <s v="Standard"/>
    <s v="Night"/>
    <s v="Beginner"/>
    <s v="Bulk Storage"/>
    <s v="Far"/>
    <n v="10"/>
    <s v="Tuesday"/>
    <s v="Medium (6-10)"/>
    <n v="3.25"/>
  </r>
  <r>
    <x v="41"/>
    <x v="37"/>
    <x v="0"/>
    <s v="D"/>
    <s v="I0024"/>
    <d v="2026-09-09T02:10:00"/>
    <d v="2026-09-09T02:23:00"/>
    <n v="5"/>
    <n v="13"/>
    <b v="0"/>
    <b v="0"/>
    <b v="0"/>
    <n v="6"/>
    <s v="Low"/>
    <d v="2026-09-09T01:33:00"/>
    <b v="0"/>
    <s v="Fragile Goods"/>
    <x v="0"/>
    <s v="Fragile"/>
    <s v="Night"/>
    <s v="Beginner"/>
    <s v="Fragile"/>
    <s v="Unknown"/>
    <n v="1"/>
    <s v="Wednesday"/>
    <s v="Medium (6-10)"/>
    <n v="2.6"/>
  </r>
  <r>
    <x v="42"/>
    <x v="38"/>
    <x v="11"/>
    <s v="G"/>
    <s v="I0002"/>
    <d v="2026-09-09T19:03:00"/>
    <d v="2026-09-09T19:16:00"/>
    <n v="7"/>
    <n v="13"/>
    <b v="0"/>
    <b v="0"/>
    <b v="0"/>
    <n v="10"/>
    <s v="High"/>
    <d v="2026-09-09T16:40:00"/>
    <b v="0"/>
    <s v="Small Parts"/>
    <x v="0"/>
    <s v="Fragile"/>
    <s v="Night"/>
    <s v="Intermediate"/>
    <s v="Cold Storage"/>
    <s v="Far"/>
    <n v="16"/>
    <s v="Wednesday"/>
    <s v="Medium (6-10)"/>
    <n v="1.857142857142857"/>
  </r>
  <r>
    <x v="43"/>
    <x v="39"/>
    <x v="4"/>
    <s v="G"/>
    <s v="I0040"/>
    <d v="2026-09-12T03:06:00"/>
    <d v="2026-09-12T03:19:00"/>
    <n v="5"/>
    <n v="13"/>
    <b v="0"/>
    <b v="0"/>
    <b v="0"/>
    <n v="5"/>
    <s v="High"/>
    <d v="2026-09-12T02:33:00"/>
    <b v="0"/>
    <s v="Unknown"/>
    <x v="1"/>
    <s v="Standard"/>
    <s v="Night"/>
    <s v="Unknown"/>
    <s v="Cold Storage"/>
    <s v="Far"/>
    <n v="2"/>
    <s v="Saturday"/>
    <s v="Small (1-5)"/>
    <n v="2.6"/>
  </r>
  <r>
    <x v="44"/>
    <x v="5"/>
    <x v="5"/>
    <s v="D"/>
    <s v="I0052"/>
    <d v="2026-09-15T06:49:00"/>
    <d v="2026-09-15T07:02:00"/>
    <n v="3"/>
    <n v="13"/>
    <b v="0"/>
    <b v="0"/>
    <b v="0"/>
    <n v="10"/>
    <s v="Urgent"/>
    <d v="2026-09-15T05:21:00"/>
    <b v="0"/>
    <s v="Bulk Materials"/>
    <x v="3"/>
    <s v="Bulk"/>
    <s v="Unknown"/>
    <s v="Beginner"/>
    <s v="Fragile"/>
    <s v="Unknown"/>
    <n v="5"/>
    <s v="Tuesday"/>
    <s v="Medium (6-10)"/>
    <n v="4.333333333333333"/>
  </r>
  <r>
    <x v="45"/>
    <x v="40"/>
    <x v="16"/>
    <s v="G"/>
    <s v="I0073"/>
    <d v="2026-09-15T20:43:00"/>
    <d v="2026-09-15T20:56:00"/>
    <n v="7"/>
    <n v="13"/>
    <b v="0"/>
    <b v="0"/>
    <b v="0"/>
    <n v="8"/>
    <s v="Normal"/>
    <d v="2026-09-15T19:05:00"/>
    <b v="0"/>
    <s v="Unknown"/>
    <x v="0"/>
    <s v="Bulk"/>
    <s v="Night"/>
    <s v="Intermediate"/>
    <s v="Cold Storage"/>
    <s v="Far"/>
    <n v="19"/>
    <s v="Tuesday"/>
    <s v="Medium (6-10)"/>
    <n v="1.857142857142857"/>
  </r>
  <r>
    <x v="46"/>
    <x v="19"/>
    <x v="2"/>
    <s v="G"/>
    <s v="I0051"/>
    <d v="2026-09-19T04:25:00"/>
    <d v="2026-09-19T04:38:00"/>
    <n v="1"/>
    <n v="13"/>
    <b v="0"/>
    <b v="0"/>
    <b v="0"/>
    <n v="12"/>
    <s v="High"/>
    <d v="2026-09-19T01:42:00"/>
    <b v="0"/>
    <s v="Home Goods"/>
    <x v="1"/>
    <s v="Fragile"/>
    <s v="Evening"/>
    <s v="Beginner"/>
    <s v="Cold Storage"/>
    <s v="Far"/>
    <n v="1"/>
    <s v="Saturday"/>
    <s v="Large (11-20)"/>
    <n v="13"/>
  </r>
  <r>
    <x v="47"/>
    <x v="41"/>
    <x v="6"/>
    <s v="G"/>
    <s v="I0034"/>
    <d v="2026-09-05T19:26:00"/>
    <d v="2026-09-05T19:39:00"/>
    <n v="4"/>
    <n v="13"/>
    <b v="0"/>
    <b v="0"/>
    <b v="0"/>
    <n v="4"/>
    <s v="Normal"/>
    <d v="2026-09-05T18:39:00"/>
    <b v="0"/>
    <s v="Bulk Materials"/>
    <x v="0"/>
    <s v="Climate-Controlled"/>
    <s v="Night"/>
    <s v="Intermediate"/>
    <s v="Cold Storage"/>
    <s v="Far"/>
    <n v="18"/>
    <s v="Saturday"/>
    <s v="Small (1-5)"/>
    <n v="3.25"/>
  </r>
  <r>
    <x v="48"/>
    <x v="42"/>
    <x v="2"/>
    <s v="B"/>
    <s v="I0007"/>
    <d v="2026-09-16T22:48:00"/>
    <d v="2026-09-16T23:01:00"/>
    <n v="4"/>
    <n v="13"/>
    <b v="0"/>
    <b v="0"/>
    <b v="0"/>
    <n v="12"/>
    <s v="High"/>
    <m/>
    <b v="0"/>
    <s v="Small Parts"/>
    <x v="1"/>
    <s v="Fragile"/>
    <s v="Evening"/>
    <s v="Beginner"/>
    <s v="Bulk Storage"/>
    <s v="Far"/>
    <m/>
    <m/>
    <s v="Large (11-20)"/>
    <n v="3.25"/>
  </r>
  <r>
    <x v="49"/>
    <x v="18"/>
    <x v="17"/>
    <s v="G"/>
    <s v="I0068"/>
    <d v="2026-09-08T03:26:00"/>
    <d v="2026-09-08T03:39:00"/>
    <n v="4"/>
    <n v="13"/>
    <b v="0"/>
    <b v="0"/>
    <b v="0"/>
    <n v="6"/>
    <s v="Normal"/>
    <d v="2026-09-08T03:19:00"/>
    <b v="0"/>
    <s v="Electronics"/>
    <x v="1"/>
    <s v="Climate-Controlled"/>
    <s v="Night"/>
    <s v="Intermediate"/>
    <s v="Cold Storage"/>
    <s v="Far"/>
    <n v="3"/>
    <s v="Tuesday"/>
    <s v="Medium (6-10)"/>
    <n v="3.25"/>
  </r>
  <r>
    <x v="50"/>
    <x v="43"/>
    <x v="3"/>
    <s v="D"/>
    <s v="I0043"/>
    <d v="2026-09-08T09:25:00"/>
    <d v="2026-09-08T09:38:00"/>
    <n v="6"/>
    <n v="13"/>
    <b v="0"/>
    <b v="0"/>
    <b v="0"/>
    <n v="3"/>
    <s v="Normal"/>
    <d v="2026-09-08T07:31:00"/>
    <b v="0"/>
    <s v="Small Parts"/>
    <x v="0"/>
    <s v="Fragile"/>
    <s v="Night"/>
    <s v="Beginner"/>
    <s v="Fragile"/>
    <s v="Unknown"/>
    <n v="7"/>
    <s v="Tuesday"/>
    <s v="Small (1-5)"/>
    <n v="2.166666666666667"/>
  </r>
  <r>
    <x v="51"/>
    <x v="8"/>
    <x v="1"/>
    <s v="C"/>
    <s v="I0045"/>
    <d v="2026-09-02T22:12:00"/>
    <d v="2026-09-02T22:25:00"/>
    <n v="7"/>
    <n v="13"/>
    <b v="0"/>
    <b v="0"/>
    <b v="0"/>
    <n v="15"/>
    <s v="High"/>
    <d v="2026-09-02T21:30:00"/>
    <b v="0"/>
    <s v="Apparel"/>
    <x v="2"/>
    <s v="Climate-Controlled"/>
    <s v="Night"/>
    <s v="Beginner"/>
    <s v="Small Parts"/>
    <s v="Medium"/>
    <n v="21"/>
    <s v="Wednesday"/>
    <s v="Large (11-20)"/>
    <n v="1.857142857142857"/>
  </r>
  <r>
    <x v="52"/>
    <x v="44"/>
    <x v="0"/>
    <s v="G"/>
    <s v="I0047"/>
    <d v="2026-09-27T20:07:00"/>
    <d v="2026-09-27T20:20:00"/>
    <n v="6"/>
    <n v="13"/>
    <b v="0"/>
    <b v="0"/>
    <b v="0"/>
    <n v="12"/>
    <s v="High"/>
    <d v="2026-09-27T19:57:00"/>
    <b v="0"/>
    <s v="Electronics"/>
    <x v="0"/>
    <s v="Unknown"/>
    <s v="Night"/>
    <s v="Beginner"/>
    <s v="Cold Storage"/>
    <s v="Far"/>
    <n v="19"/>
    <s v="Sunday"/>
    <s v="Large (11-20)"/>
    <n v="2.166666666666667"/>
  </r>
  <r>
    <x v="53"/>
    <x v="45"/>
    <x v="18"/>
    <s v="G"/>
    <s v="I0033"/>
    <d v="2026-09-08T19:48:00"/>
    <d v="2026-09-08T20:01:00"/>
    <n v="6"/>
    <n v="13"/>
    <b v="0"/>
    <b v="0"/>
    <b v="0"/>
    <n v="5"/>
    <s v="Normal"/>
    <d v="2026-09-08T19:02:00"/>
    <b v="0"/>
    <s v="Small Parts"/>
    <x v="1"/>
    <s v="Bulk"/>
    <s v="Night"/>
    <s v="Intermediate"/>
    <s v="Cold Storage"/>
    <s v="Far"/>
    <n v="19"/>
    <s v="Tuesday"/>
    <s v="Small (1-5)"/>
    <n v="2.166666666666667"/>
  </r>
  <r>
    <x v="54"/>
    <x v="46"/>
    <x v="3"/>
    <s v="G"/>
    <s v="I0010"/>
    <d v="2026-09-08T01:04:00"/>
    <d v="2026-09-08T01:17:00"/>
    <n v="1"/>
    <n v="13"/>
    <b v="0"/>
    <b v="0"/>
    <b v="0"/>
    <n v="10"/>
    <s v="Low"/>
    <d v="2026-09-08T01:04:00"/>
    <b v="0"/>
    <s v="Fragile Goods"/>
    <x v="1"/>
    <s v="Standard"/>
    <s v="Night"/>
    <s v="Beginner"/>
    <s v="Cold Storage"/>
    <s v="Far"/>
    <n v="1"/>
    <s v="Tuesday"/>
    <s v="Medium (6-10)"/>
    <n v="13"/>
  </r>
  <r>
    <x v="55"/>
    <x v="47"/>
    <x v="16"/>
    <s v="D"/>
    <s v="I0001"/>
    <d v="2026-09-21T04:33:00"/>
    <d v="2026-09-21T04:45:00"/>
    <n v="6"/>
    <n v="12"/>
    <b v="0"/>
    <b v="0"/>
    <b v="0"/>
    <n v="20"/>
    <s v="Urgent"/>
    <d v="2026-09-21T03:14:00"/>
    <b v="0"/>
    <s v="Fragile Goods"/>
    <x v="0"/>
    <s v="Standard"/>
    <s v="Night"/>
    <s v="Intermediate"/>
    <s v="Fragile"/>
    <s v="Unknown"/>
    <n v="3"/>
    <s v="Monday"/>
    <s v="Large (11-20)"/>
    <n v="2"/>
  </r>
  <r>
    <x v="56"/>
    <x v="48"/>
    <x v="19"/>
    <s v="D"/>
    <s v="I0016"/>
    <d v="2026-09-20T13:07:00"/>
    <d v="2026-09-20T13:19:00"/>
    <n v="6"/>
    <n v="12"/>
    <b v="0"/>
    <b v="0"/>
    <b v="0"/>
    <n v="3"/>
    <s v="Low"/>
    <d v="2026-09-20T10:51:00"/>
    <b v="0"/>
    <s v="Unknown"/>
    <x v="0"/>
    <s v="Bulk"/>
    <s v="Unknown"/>
    <s v="Experienced"/>
    <s v="Fragile"/>
    <s v="Unknown"/>
    <n v="10"/>
    <s v="Sunday"/>
    <s v="Small (1-5)"/>
    <n v="2"/>
  </r>
  <r>
    <x v="57"/>
    <x v="49"/>
    <x v="8"/>
    <s v="G"/>
    <s v="I0023"/>
    <d v="2026-09-28T06:37:00"/>
    <d v="2026-09-28T06:49:00"/>
    <n v="7"/>
    <n v="12"/>
    <b v="0"/>
    <b v="0"/>
    <b v="0"/>
    <n v="3"/>
    <s v="Low"/>
    <d v="2026-09-28T03:54:00"/>
    <b v="0"/>
    <s v="Home Goods"/>
    <x v="1"/>
    <s v="Bulk"/>
    <s v="Evening"/>
    <s v="Unknown"/>
    <s v="Cold Storage"/>
    <s v="Far"/>
    <n v="3"/>
    <s v="Monday"/>
    <s v="Small (1-5)"/>
    <n v="1.714285714285714"/>
  </r>
  <r>
    <x v="58"/>
    <x v="50"/>
    <x v="20"/>
    <s v="G"/>
    <s v="I0043"/>
    <d v="2026-09-23T20:17:00"/>
    <d v="2026-09-23T20:29:00"/>
    <n v="5"/>
    <n v="12"/>
    <b v="0"/>
    <b v="0"/>
    <b v="0"/>
    <n v="10"/>
    <s v="Normal"/>
    <d v="2026-09-23T19:24:00"/>
    <b v="0"/>
    <s v="Small Parts"/>
    <x v="0"/>
    <s v="Fragile"/>
    <s v="Night"/>
    <s v="Unknown"/>
    <s v="Cold Storage"/>
    <s v="Far"/>
    <n v="19"/>
    <s v="Wednesday"/>
    <s v="Medium (6-10)"/>
    <n v="2.4"/>
  </r>
  <r>
    <x v="59"/>
    <x v="50"/>
    <x v="7"/>
    <s v="D"/>
    <s v="I0029"/>
    <d v="2026-09-23T19:24:00"/>
    <d v="2026-09-23T19:36:00"/>
    <n v="3"/>
    <n v="12"/>
    <b v="0"/>
    <b v="0"/>
    <b v="0"/>
    <n v="10"/>
    <s v="Normal"/>
    <d v="2026-09-23T19:24:00"/>
    <b v="0"/>
    <s v="Small Parts"/>
    <x v="1"/>
    <s v="Standard"/>
    <s v="Morning"/>
    <s v="Beginner"/>
    <s v="Fragile"/>
    <s v="Unknown"/>
    <n v="19"/>
    <s v="Wednesday"/>
    <s v="Medium (6-10)"/>
    <n v="4"/>
  </r>
  <r>
    <x v="60"/>
    <x v="51"/>
    <x v="6"/>
    <s v="B"/>
    <s v="I0069"/>
    <d v="2026-09-25T07:30:00"/>
    <d v="2026-09-25T07:42:00"/>
    <n v="7"/>
    <n v="12"/>
    <b v="0"/>
    <b v="0"/>
    <b v="0"/>
    <n v="4"/>
    <s v="High"/>
    <d v="2026-09-25T06:16:00"/>
    <b v="0"/>
    <s v="Electronics"/>
    <x v="2"/>
    <s v="Climate-Controlled"/>
    <s v="Night"/>
    <s v="Intermediate"/>
    <s v="Bulk Storage"/>
    <s v="Far"/>
    <n v="6"/>
    <s v="Friday"/>
    <s v="Small (1-5)"/>
    <n v="1.714285714285714"/>
  </r>
  <r>
    <x v="61"/>
    <x v="52"/>
    <x v="15"/>
    <s v="B"/>
    <s v="I0048"/>
    <d v="2026-09-17T06:54:00"/>
    <d v="2026-09-17T07:06:00"/>
    <n v="5"/>
    <n v="12"/>
    <b v="0"/>
    <b v="0"/>
    <b v="0"/>
    <n v="20"/>
    <s v="Low"/>
    <d v="2026-09-17T05:14:00"/>
    <b v="0"/>
    <s v="Electronics"/>
    <x v="2"/>
    <s v="Standard"/>
    <s v="Morning"/>
    <s v="Unknown"/>
    <s v="Bulk Storage"/>
    <s v="Far"/>
    <n v="5"/>
    <s v="Thursday"/>
    <s v="Large (11-20)"/>
    <n v="2.4"/>
  </r>
  <r>
    <x v="62"/>
    <x v="53"/>
    <x v="20"/>
    <s v="F"/>
    <s v="I0012"/>
    <d v="2026-09-08T01:58:00"/>
    <d v="2026-09-08T02:10:00"/>
    <n v="7"/>
    <n v="12"/>
    <b v="0"/>
    <b v="0"/>
    <b v="0"/>
    <n v="4"/>
    <s v="Normal"/>
    <d v="2026-09-08T00:42:00"/>
    <b v="0"/>
    <s v="Unknown"/>
    <x v="2"/>
    <s v="Bulk"/>
    <s v="Night"/>
    <s v="Unknown"/>
    <s v="Bulk Storage"/>
    <s v="Near"/>
    <n v="0"/>
    <s v="Tuesday"/>
    <s v="Small (1-5)"/>
    <n v="1.714285714285714"/>
  </r>
  <r>
    <x v="63"/>
    <x v="54"/>
    <x v="2"/>
    <s v="C"/>
    <s v="I0067"/>
    <d v="2026-09-12T15:18:00"/>
    <d v="2026-09-12T15:30:00"/>
    <n v="3"/>
    <n v="12"/>
    <b v="0"/>
    <b v="0"/>
    <b v="0"/>
    <m/>
    <s v="High"/>
    <d v="2026-09-12T13:21:00"/>
    <b v="1"/>
    <s v="Bulk Materials"/>
    <x v="0"/>
    <s v="Climate-Controlled"/>
    <s v="Evening"/>
    <s v="Beginner"/>
    <s v="Small Parts"/>
    <s v="Medium"/>
    <n v="13"/>
    <s v="Saturday"/>
    <m/>
    <n v="4"/>
  </r>
  <r>
    <x v="64"/>
    <x v="55"/>
    <x v="17"/>
    <s v="D"/>
    <s v="I0054"/>
    <d v="2026-09-17T15:14:00"/>
    <d v="2026-09-17T15:26:00"/>
    <n v="2"/>
    <n v="12"/>
    <b v="0"/>
    <b v="0"/>
    <b v="0"/>
    <n v="8"/>
    <s v="Normal"/>
    <d v="2026-09-17T12:30:00"/>
    <b v="0"/>
    <s v="Small Parts"/>
    <x v="0"/>
    <s v="Bulk"/>
    <s v="Night"/>
    <s v="Intermediate"/>
    <s v="Fragile"/>
    <s v="Unknown"/>
    <n v="12"/>
    <s v="Thursday"/>
    <s v="Medium (6-10)"/>
    <n v="6"/>
  </r>
  <r>
    <x v="65"/>
    <x v="56"/>
    <x v="11"/>
    <s v="D"/>
    <s v="I0056"/>
    <d v="2026-09-20T13:07:00"/>
    <d v="2026-09-20T13:19:00"/>
    <n v="3"/>
    <n v="12"/>
    <b v="0"/>
    <b v="0"/>
    <b v="0"/>
    <n v="8"/>
    <s v="Low"/>
    <d v="2026-09-20T11:15:00"/>
    <b v="0"/>
    <s v="Apparel"/>
    <x v="1"/>
    <s v="Fragile"/>
    <s v="Night"/>
    <s v="Intermediate"/>
    <s v="Fragile"/>
    <s v="Unknown"/>
    <n v="11"/>
    <s v="Sunday"/>
    <s v="Medium (6-10)"/>
    <n v="4"/>
  </r>
  <r>
    <x v="66"/>
    <x v="57"/>
    <x v="9"/>
    <s v="D"/>
    <s v="I0058"/>
    <d v="2026-09-04T07:06:00"/>
    <d v="2026-09-04T07:18:00"/>
    <n v="4"/>
    <n v="12"/>
    <b v="0"/>
    <b v="0"/>
    <b v="0"/>
    <n v="8"/>
    <s v="Normal"/>
    <d v="2026-09-04T04:38:00"/>
    <b v="0"/>
    <s v="Home Goods"/>
    <x v="1"/>
    <s v="Unknown"/>
    <s v="Unknown"/>
    <s v="Intermediate"/>
    <s v="Fragile"/>
    <s v="Unknown"/>
    <n v="4"/>
    <s v="Friday"/>
    <s v="Medium (6-10)"/>
    <n v="3"/>
  </r>
  <r>
    <x v="67"/>
    <x v="58"/>
    <x v="0"/>
    <s v="G"/>
    <s v="I0041"/>
    <d v="2026-09-07T13:14:00"/>
    <d v="2026-09-07T13:26:00"/>
    <n v="4"/>
    <n v="12"/>
    <b v="0"/>
    <b v="0"/>
    <b v="0"/>
    <n v="6"/>
    <s v="Urgent"/>
    <d v="2026-09-07T12:29:00"/>
    <b v="0"/>
    <s v="Bulk Materials"/>
    <x v="2"/>
    <s v="Bulk"/>
    <s v="Night"/>
    <s v="Beginner"/>
    <s v="Cold Storage"/>
    <s v="Far"/>
    <n v="12"/>
    <s v="Monday"/>
    <s v="Medium (6-10)"/>
    <n v="3"/>
  </r>
  <r>
    <x v="68"/>
    <x v="59"/>
    <x v="14"/>
    <s v="G"/>
    <s v="I0053"/>
    <d v="2026-09-22T12:50:00"/>
    <d v="2026-09-22T13:02:00"/>
    <n v="3"/>
    <n v="12"/>
    <b v="0"/>
    <b v="0"/>
    <b v="0"/>
    <n v="10"/>
    <s v="Normal"/>
    <d v="2026-09-22T11:34:00"/>
    <b v="0"/>
    <s v="Small Parts"/>
    <x v="3"/>
    <s v="Standard"/>
    <s v="Night"/>
    <s v="Unknown"/>
    <s v="Cold Storage"/>
    <s v="Far"/>
    <n v="11"/>
    <s v="Tuesday"/>
    <s v="Medium (6-10)"/>
    <n v="4"/>
  </r>
  <r>
    <x v="69"/>
    <x v="60"/>
    <x v="5"/>
    <s v="D"/>
    <s v="I0065"/>
    <d v="2026-09-05T01:22:00"/>
    <d v="2026-09-05T01:34:00"/>
    <n v="7"/>
    <n v="12"/>
    <b v="0"/>
    <b v="0"/>
    <b v="0"/>
    <n v="4"/>
    <s v="High"/>
    <d v="2026-09-04T23:38:00"/>
    <b v="0"/>
    <s v="Small Parts"/>
    <x v="1"/>
    <s v="Fragile"/>
    <s v="Unknown"/>
    <s v="Beginner"/>
    <s v="Fragile"/>
    <s v="Unknown"/>
    <n v="23"/>
    <s v="Friday"/>
    <s v="Small (1-5)"/>
    <n v="1.714285714285714"/>
  </r>
  <r>
    <x v="70"/>
    <x v="14"/>
    <x v="21"/>
    <s v="D"/>
    <s v="I0052"/>
    <d v="2026-09-25T12:02:00"/>
    <d v="2026-09-25T12:14:00"/>
    <n v="6"/>
    <n v="12"/>
    <b v="0"/>
    <b v="0"/>
    <b v="0"/>
    <n v="20"/>
    <s v="Low"/>
    <d v="2026-09-25T09:29:00"/>
    <b v="0"/>
    <s v="Bulk Materials"/>
    <x v="3"/>
    <s v="Bulk"/>
    <s v="Morning"/>
    <s v="Intermediate"/>
    <s v="Fragile"/>
    <s v="Unknown"/>
    <n v="9"/>
    <s v="Friday"/>
    <s v="Large (11-20)"/>
    <n v="2"/>
  </r>
  <r>
    <x v="71"/>
    <x v="61"/>
    <x v="6"/>
    <s v="G"/>
    <s v="I0016"/>
    <d v="2026-09-19T01:43:00"/>
    <d v="2026-09-19T01:55:00"/>
    <n v="5"/>
    <n v="12"/>
    <b v="0"/>
    <b v="0"/>
    <b v="0"/>
    <n v="8"/>
    <s v="Normal"/>
    <d v="2026-09-18T22:53:00"/>
    <b v="0"/>
    <s v="Unknown"/>
    <x v="0"/>
    <s v="Bulk"/>
    <s v="Night"/>
    <s v="Intermediate"/>
    <s v="Cold Storage"/>
    <s v="Far"/>
    <n v="22"/>
    <s v="Friday"/>
    <s v="Medium (6-10)"/>
    <n v="2.4"/>
  </r>
  <r>
    <x v="72"/>
    <x v="62"/>
    <x v="19"/>
    <s v="G"/>
    <s v="I0059"/>
    <d v="2026-09-05T02:30:00"/>
    <d v="2026-09-05T02:42:00"/>
    <n v="5"/>
    <n v="12"/>
    <b v="0"/>
    <b v="0"/>
    <b v="0"/>
    <n v="5"/>
    <s v="High"/>
    <m/>
    <b v="0"/>
    <s v="Electronics"/>
    <x v="1"/>
    <s v="Bulk"/>
    <s v="Unknown"/>
    <s v="Experienced"/>
    <s v="Cold Storage"/>
    <s v="Far"/>
    <m/>
    <m/>
    <s v="Small (1-5)"/>
    <n v="2.4"/>
  </r>
  <r>
    <x v="73"/>
    <x v="63"/>
    <x v="7"/>
    <s v="B"/>
    <s v="I0018"/>
    <d v="2026-09-13T15:45:00"/>
    <d v="2026-09-13T15:57:00"/>
    <n v="6"/>
    <n v="12"/>
    <b v="0"/>
    <b v="0"/>
    <b v="0"/>
    <n v="3"/>
    <s v="Normal"/>
    <d v="2026-09-13T14:13:00"/>
    <b v="0"/>
    <s v="Bulk Materials"/>
    <x v="0"/>
    <s v="Bulk"/>
    <s v="Morning"/>
    <s v="Beginner"/>
    <s v="Bulk Storage"/>
    <s v="Far"/>
    <n v="14"/>
    <s v="Sunday"/>
    <s v="Small (1-5)"/>
    <n v="2"/>
  </r>
  <r>
    <x v="74"/>
    <x v="2"/>
    <x v="15"/>
    <s v="D"/>
    <s v="I0055"/>
    <d v="2026-09-04T18:38:00"/>
    <d v="2026-09-04T18:50:00"/>
    <n v="7"/>
    <n v="12"/>
    <b v="0"/>
    <b v="0"/>
    <b v="0"/>
    <n v="15"/>
    <s v="Normal"/>
    <d v="2026-09-04T15:51:00"/>
    <b v="0"/>
    <s v="Fragile Goods"/>
    <x v="1"/>
    <s v="Climate-Controlled"/>
    <s v="Morning"/>
    <s v="Unknown"/>
    <s v="Fragile"/>
    <s v="Unknown"/>
    <n v="15"/>
    <s v="Friday"/>
    <s v="Large (11-20)"/>
    <n v="1.714285714285714"/>
  </r>
  <r>
    <x v="75"/>
    <x v="64"/>
    <x v="1"/>
    <s v="B"/>
    <s v="I0039"/>
    <d v="2026-09-19T15:47:00"/>
    <d v="2026-09-19T15:59:00"/>
    <n v="4"/>
    <n v="12"/>
    <b v="0"/>
    <b v="0"/>
    <b v="0"/>
    <n v="20"/>
    <s v="Low"/>
    <d v="2026-09-19T14:23:00"/>
    <b v="0"/>
    <s v="Apparel"/>
    <x v="0"/>
    <s v="Fragile"/>
    <s v="Night"/>
    <s v="Beginner"/>
    <s v="Bulk Storage"/>
    <s v="Far"/>
    <n v="14"/>
    <s v="Saturday"/>
    <s v="Large (11-20)"/>
    <n v="3"/>
  </r>
  <r>
    <x v="76"/>
    <x v="64"/>
    <x v="4"/>
    <s v="G"/>
    <s v="I0010"/>
    <d v="2026-09-19T14:44:00"/>
    <d v="2026-09-19T14:56:00"/>
    <n v="7"/>
    <n v="12"/>
    <b v="0"/>
    <b v="0"/>
    <b v="0"/>
    <n v="20"/>
    <s v="Low"/>
    <d v="2026-09-19T14:23:00"/>
    <b v="0"/>
    <s v="Fragile Goods"/>
    <x v="1"/>
    <s v="Standard"/>
    <s v="Night"/>
    <s v="Unknown"/>
    <s v="Cold Storage"/>
    <s v="Far"/>
    <n v="14"/>
    <s v="Saturday"/>
    <s v="Large (11-20)"/>
    <n v="1.714285714285714"/>
  </r>
  <r>
    <x v="77"/>
    <x v="55"/>
    <x v="22"/>
    <s v="G"/>
    <s v="I0020"/>
    <d v="2026-09-17T14:24:00"/>
    <d v="2026-09-17T14:36:00"/>
    <n v="3"/>
    <n v="12"/>
    <b v="0"/>
    <b v="0"/>
    <b v="0"/>
    <n v="8"/>
    <s v="Normal"/>
    <d v="2026-09-17T12:30:00"/>
    <b v="0"/>
    <s v="Apparel"/>
    <x v="0"/>
    <s v="Bulk"/>
    <s v="Unknown"/>
    <s v="Unknown"/>
    <s v="Cold Storage"/>
    <s v="Far"/>
    <n v="12"/>
    <s v="Thursday"/>
    <s v="Medium (6-10)"/>
    <n v="4"/>
  </r>
  <r>
    <x v="78"/>
    <x v="20"/>
    <x v="15"/>
    <s v="D"/>
    <s v="I0019"/>
    <d v="2026-09-02T09:33:00"/>
    <d v="2026-09-02T09:45:00"/>
    <n v="5"/>
    <n v="12"/>
    <b v="0"/>
    <b v="0"/>
    <b v="0"/>
    <n v="12"/>
    <s v="High"/>
    <d v="2026-09-02T09:01:00"/>
    <b v="0"/>
    <s v="Fragile Goods"/>
    <x v="1"/>
    <s v="Bulk"/>
    <s v="Morning"/>
    <s v="Unknown"/>
    <s v="Fragile"/>
    <s v="Unknown"/>
    <n v="9"/>
    <s v="Wednesday"/>
    <s v="Large (11-20)"/>
    <n v="2.4"/>
  </r>
  <r>
    <x v="79"/>
    <x v="65"/>
    <x v="3"/>
    <s v="D"/>
    <s v="I0024"/>
    <d v="2026-09-22T12:06:00"/>
    <d v="2026-09-22T12:18:00"/>
    <n v="2"/>
    <n v="12"/>
    <b v="0"/>
    <b v="0"/>
    <b v="0"/>
    <n v="20"/>
    <s v="Normal"/>
    <d v="2026-09-22T09:35:00"/>
    <b v="0"/>
    <s v="Fragile Goods"/>
    <x v="0"/>
    <s v="Fragile"/>
    <s v="Night"/>
    <s v="Beginner"/>
    <s v="Fragile"/>
    <s v="Unknown"/>
    <n v="9"/>
    <s v="Tuesday"/>
    <s v="Large (11-20)"/>
    <n v="6"/>
  </r>
  <r>
    <x v="80"/>
    <x v="44"/>
    <x v="3"/>
    <s v="G"/>
    <s v="I0033"/>
    <d v="2026-09-27T20:16:00"/>
    <d v="2026-09-27T20:28:00"/>
    <n v="4"/>
    <n v="12"/>
    <b v="0"/>
    <b v="0"/>
    <b v="0"/>
    <n v="12"/>
    <s v="High"/>
    <d v="2026-09-27T19:57:00"/>
    <b v="0"/>
    <s v="Small Parts"/>
    <x v="1"/>
    <s v="Bulk"/>
    <s v="Night"/>
    <s v="Beginner"/>
    <s v="Cold Storage"/>
    <s v="Far"/>
    <n v="19"/>
    <s v="Sunday"/>
    <s v="Large (11-20)"/>
    <n v="3"/>
  </r>
  <r>
    <x v="81"/>
    <x v="66"/>
    <x v="20"/>
    <s v="D"/>
    <s v="I0056"/>
    <d v="2026-09-12T13:01:00"/>
    <d v="2026-09-12T13:13:00"/>
    <n v="3"/>
    <n v="12"/>
    <b v="0"/>
    <b v="0"/>
    <b v="0"/>
    <n v="6"/>
    <s v="Normal"/>
    <d v="2026-09-12T11:01:00"/>
    <b v="0"/>
    <s v="Apparel"/>
    <x v="1"/>
    <s v="Fragile"/>
    <s v="Night"/>
    <s v="Unknown"/>
    <s v="Fragile"/>
    <s v="Unknown"/>
    <n v="11"/>
    <s v="Saturday"/>
    <s v="Medium (6-10)"/>
    <n v="4"/>
  </r>
  <r>
    <x v="82"/>
    <x v="67"/>
    <x v="9"/>
    <s v="D"/>
    <s v="I0073"/>
    <d v="2026-09-05T16:04:00"/>
    <d v="2026-09-05T16:16:00"/>
    <n v="6"/>
    <n v="12"/>
    <b v="0"/>
    <b v="0"/>
    <b v="0"/>
    <n v="6"/>
    <s v="High"/>
    <m/>
    <b v="0"/>
    <s v="Unknown"/>
    <x v="0"/>
    <s v="Bulk"/>
    <s v="Unknown"/>
    <s v="Intermediate"/>
    <s v="Fragile"/>
    <s v="Unknown"/>
    <m/>
    <m/>
    <s v="Medium (6-10)"/>
    <n v="2"/>
  </r>
  <r>
    <x v="83"/>
    <x v="68"/>
    <x v="9"/>
    <s v="G"/>
    <s v="I0043"/>
    <d v="2026-09-11T10:47:00"/>
    <d v="2026-09-11T10:59:00"/>
    <n v="7"/>
    <n v="12"/>
    <b v="0"/>
    <b v="0"/>
    <b v="0"/>
    <n v="10"/>
    <s v="Normal"/>
    <d v="2026-09-11T09:20:00"/>
    <b v="0"/>
    <s v="Small Parts"/>
    <x v="0"/>
    <s v="Fragile"/>
    <s v="Unknown"/>
    <s v="Intermediate"/>
    <s v="Cold Storage"/>
    <s v="Far"/>
    <n v="9"/>
    <s v="Friday"/>
    <s v="Medium (6-10)"/>
    <n v="1.714285714285714"/>
  </r>
  <r>
    <x v="84"/>
    <x v="69"/>
    <x v="0"/>
    <s v="H"/>
    <s v="I0059"/>
    <d v="2026-09-03T16:07:00"/>
    <d v="2026-09-03T16:19:00"/>
    <n v="7"/>
    <n v="12"/>
    <b v="0"/>
    <b v="0"/>
    <b v="0"/>
    <n v="20"/>
    <s v="Normal"/>
    <d v="2026-09-03T14:59:00"/>
    <b v="0"/>
    <s v="Electronics"/>
    <x v="1"/>
    <s v="Bulk"/>
    <s v="Night"/>
    <s v="Beginner"/>
    <s v="Small Parts"/>
    <s v="Near"/>
    <n v="14"/>
    <s v="Thursday"/>
    <s v="Large (11-20)"/>
    <n v="1.714285714285714"/>
  </r>
  <r>
    <x v="85"/>
    <x v="70"/>
    <x v="6"/>
    <s v="G"/>
    <s v="I0068"/>
    <d v="2026-09-26T22:36:00"/>
    <d v="2026-09-26T22:48:00"/>
    <n v="5"/>
    <n v="12"/>
    <b v="0"/>
    <b v="0"/>
    <b v="0"/>
    <n v="12"/>
    <s v="High"/>
    <d v="2026-09-26T21:43:00"/>
    <b v="0"/>
    <s v="Electronics"/>
    <x v="1"/>
    <s v="Climate-Controlled"/>
    <s v="Night"/>
    <s v="Intermediate"/>
    <s v="Cold Storage"/>
    <s v="Far"/>
    <n v="21"/>
    <s v="Saturday"/>
    <s v="Large (11-20)"/>
    <n v="2.4"/>
  </r>
  <r>
    <x v="86"/>
    <x v="71"/>
    <x v="2"/>
    <s v="E"/>
    <s v="I0059"/>
    <d v="2026-09-09T08:07:00"/>
    <d v="2026-09-09T08:19:00"/>
    <n v="5"/>
    <n v="12"/>
    <b v="0"/>
    <b v="0"/>
    <b v="0"/>
    <n v="12"/>
    <s v="Normal"/>
    <d v="2026-09-09T07:12:00"/>
    <b v="0"/>
    <s v="Electronics"/>
    <x v="1"/>
    <s v="Bulk"/>
    <s v="Evening"/>
    <s v="Beginner"/>
    <s v="Fast-Moving"/>
    <s v="Medium"/>
    <n v="7"/>
    <s v="Wednesday"/>
    <s v="Large (11-20)"/>
    <n v="2.4"/>
  </r>
  <r>
    <x v="87"/>
    <x v="72"/>
    <x v="9"/>
    <s v="B"/>
    <s v="I0065"/>
    <d v="2026-09-17T13:21:00"/>
    <d v="2026-09-17T13:33:00"/>
    <n v="3"/>
    <n v="12"/>
    <b v="0"/>
    <b v="0"/>
    <b v="0"/>
    <n v="20"/>
    <s v="High"/>
    <d v="2026-09-17T12:47:00"/>
    <b v="0"/>
    <s v="Small Parts"/>
    <x v="1"/>
    <s v="Fragile"/>
    <s v="Unknown"/>
    <s v="Intermediate"/>
    <s v="Bulk Storage"/>
    <s v="Far"/>
    <n v="12"/>
    <s v="Thursday"/>
    <s v="Large (11-20)"/>
    <n v="4"/>
  </r>
  <r>
    <x v="88"/>
    <x v="73"/>
    <x v="17"/>
    <s v="B"/>
    <s v="I0001"/>
    <d v="2026-09-25T08:21:00"/>
    <d v="2026-09-25T08:33:00"/>
    <n v="7"/>
    <n v="12"/>
    <b v="0"/>
    <b v="0"/>
    <b v="0"/>
    <n v="15"/>
    <s v="Normal"/>
    <d v="2026-09-25T07:16:00"/>
    <b v="0"/>
    <s v="Fragile Goods"/>
    <x v="0"/>
    <s v="Standard"/>
    <s v="Night"/>
    <s v="Intermediate"/>
    <s v="Bulk Storage"/>
    <s v="Far"/>
    <n v="7"/>
    <s v="Friday"/>
    <s v="Large (11-20)"/>
    <n v="1.714285714285714"/>
  </r>
  <r>
    <x v="89"/>
    <x v="69"/>
    <x v="18"/>
    <s v="D"/>
    <s v="I0077"/>
    <d v="2026-09-03T16:26:00"/>
    <d v="2026-09-03T16:38:00"/>
    <n v="6"/>
    <n v="12"/>
    <b v="0"/>
    <b v="0"/>
    <b v="0"/>
    <n v="20"/>
    <s v="Normal"/>
    <d v="2026-09-03T14:59:00"/>
    <b v="0"/>
    <s v="Bulk Materials"/>
    <x v="0"/>
    <s v="Unknown"/>
    <s v="Night"/>
    <s v="Intermediate"/>
    <s v="Fragile"/>
    <s v="Unknown"/>
    <n v="14"/>
    <s v="Thursday"/>
    <s v="Large (11-20)"/>
    <n v="2"/>
  </r>
  <r>
    <x v="90"/>
    <x v="74"/>
    <x v="23"/>
    <s v="D"/>
    <s v="I0007"/>
    <d v="2026-09-17T21:18:00"/>
    <d v="2026-09-17T21:30:00"/>
    <n v="5"/>
    <n v="12"/>
    <b v="0"/>
    <b v="0"/>
    <b v="0"/>
    <n v="12"/>
    <s v="Low"/>
    <d v="2026-09-17T19:59:00"/>
    <b v="0"/>
    <s v="Small Parts"/>
    <x v="1"/>
    <s v="Fragile"/>
    <s v="Evening"/>
    <s v="Intermediate"/>
    <s v="Fragile"/>
    <s v="Unknown"/>
    <n v="19"/>
    <s v="Thursday"/>
    <s v="Large (11-20)"/>
    <n v="2.4"/>
  </r>
  <r>
    <x v="91"/>
    <x v="74"/>
    <x v="8"/>
    <s v="G"/>
    <s v="I0031"/>
    <d v="2026-09-17T22:26:00"/>
    <d v="2026-09-17T22:38:00"/>
    <n v="7"/>
    <n v="12"/>
    <b v="0"/>
    <b v="0"/>
    <b v="0"/>
    <n v="12"/>
    <s v="Low"/>
    <d v="2026-09-17T19:59:00"/>
    <b v="0"/>
    <s v="Unknown"/>
    <x v="2"/>
    <s v="Fragile"/>
    <s v="Evening"/>
    <s v="Unknown"/>
    <s v="Cold Storage"/>
    <s v="Far"/>
    <n v="19"/>
    <s v="Thursday"/>
    <s v="Large (11-20)"/>
    <n v="1.714285714285714"/>
  </r>
  <r>
    <x v="92"/>
    <x v="75"/>
    <x v="20"/>
    <s v="B"/>
    <s v="I0001"/>
    <d v="2026-09-01T21:44:00"/>
    <d v="2026-09-01T21:56:00"/>
    <n v="4"/>
    <n v="12"/>
    <b v="0"/>
    <b v="0"/>
    <b v="0"/>
    <n v="20"/>
    <s v="Low"/>
    <d v="2026-09-01T21:36:00"/>
    <b v="0"/>
    <s v="Fragile Goods"/>
    <x v="0"/>
    <s v="Standard"/>
    <s v="Night"/>
    <s v="Unknown"/>
    <s v="Bulk Storage"/>
    <s v="Far"/>
    <n v="21"/>
    <s v="Tuesday"/>
    <s v="Large (11-20)"/>
    <n v="3"/>
  </r>
  <r>
    <x v="93"/>
    <x v="76"/>
    <x v="18"/>
    <s v="D"/>
    <s v="I0015"/>
    <d v="2026-09-25T09:27:00"/>
    <d v="2026-09-25T09:39:00"/>
    <n v="5"/>
    <n v="12"/>
    <b v="0"/>
    <b v="0"/>
    <b v="0"/>
    <n v="10"/>
    <s v="Normal"/>
    <d v="2026-09-25T08:13:00"/>
    <b v="0"/>
    <s v="Bulk Materials"/>
    <x v="1"/>
    <s v="Fragile"/>
    <s v="Night"/>
    <s v="Intermediate"/>
    <s v="Fragile"/>
    <s v="Unknown"/>
    <n v="8"/>
    <s v="Friday"/>
    <s v="Medium (6-10)"/>
    <n v="2.4"/>
  </r>
  <r>
    <x v="94"/>
    <x v="77"/>
    <x v="24"/>
    <s v="G"/>
    <s v="I0076"/>
    <d v="2026-09-11T20:49:00"/>
    <d v="2026-09-11T21:01:00"/>
    <n v="4"/>
    <n v="12"/>
    <b v="0"/>
    <b v="0"/>
    <b v="0"/>
    <n v="4"/>
    <s v="High"/>
    <d v="2026-09-11T20:47:00"/>
    <b v="0"/>
    <s v="Fragile Goods"/>
    <x v="3"/>
    <s v="Climate-Controlled"/>
    <s v="Night"/>
    <s v="Experienced"/>
    <s v="Cold Storage"/>
    <s v="Far"/>
    <n v="20"/>
    <s v="Friday"/>
    <s v="Small (1-5)"/>
    <n v="3"/>
  </r>
  <r>
    <x v="95"/>
    <x v="32"/>
    <x v="11"/>
    <s v="G"/>
    <s v="I0064"/>
    <d v="2026-09-19T13:41:00"/>
    <d v="2026-09-19T13:52:00"/>
    <n v="4"/>
    <n v="11"/>
    <b v="0"/>
    <b v="0"/>
    <b v="0"/>
    <n v="15"/>
    <s v="Low"/>
    <d v="2026-09-19T12:37:00"/>
    <b v="0"/>
    <s v="Small Parts"/>
    <x v="0"/>
    <s v="Unknown"/>
    <s v="Night"/>
    <s v="Intermediate"/>
    <s v="Cold Storage"/>
    <s v="Far"/>
    <n v="12"/>
    <s v="Saturday"/>
    <s v="Large (11-20)"/>
    <n v="2.75"/>
  </r>
  <r>
    <x v="96"/>
    <x v="78"/>
    <x v="17"/>
    <s v="G"/>
    <s v="I0021"/>
    <d v="2026-09-07T08:34:00"/>
    <d v="2026-09-07T08:45:00"/>
    <n v="5"/>
    <n v="11"/>
    <b v="0"/>
    <b v="0"/>
    <b v="0"/>
    <n v="5"/>
    <s v="Normal"/>
    <d v="2026-09-07T08:08:00"/>
    <b v="0"/>
    <s v="Apparel"/>
    <x v="0"/>
    <s v="Standard"/>
    <s v="Night"/>
    <s v="Intermediate"/>
    <s v="Cold Storage"/>
    <s v="Far"/>
    <n v="8"/>
    <s v="Monday"/>
    <s v="Small (1-5)"/>
    <n v="2.2"/>
  </r>
  <r>
    <x v="97"/>
    <x v="0"/>
    <x v="4"/>
    <s v="B"/>
    <s v="I0023"/>
    <d v="2026-09-29T07:00:00"/>
    <d v="2026-09-29T07:11:00"/>
    <n v="5"/>
    <n v="11"/>
    <b v="0"/>
    <b v="0"/>
    <b v="0"/>
    <n v="15"/>
    <s v="Normal"/>
    <d v="2026-09-29T05:12:00"/>
    <b v="0"/>
    <s v="Home Goods"/>
    <x v="1"/>
    <s v="Bulk"/>
    <s v="Night"/>
    <s v="Unknown"/>
    <s v="Bulk Storage"/>
    <s v="Far"/>
    <n v="5"/>
    <s v="Tuesday"/>
    <s v="Large (11-20)"/>
    <n v="2.2"/>
  </r>
  <r>
    <x v="98"/>
    <x v="68"/>
    <x v="25"/>
    <s v="G"/>
    <s v="I0056"/>
    <d v="2026-09-11T10:46:00"/>
    <d v="2026-09-11T10:57:00"/>
    <n v="3"/>
    <n v="11"/>
    <b v="0"/>
    <b v="0"/>
    <b v="0"/>
    <n v="10"/>
    <s v="Normal"/>
    <d v="2026-09-11T09:20:00"/>
    <b v="0"/>
    <s v="Apparel"/>
    <x v="1"/>
    <s v="Fragile"/>
    <s v="Night"/>
    <s v="Experienced"/>
    <s v="Cold Storage"/>
    <s v="Far"/>
    <n v="9"/>
    <s v="Friday"/>
    <s v="Medium (6-10)"/>
    <n v="3.666666666666667"/>
  </r>
  <r>
    <x v="99"/>
    <x v="15"/>
    <x v="10"/>
    <s v="D"/>
    <s v="I0047"/>
    <d v="2026-09-18T19:08:00"/>
    <d v="2026-09-18T19:19:00"/>
    <n v="5"/>
    <n v="11"/>
    <b v="0"/>
    <b v="0"/>
    <b v="0"/>
    <n v="20"/>
    <s v="Low"/>
    <d v="2026-09-18T17:39:00"/>
    <b v="0"/>
    <s v="Electronics"/>
    <x v="0"/>
    <s v="Unknown"/>
    <s v="Night"/>
    <s v="Unknown"/>
    <s v="Fragile"/>
    <s v="Unknown"/>
    <n v="17"/>
    <s v="Friday"/>
    <s v="Large (11-20)"/>
    <n v="2.2"/>
  </r>
  <r>
    <x v="100"/>
    <x v="79"/>
    <x v="16"/>
    <s v="G"/>
    <s v="I0029"/>
    <d v="2026-09-24T23:59:00"/>
    <d v="2026-09-25T00:10:00"/>
    <n v="2"/>
    <n v="11"/>
    <b v="0"/>
    <b v="0"/>
    <b v="0"/>
    <n v="15"/>
    <s v="Urgent"/>
    <d v="2026-09-24T23:31:00"/>
    <b v="0"/>
    <s v="Small Parts"/>
    <x v="1"/>
    <s v="Standard"/>
    <s v="Night"/>
    <s v="Intermediate"/>
    <s v="Cold Storage"/>
    <s v="Far"/>
    <n v="23"/>
    <s v="Thursday"/>
    <s v="Large (11-20)"/>
    <n v="5.5"/>
  </r>
  <r>
    <x v="101"/>
    <x v="80"/>
    <x v="16"/>
    <s v="B"/>
    <s v="I0004"/>
    <d v="2026-09-06T13:25:00"/>
    <d v="2026-09-06T13:36:00"/>
    <n v="4"/>
    <n v="11"/>
    <b v="0"/>
    <b v="0"/>
    <b v="0"/>
    <n v="8"/>
    <s v="Urgent"/>
    <d v="2026-09-06T12:13:00"/>
    <b v="0"/>
    <s v="Electronics"/>
    <x v="0"/>
    <s v="Standard"/>
    <s v="Night"/>
    <s v="Intermediate"/>
    <s v="Bulk Storage"/>
    <s v="Far"/>
    <n v="12"/>
    <s v="Sunday"/>
    <s v="Medium (6-10)"/>
    <n v="2.75"/>
  </r>
  <r>
    <x v="102"/>
    <x v="80"/>
    <x v="15"/>
    <s v="G"/>
    <s v="I0015"/>
    <d v="2026-09-06T15:10:00"/>
    <d v="2026-09-06T15:21:00"/>
    <n v="1"/>
    <n v="11"/>
    <b v="0"/>
    <b v="0"/>
    <b v="0"/>
    <n v="8"/>
    <s v="Urgent"/>
    <d v="2026-09-06T12:13:00"/>
    <b v="0"/>
    <s v="Bulk Materials"/>
    <x v="1"/>
    <s v="Fragile"/>
    <s v="Morning"/>
    <s v="Unknown"/>
    <s v="Cold Storage"/>
    <s v="Far"/>
    <n v="12"/>
    <s v="Sunday"/>
    <s v="Medium (6-10)"/>
    <n v="11"/>
  </r>
  <r>
    <x v="103"/>
    <x v="81"/>
    <x v="1"/>
    <s v="D"/>
    <s v="I0041"/>
    <d v="2026-09-04T19:19:00"/>
    <d v="2026-09-04T19:30:00"/>
    <n v="2"/>
    <n v="11"/>
    <b v="0"/>
    <b v="0"/>
    <b v="0"/>
    <n v="8"/>
    <s v="Urgent"/>
    <d v="2026-09-04T17:27:00"/>
    <b v="0"/>
    <s v="Bulk Materials"/>
    <x v="2"/>
    <s v="Bulk"/>
    <s v="Night"/>
    <s v="Beginner"/>
    <s v="Fragile"/>
    <s v="Unknown"/>
    <n v="17"/>
    <s v="Friday"/>
    <s v="Medium (6-10)"/>
    <n v="5.5"/>
  </r>
  <r>
    <x v="104"/>
    <x v="74"/>
    <x v="6"/>
    <s v="B"/>
    <s v="I0034"/>
    <d v="2026-09-17T20:27:00"/>
    <d v="2026-09-17T20:38:00"/>
    <n v="3"/>
    <n v="11"/>
    <b v="0"/>
    <b v="0"/>
    <b v="0"/>
    <n v="12"/>
    <s v="Low"/>
    <d v="2026-09-17T19:59:00"/>
    <b v="0"/>
    <s v="Bulk Materials"/>
    <x v="0"/>
    <s v="Climate-Controlled"/>
    <s v="Night"/>
    <s v="Intermediate"/>
    <s v="Bulk Storage"/>
    <s v="Far"/>
    <n v="19"/>
    <s v="Thursday"/>
    <s v="Large (11-20)"/>
    <n v="3.666666666666667"/>
  </r>
  <r>
    <x v="105"/>
    <x v="74"/>
    <x v="3"/>
    <s v="B"/>
    <s v="I0053"/>
    <d v="2026-09-17T22:41:00"/>
    <d v="2026-09-17T22:52:00"/>
    <n v="7"/>
    <n v="11"/>
    <b v="0"/>
    <b v="0"/>
    <b v="0"/>
    <n v="12"/>
    <s v="Low"/>
    <d v="2026-09-17T19:59:00"/>
    <b v="0"/>
    <s v="Small Parts"/>
    <x v="3"/>
    <s v="Standard"/>
    <s v="Night"/>
    <s v="Beginner"/>
    <s v="Bulk Storage"/>
    <s v="Far"/>
    <n v="19"/>
    <s v="Thursday"/>
    <s v="Large (11-20)"/>
    <n v="1.571428571428571"/>
  </r>
  <r>
    <x v="106"/>
    <x v="29"/>
    <x v="21"/>
    <s v="G"/>
    <s v="I0013"/>
    <d v="2026-09-04T12:02:00"/>
    <d v="2026-09-04T12:13:00"/>
    <n v="1"/>
    <n v="11"/>
    <b v="0"/>
    <b v="0"/>
    <b v="0"/>
    <n v="10"/>
    <s v="Urgent"/>
    <d v="2026-09-04T11:45:00"/>
    <b v="0"/>
    <s v="Home Goods"/>
    <x v="1"/>
    <s v="Unknown"/>
    <s v="Morning"/>
    <s v="Intermediate"/>
    <s v="Cold Storage"/>
    <s v="Far"/>
    <n v="11"/>
    <s v="Friday"/>
    <s v="Medium (6-10)"/>
    <n v="11"/>
  </r>
  <r>
    <x v="107"/>
    <x v="82"/>
    <x v="26"/>
    <s v="G"/>
    <s v="I0018"/>
    <d v="2026-09-20T13:45:00"/>
    <d v="2026-09-20T13:56:00"/>
    <n v="6"/>
    <n v="11"/>
    <b v="0"/>
    <b v="0"/>
    <b v="0"/>
    <n v="10"/>
    <s v="Normal"/>
    <d v="2026-09-20T12:23:00"/>
    <b v="0"/>
    <s v="Bulk Materials"/>
    <x v="0"/>
    <s v="Bulk"/>
    <s v="Morning"/>
    <s v="Experienced"/>
    <s v="Cold Storage"/>
    <s v="Far"/>
    <n v="12"/>
    <s v="Sunday"/>
    <s v="Medium (6-10)"/>
    <n v="1.833333333333333"/>
  </r>
  <r>
    <x v="108"/>
    <x v="83"/>
    <x v="13"/>
    <s v="G"/>
    <s v="I0011"/>
    <d v="2026-09-25T17:59:00"/>
    <d v="2026-09-25T18:10:00"/>
    <n v="4"/>
    <n v="11"/>
    <b v="0"/>
    <b v="0"/>
    <b v="0"/>
    <n v="5"/>
    <s v="Urgent"/>
    <d v="2026-09-25T16:48:00"/>
    <b v="0"/>
    <s v="Fragile Goods"/>
    <x v="1"/>
    <s v="Climate-Controlled"/>
    <s v="Night"/>
    <s v="Intermediate"/>
    <s v="Cold Storage"/>
    <s v="Far"/>
    <n v="16"/>
    <s v="Friday"/>
    <s v="Small (1-5)"/>
    <n v="2.75"/>
  </r>
  <r>
    <x v="109"/>
    <x v="84"/>
    <x v="8"/>
    <s v="D"/>
    <s v="I0044"/>
    <d v="2026-09-03T04:26:00"/>
    <d v="2026-09-03T04:37:00"/>
    <n v="2"/>
    <n v="11"/>
    <b v="0"/>
    <b v="0"/>
    <b v="0"/>
    <n v="15"/>
    <s v="Normal"/>
    <d v="2026-09-03T02:35:00"/>
    <b v="0"/>
    <s v="Electronics"/>
    <x v="1"/>
    <s v="Bulk"/>
    <s v="Evening"/>
    <s v="Unknown"/>
    <s v="Fragile"/>
    <s v="Unknown"/>
    <n v="2"/>
    <s v="Thursday"/>
    <s v="Large (11-20)"/>
    <n v="5.5"/>
  </r>
  <r>
    <x v="110"/>
    <x v="85"/>
    <x v="19"/>
    <s v="G"/>
    <s v="I0046"/>
    <d v="2026-09-23T18:48:00"/>
    <d v="2026-09-23T18:59:00"/>
    <n v="5"/>
    <n v="11"/>
    <b v="0"/>
    <b v="0"/>
    <b v="0"/>
    <n v="5"/>
    <s v="Normal"/>
    <d v="2026-09-23T16:26:00"/>
    <b v="0"/>
    <s v="Small Parts"/>
    <x v="2"/>
    <s v="Standard"/>
    <s v="Unknown"/>
    <s v="Experienced"/>
    <s v="Cold Storage"/>
    <s v="Far"/>
    <n v="16"/>
    <s v="Wednesday"/>
    <s v="Small (1-5)"/>
    <n v="2.2"/>
  </r>
  <r>
    <x v="111"/>
    <x v="86"/>
    <x v="3"/>
    <s v="D"/>
    <s v="I0078"/>
    <d v="2026-09-25T18:00:00"/>
    <d v="2026-09-25T18:11:00"/>
    <n v="5"/>
    <n v="11"/>
    <b v="0"/>
    <b v="0"/>
    <b v="0"/>
    <n v="2"/>
    <s v="Normal"/>
    <d v="2026-09-25T15:42:00"/>
    <b v="0"/>
    <s v="Apparel"/>
    <x v="1"/>
    <s v="Climate-Controlled"/>
    <s v="Night"/>
    <s v="Beginner"/>
    <s v="Fragile"/>
    <s v="Unknown"/>
    <n v="15"/>
    <s v="Friday"/>
    <s v="Small (1-5)"/>
    <n v="2.2"/>
  </r>
  <r>
    <x v="112"/>
    <x v="20"/>
    <x v="4"/>
    <s v="D"/>
    <s v="I0066"/>
    <d v="2026-09-02T09:01:00"/>
    <d v="2026-09-02T09:12:00"/>
    <n v="6"/>
    <n v="11"/>
    <b v="0"/>
    <b v="0"/>
    <b v="0"/>
    <n v="12"/>
    <s v="High"/>
    <d v="2026-09-02T09:01:00"/>
    <b v="0"/>
    <s v="Bulk Materials"/>
    <x v="2"/>
    <s v="Bulk"/>
    <s v="Night"/>
    <s v="Unknown"/>
    <s v="Fragile"/>
    <s v="Unknown"/>
    <n v="9"/>
    <s v="Wednesday"/>
    <s v="Large (11-20)"/>
    <n v="1.833333333333333"/>
  </r>
  <r>
    <x v="113"/>
    <x v="71"/>
    <x v="2"/>
    <s v="C"/>
    <s v="I0079"/>
    <d v="2026-09-09T09:40:00"/>
    <d v="2026-09-09T09:51:00"/>
    <n v="4"/>
    <n v="11"/>
    <b v="0"/>
    <b v="0"/>
    <b v="0"/>
    <n v="12"/>
    <s v="Normal"/>
    <d v="2026-09-09T07:12:00"/>
    <b v="0"/>
    <s v="Fragile Goods"/>
    <x v="0"/>
    <s v="Bulk"/>
    <s v="Evening"/>
    <s v="Beginner"/>
    <s v="Small Parts"/>
    <s v="Medium"/>
    <n v="7"/>
    <s v="Wednesday"/>
    <s v="Large (11-20)"/>
    <n v="2.75"/>
  </r>
  <r>
    <x v="114"/>
    <x v="71"/>
    <x v="16"/>
    <s v="C"/>
    <s v="I0049"/>
    <d v="2026-09-09T08:09:00"/>
    <d v="2026-09-09T08:20:00"/>
    <n v="6"/>
    <n v="11"/>
    <b v="0"/>
    <b v="0"/>
    <b v="0"/>
    <n v="12"/>
    <s v="Normal"/>
    <d v="2026-09-09T07:12:00"/>
    <b v="0"/>
    <s v="Small Parts"/>
    <x v="1"/>
    <s v="Standard"/>
    <s v="Night"/>
    <s v="Intermediate"/>
    <s v="Small Parts"/>
    <s v="Medium"/>
    <n v="7"/>
    <s v="Wednesday"/>
    <s v="Large (11-20)"/>
    <n v="1.833333333333333"/>
  </r>
  <r>
    <x v="115"/>
    <x v="87"/>
    <x v="13"/>
    <s v="D"/>
    <s v="I0013"/>
    <d v="2026-09-17T22:06:00"/>
    <d v="2026-09-17T22:17:00"/>
    <n v="6"/>
    <n v="11"/>
    <b v="0"/>
    <b v="0"/>
    <b v="0"/>
    <n v="12"/>
    <s v="High"/>
    <d v="2026-09-17T21:14:00"/>
    <b v="0"/>
    <s v="Home Goods"/>
    <x v="1"/>
    <s v="Unknown"/>
    <s v="Night"/>
    <s v="Intermediate"/>
    <s v="Fragile"/>
    <s v="Unknown"/>
    <n v="21"/>
    <s v="Thursday"/>
    <s v="Large (11-20)"/>
    <n v="1.833333333333333"/>
  </r>
  <r>
    <x v="116"/>
    <x v="88"/>
    <x v="2"/>
    <s v="D"/>
    <s v="I0022"/>
    <d v="2026-09-22T15:17:00"/>
    <d v="2026-09-22T15:28:00"/>
    <n v="3"/>
    <n v="11"/>
    <b v="0"/>
    <b v="0"/>
    <b v="0"/>
    <n v="6"/>
    <s v="Normal"/>
    <d v="2026-09-22T13:03:00"/>
    <b v="0"/>
    <s v="Unknown"/>
    <x v="0"/>
    <s v="Standard"/>
    <s v="Evening"/>
    <s v="Beginner"/>
    <s v="Fragile"/>
    <s v="Unknown"/>
    <n v="13"/>
    <s v="Tuesday"/>
    <s v="Medium (6-10)"/>
    <n v="3.666666666666667"/>
  </r>
  <r>
    <x v="117"/>
    <x v="30"/>
    <x v="15"/>
    <s v="B"/>
    <s v="I0080"/>
    <d v="2026-09-01T21:19:00"/>
    <d v="2026-09-01T21:30:00"/>
    <n v="7"/>
    <n v="11"/>
    <b v="0"/>
    <b v="0"/>
    <b v="0"/>
    <m/>
    <s v="High"/>
    <d v="2026-09-01T20:14:00"/>
    <b v="1"/>
    <s v="Fragile Goods"/>
    <x v="0"/>
    <s v="Bulk"/>
    <s v="Morning"/>
    <s v="Unknown"/>
    <s v="Bulk Storage"/>
    <s v="Far"/>
    <n v="20"/>
    <s v="Tuesday"/>
    <m/>
    <n v="1.571428571428571"/>
  </r>
  <r>
    <x v="118"/>
    <x v="89"/>
    <x v="20"/>
    <s v="B"/>
    <s v="I0055"/>
    <d v="2026-09-25T21:47:00"/>
    <d v="2026-09-25T21:58:00"/>
    <n v="7"/>
    <n v="11"/>
    <b v="0"/>
    <b v="0"/>
    <b v="0"/>
    <n v="4"/>
    <s v="High"/>
    <d v="2026-09-25T19:11:00"/>
    <b v="0"/>
    <s v="Fragile Goods"/>
    <x v="1"/>
    <s v="Climate-Controlled"/>
    <s v="Night"/>
    <s v="Unknown"/>
    <s v="Bulk Storage"/>
    <s v="Far"/>
    <n v="19"/>
    <s v="Friday"/>
    <s v="Small (1-5)"/>
    <n v="1.571428571428571"/>
  </r>
  <r>
    <x v="119"/>
    <x v="44"/>
    <x v="22"/>
    <s v="G"/>
    <s v="I0077"/>
    <d v="2026-09-27T22:46:00"/>
    <d v="2026-09-27T22:57:00"/>
    <n v="3"/>
    <n v="11"/>
    <b v="0"/>
    <b v="0"/>
    <b v="0"/>
    <n v="12"/>
    <s v="High"/>
    <d v="2026-09-27T19:57:00"/>
    <b v="0"/>
    <s v="Bulk Materials"/>
    <x v="0"/>
    <s v="Unknown"/>
    <s v="Unknown"/>
    <s v="Unknown"/>
    <s v="Cold Storage"/>
    <s v="Far"/>
    <n v="19"/>
    <s v="Sunday"/>
    <s v="Large (11-20)"/>
    <n v="3.666666666666667"/>
  </r>
  <r>
    <x v="120"/>
    <x v="90"/>
    <x v="8"/>
    <s v="D"/>
    <s v="I0077"/>
    <d v="2026-09-07T10:04:00"/>
    <d v="2026-09-07T10:15:00"/>
    <n v="4"/>
    <n v="11"/>
    <b v="0"/>
    <b v="0"/>
    <b v="0"/>
    <n v="1"/>
    <s v="Low"/>
    <d v="2026-09-07T08:28:00"/>
    <b v="0"/>
    <s v="Bulk Materials"/>
    <x v="0"/>
    <s v="Unknown"/>
    <s v="Evening"/>
    <s v="Unknown"/>
    <s v="Fragile"/>
    <s v="Unknown"/>
    <n v="8"/>
    <s v="Monday"/>
    <s v="Small (1-5)"/>
    <n v="2.75"/>
  </r>
  <r>
    <x v="121"/>
    <x v="91"/>
    <x v="12"/>
    <s v="G"/>
    <s v="I0024"/>
    <d v="2026-09-13T10:23:00"/>
    <d v="2026-09-13T10:34:00"/>
    <n v="6"/>
    <n v="11"/>
    <b v="0"/>
    <b v="0"/>
    <b v="0"/>
    <m/>
    <s v="Normal"/>
    <d v="2026-09-13T08:32:00"/>
    <b v="1"/>
    <s v="Fragile Goods"/>
    <x v="0"/>
    <s v="Fragile"/>
    <s v="Unknown"/>
    <s v="Intermediate"/>
    <s v="Cold Storage"/>
    <s v="Far"/>
    <n v="8"/>
    <s v="Sunday"/>
    <m/>
    <n v="1.833333333333333"/>
  </r>
  <r>
    <x v="122"/>
    <x v="92"/>
    <x v="11"/>
    <s v="D"/>
    <s v="I0022"/>
    <d v="2026-09-23T21:03:00"/>
    <d v="2026-09-23T21:14:00"/>
    <n v="3"/>
    <n v="11"/>
    <b v="0"/>
    <b v="0"/>
    <b v="0"/>
    <n v="6"/>
    <s v="Normal"/>
    <d v="2026-09-23T20:11:00"/>
    <b v="0"/>
    <s v="Unknown"/>
    <x v="0"/>
    <s v="Standard"/>
    <s v="Night"/>
    <s v="Intermediate"/>
    <s v="Fragile"/>
    <s v="Unknown"/>
    <n v="20"/>
    <s v="Wednesday"/>
    <s v="Medium (6-10)"/>
    <n v="3.666666666666667"/>
  </r>
  <r>
    <x v="123"/>
    <x v="84"/>
    <x v="2"/>
    <s v="D"/>
    <s v="I0027"/>
    <d v="2026-09-03T04:01:00"/>
    <d v="2026-09-03T04:12:00"/>
    <n v="3"/>
    <n v="11"/>
    <b v="0"/>
    <b v="0"/>
    <b v="0"/>
    <n v="15"/>
    <s v="Normal"/>
    <d v="2026-09-03T02:35:00"/>
    <b v="0"/>
    <s v="Unknown"/>
    <x v="2"/>
    <s v="Bulk"/>
    <s v="Evening"/>
    <s v="Beginner"/>
    <s v="Fragile"/>
    <s v="Unknown"/>
    <n v="2"/>
    <s v="Thursday"/>
    <s v="Large (11-20)"/>
    <n v="3.666666666666667"/>
  </r>
  <r>
    <x v="124"/>
    <x v="23"/>
    <x v="10"/>
    <s v="D"/>
    <s v="I0030"/>
    <d v="2026-09-25T10:50:00"/>
    <d v="2026-09-25T11:01:00"/>
    <n v="2"/>
    <n v="11"/>
    <b v="0"/>
    <b v="0"/>
    <b v="0"/>
    <n v="20"/>
    <s v="High"/>
    <d v="2026-09-25T08:21:00"/>
    <b v="0"/>
    <s v="Electronics"/>
    <x v="0"/>
    <s v="Fragile"/>
    <s v="Night"/>
    <s v="Unknown"/>
    <s v="Fragile"/>
    <s v="Unknown"/>
    <n v="8"/>
    <s v="Friday"/>
    <s v="Large (11-20)"/>
    <n v="5.5"/>
  </r>
  <r>
    <x v="125"/>
    <x v="20"/>
    <x v="14"/>
    <s v="G"/>
    <s v="I0012"/>
    <d v="2026-09-02T10:46:00"/>
    <d v="2026-09-02T10:57:00"/>
    <n v="2"/>
    <n v="11"/>
    <b v="0"/>
    <b v="0"/>
    <b v="0"/>
    <n v="12"/>
    <s v="High"/>
    <d v="2026-09-02T09:01:00"/>
    <b v="0"/>
    <s v="Unknown"/>
    <x v="2"/>
    <s v="Bulk"/>
    <s v="Night"/>
    <s v="Unknown"/>
    <s v="Cold Storage"/>
    <s v="Far"/>
    <n v="9"/>
    <s v="Wednesday"/>
    <s v="Large (11-20)"/>
    <n v="5.5"/>
  </r>
  <r>
    <x v="126"/>
    <x v="93"/>
    <x v="27"/>
    <s v="G"/>
    <s v="I0046"/>
    <d v="2026-09-28T21:28:00"/>
    <d v="2026-09-28T21:39:00"/>
    <n v="7"/>
    <n v="11"/>
    <b v="0"/>
    <b v="0"/>
    <b v="0"/>
    <n v="8"/>
    <s v="High"/>
    <d v="2026-09-28T19:48:00"/>
    <b v="0"/>
    <s v="Small Parts"/>
    <x v="2"/>
    <s v="Standard"/>
    <s v="Night"/>
    <s v="Experienced"/>
    <s v="Cold Storage"/>
    <s v="Far"/>
    <n v="19"/>
    <s v="Monday"/>
    <s v="Medium (6-10)"/>
    <n v="1.571428571428571"/>
  </r>
  <r>
    <x v="127"/>
    <x v="94"/>
    <x v="17"/>
    <s v="D"/>
    <s v="I0016"/>
    <d v="2026-09-11T07:20:00"/>
    <d v="2026-09-11T07:31:00"/>
    <n v="7"/>
    <n v="11"/>
    <b v="0"/>
    <b v="0"/>
    <b v="0"/>
    <n v="15"/>
    <s v="High"/>
    <d v="2026-09-11T04:28:00"/>
    <b v="0"/>
    <s v="Unknown"/>
    <x v="0"/>
    <s v="Bulk"/>
    <s v="Night"/>
    <s v="Intermediate"/>
    <s v="Fragile"/>
    <s v="Unknown"/>
    <n v="4"/>
    <s v="Friday"/>
    <s v="Large (11-20)"/>
    <n v="1.571428571428571"/>
  </r>
  <r>
    <x v="128"/>
    <x v="94"/>
    <x v="16"/>
    <s v="G"/>
    <s v="I0043"/>
    <d v="2026-09-11T04:54:00"/>
    <d v="2026-09-11T05:05:00"/>
    <n v="4"/>
    <n v="11"/>
    <b v="0"/>
    <b v="0"/>
    <b v="0"/>
    <n v="15"/>
    <s v="High"/>
    <d v="2026-09-11T04:28:00"/>
    <b v="0"/>
    <s v="Small Parts"/>
    <x v="0"/>
    <s v="Fragile"/>
    <s v="Night"/>
    <s v="Intermediate"/>
    <s v="Cold Storage"/>
    <s v="Far"/>
    <n v="4"/>
    <s v="Friday"/>
    <s v="Large (11-20)"/>
    <n v="2.75"/>
  </r>
  <r>
    <x v="129"/>
    <x v="95"/>
    <x v="8"/>
    <s v="D"/>
    <s v="I0071"/>
    <d v="2026-09-05T16:31:00"/>
    <d v="2026-09-05T16:42:00"/>
    <n v="3"/>
    <n v="11"/>
    <b v="0"/>
    <b v="0"/>
    <b v="0"/>
    <n v="6"/>
    <s v="Urgent"/>
    <d v="2026-09-05T14:40:00"/>
    <b v="0"/>
    <s v="Bulk Materials"/>
    <x v="2"/>
    <s v="Bulk"/>
    <s v="Evening"/>
    <s v="Unknown"/>
    <s v="Fragile"/>
    <s v="Unknown"/>
    <n v="14"/>
    <s v="Saturday"/>
    <s v="Medium (6-10)"/>
    <n v="3.666666666666667"/>
  </r>
  <r>
    <x v="130"/>
    <x v="61"/>
    <x v="18"/>
    <s v="D"/>
    <s v="I0068"/>
    <d v="2026-09-19T01:42:00"/>
    <d v="2026-09-19T01:53:00"/>
    <n v="5"/>
    <n v="11"/>
    <b v="0"/>
    <b v="0"/>
    <b v="0"/>
    <n v="8"/>
    <s v="Normal"/>
    <d v="2026-09-18T22:53:00"/>
    <b v="0"/>
    <s v="Electronics"/>
    <x v="1"/>
    <s v="Climate-Controlled"/>
    <s v="Night"/>
    <s v="Intermediate"/>
    <s v="Fragile"/>
    <s v="Unknown"/>
    <n v="22"/>
    <s v="Friday"/>
    <s v="Medium (6-10)"/>
    <n v="2.2"/>
  </r>
  <r>
    <x v="131"/>
    <x v="11"/>
    <x v="2"/>
    <s v="D"/>
    <s v="I0075"/>
    <d v="2026-09-12T01:10:00"/>
    <d v="2026-09-12T01:21:00"/>
    <n v="5"/>
    <n v="11"/>
    <b v="0"/>
    <b v="0"/>
    <b v="0"/>
    <n v="20"/>
    <s v="Normal"/>
    <d v="2026-09-12T00:55:00"/>
    <b v="0"/>
    <s v="Fragile Goods"/>
    <x v="0"/>
    <s v="Standard"/>
    <s v="Evening"/>
    <s v="Beginner"/>
    <s v="Fragile"/>
    <s v="Unknown"/>
    <n v="0"/>
    <s v="Saturday"/>
    <s v="Large (11-20)"/>
    <n v="2.2"/>
  </r>
  <r>
    <x v="132"/>
    <x v="87"/>
    <x v="9"/>
    <s v="D"/>
    <s v="I0050"/>
    <d v="2026-09-17T21:52:00"/>
    <d v="2026-09-17T22:03:00"/>
    <n v="7"/>
    <n v="11"/>
    <b v="0"/>
    <b v="0"/>
    <b v="0"/>
    <n v="12"/>
    <s v="High"/>
    <d v="2026-09-17T21:14:00"/>
    <b v="0"/>
    <s v="Home Goods"/>
    <x v="1"/>
    <s v="Bulk"/>
    <s v="Unknown"/>
    <s v="Intermediate"/>
    <s v="Fragile"/>
    <s v="Unknown"/>
    <n v="21"/>
    <s v="Thursday"/>
    <s v="Large (11-20)"/>
    <n v="1.571428571428571"/>
  </r>
  <r>
    <x v="133"/>
    <x v="11"/>
    <x v="22"/>
    <s v="D"/>
    <s v="I0055"/>
    <d v="2026-09-12T02:39:00"/>
    <d v="2026-09-12T02:50:00"/>
    <n v="7"/>
    <n v="11"/>
    <b v="0"/>
    <b v="0"/>
    <b v="0"/>
    <n v="20"/>
    <s v="Normal"/>
    <d v="2026-09-12T00:55:00"/>
    <b v="0"/>
    <s v="Fragile Goods"/>
    <x v="1"/>
    <s v="Climate-Controlled"/>
    <s v="Unknown"/>
    <s v="Unknown"/>
    <s v="Fragile"/>
    <s v="Unknown"/>
    <n v="0"/>
    <s v="Saturday"/>
    <s v="Large (11-20)"/>
    <n v="1.571428571428571"/>
  </r>
  <r>
    <x v="134"/>
    <x v="96"/>
    <x v="0"/>
    <s v="B"/>
    <s v="I0001"/>
    <d v="2026-09-27T06:23:00"/>
    <d v="2026-09-27T06:34:00"/>
    <n v="1"/>
    <n v="11"/>
    <b v="0"/>
    <b v="0"/>
    <b v="0"/>
    <n v="6"/>
    <s v="High"/>
    <d v="2026-09-27T03:37:00"/>
    <b v="0"/>
    <s v="Fragile Goods"/>
    <x v="0"/>
    <s v="Standard"/>
    <s v="Night"/>
    <s v="Beginner"/>
    <s v="Bulk Storage"/>
    <s v="Far"/>
    <n v="3"/>
    <s v="Sunday"/>
    <s v="Medium (6-10)"/>
    <n v="11"/>
  </r>
  <r>
    <x v="135"/>
    <x v="97"/>
    <x v="12"/>
    <s v="F"/>
    <s v="I0052"/>
    <d v="2026-09-15T22:31:00"/>
    <d v="2026-09-15T22:42:00"/>
    <n v="6"/>
    <n v="11"/>
    <b v="0"/>
    <b v="0"/>
    <b v="0"/>
    <n v="15"/>
    <s v="Normal"/>
    <d v="2026-09-15T20:02:00"/>
    <b v="0"/>
    <s v="Bulk Materials"/>
    <x v="3"/>
    <s v="Bulk"/>
    <s v="Unknown"/>
    <s v="Intermediate"/>
    <s v="Bulk Storage"/>
    <s v="Near"/>
    <n v="20"/>
    <s v="Tuesday"/>
    <s v="Large (11-20)"/>
    <n v="1.833333333333333"/>
  </r>
  <r>
    <x v="136"/>
    <x v="98"/>
    <x v="3"/>
    <s v="B"/>
    <s v="I0077"/>
    <d v="2026-09-10T13:04:00"/>
    <d v="2026-09-10T13:15:00"/>
    <n v="5"/>
    <n v="11"/>
    <b v="0"/>
    <b v="0"/>
    <b v="0"/>
    <m/>
    <s v="Urgent"/>
    <d v="2026-09-10T12:36:00"/>
    <b v="1"/>
    <s v="Bulk Materials"/>
    <x v="0"/>
    <s v="Unknown"/>
    <s v="Night"/>
    <s v="Beginner"/>
    <s v="Bulk Storage"/>
    <s v="Far"/>
    <n v="12"/>
    <s v="Thursday"/>
    <m/>
    <n v="2.2"/>
  </r>
  <r>
    <x v="137"/>
    <x v="99"/>
    <x v="16"/>
    <s v="D"/>
    <s v="I0031"/>
    <d v="2026-09-04T16:25:00"/>
    <d v="2026-09-04T16:36:00"/>
    <n v="6"/>
    <n v="11"/>
    <b v="0"/>
    <b v="0"/>
    <b v="0"/>
    <n v="3"/>
    <s v="High"/>
    <d v="2026-09-04T15:42:00"/>
    <b v="0"/>
    <s v="Unknown"/>
    <x v="2"/>
    <s v="Fragile"/>
    <s v="Night"/>
    <s v="Intermediate"/>
    <s v="Fragile"/>
    <s v="Unknown"/>
    <n v="15"/>
    <s v="Friday"/>
    <s v="Small (1-5)"/>
    <n v="1.833333333333333"/>
  </r>
  <r>
    <x v="138"/>
    <x v="100"/>
    <x v="17"/>
    <s v="D"/>
    <s v="I0073"/>
    <d v="2026-09-05T21:53:00"/>
    <d v="2026-09-05T22:04:00"/>
    <n v="4"/>
    <n v="11"/>
    <b v="0"/>
    <b v="0"/>
    <b v="0"/>
    <n v="20"/>
    <s v="High"/>
    <d v="2026-09-05T19:30:00"/>
    <b v="0"/>
    <s v="Unknown"/>
    <x v="0"/>
    <s v="Bulk"/>
    <s v="Night"/>
    <s v="Intermediate"/>
    <s v="Fragile"/>
    <s v="Unknown"/>
    <n v="19"/>
    <s v="Saturday"/>
    <s v="Large (11-20)"/>
    <n v="2.75"/>
  </r>
  <r>
    <x v="139"/>
    <x v="54"/>
    <x v="5"/>
    <s v="F"/>
    <s v="I0007"/>
    <d v="2026-09-12T14:31:00"/>
    <d v="2026-09-12T14:42:00"/>
    <n v="4"/>
    <n v="11"/>
    <b v="0"/>
    <b v="0"/>
    <b v="0"/>
    <m/>
    <s v="High"/>
    <d v="2026-09-12T13:21:00"/>
    <b v="1"/>
    <s v="Small Parts"/>
    <x v="1"/>
    <s v="Fragile"/>
    <s v="Unknown"/>
    <s v="Beginner"/>
    <s v="Bulk Storage"/>
    <s v="Near"/>
    <n v="13"/>
    <s v="Saturday"/>
    <m/>
    <n v="2.75"/>
  </r>
  <r>
    <x v="140"/>
    <x v="31"/>
    <x v="25"/>
    <s v="D"/>
    <s v="I0040"/>
    <d v="2026-09-04T15:26:00"/>
    <d v="2026-09-04T15:37:00"/>
    <n v="7"/>
    <n v="11"/>
    <b v="0"/>
    <b v="0"/>
    <b v="0"/>
    <n v="12"/>
    <s v="Normal"/>
    <d v="2026-09-04T12:31:00"/>
    <b v="0"/>
    <s v="Unknown"/>
    <x v="1"/>
    <s v="Standard"/>
    <s v="Night"/>
    <s v="Experienced"/>
    <s v="Fragile"/>
    <s v="Unknown"/>
    <n v="12"/>
    <s v="Friday"/>
    <s v="Large (11-20)"/>
    <n v="1.571428571428571"/>
  </r>
  <r>
    <x v="141"/>
    <x v="69"/>
    <x v="25"/>
    <s v="G"/>
    <s v="I0029"/>
    <d v="2026-09-03T16:29:00"/>
    <d v="2026-09-03T16:40:00"/>
    <n v="4"/>
    <n v="11"/>
    <b v="0"/>
    <b v="0"/>
    <b v="0"/>
    <n v="20"/>
    <s v="Normal"/>
    <d v="2026-09-03T14:59:00"/>
    <b v="0"/>
    <s v="Small Parts"/>
    <x v="1"/>
    <s v="Standard"/>
    <s v="Night"/>
    <s v="Experienced"/>
    <s v="Cold Storage"/>
    <s v="Far"/>
    <n v="14"/>
    <s v="Thursday"/>
    <s v="Large (11-20)"/>
    <n v="2.75"/>
  </r>
  <r>
    <x v="142"/>
    <x v="101"/>
    <x v="10"/>
    <s v="B"/>
    <s v="I0054"/>
    <d v="2026-09-04T09:34:00"/>
    <d v="2026-09-04T09:45:00"/>
    <n v="5"/>
    <n v="11"/>
    <b v="0"/>
    <b v="0"/>
    <b v="0"/>
    <n v="12"/>
    <s v="High"/>
    <d v="2026-09-04T06:58:00"/>
    <b v="0"/>
    <s v="Small Parts"/>
    <x v="0"/>
    <s v="Bulk"/>
    <s v="Night"/>
    <s v="Unknown"/>
    <s v="Bulk Storage"/>
    <s v="Far"/>
    <n v="6"/>
    <s v="Friday"/>
    <s v="Large (11-20)"/>
    <n v="2.2"/>
  </r>
  <r>
    <x v="143"/>
    <x v="102"/>
    <x v="28"/>
    <s v="G"/>
    <s v="I0012"/>
    <d v="2026-09-22T01:03:00"/>
    <d v="2026-09-22T01:14:00"/>
    <n v="3"/>
    <n v="11"/>
    <b v="0"/>
    <b v="0"/>
    <b v="0"/>
    <n v="1"/>
    <s v="Normal"/>
    <d v="2026-09-21T22:09:00"/>
    <b v="0"/>
    <s v="Unknown"/>
    <x v="2"/>
    <s v="Bulk"/>
    <s v="Night"/>
    <s v="Experienced"/>
    <s v="Cold Storage"/>
    <s v="Far"/>
    <n v="22"/>
    <s v="Monday"/>
    <s v="Small (1-5)"/>
    <n v="3.666666666666667"/>
  </r>
  <r>
    <x v="144"/>
    <x v="39"/>
    <x v="7"/>
    <s v="B"/>
    <s v="I0024"/>
    <d v="2026-09-12T02:57:00"/>
    <d v="2026-09-12T03:08:00"/>
    <n v="3"/>
    <n v="11"/>
    <b v="0"/>
    <b v="0"/>
    <b v="0"/>
    <n v="5"/>
    <s v="High"/>
    <d v="2026-09-12T02:33:00"/>
    <b v="0"/>
    <s v="Fragile Goods"/>
    <x v="0"/>
    <s v="Fragile"/>
    <s v="Morning"/>
    <s v="Beginner"/>
    <s v="Bulk Storage"/>
    <s v="Far"/>
    <n v="2"/>
    <s v="Saturday"/>
    <s v="Small (1-5)"/>
    <n v="3.666666666666667"/>
  </r>
  <r>
    <x v="145"/>
    <x v="103"/>
    <x v="22"/>
    <s v="G"/>
    <s v="I0018"/>
    <d v="2026-09-19T23:44:00"/>
    <d v="2026-09-19T23:55:00"/>
    <n v="7"/>
    <n v="11"/>
    <b v="0"/>
    <b v="0"/>
    <b v="0"/>
    <n v="10"/>
    <s v="Normal"/>
    <d v="2026-09-19T22:42:00"/>
    <b v="0"/>
    <s v="Bulk Materials"/>
    <x v="0"/>
    <s v="Bulk"/>
    <s v="Unknown"/>
    <s v="Unknown"/>
    <s v="Cold Storage"/>
    <s v="Far"/>
    <n v="22"/>
    <s v="Saturday"/>
    <s v="Medium (6-10)"/>
    <n v="1.571428571428571"/>
  </r>
  <r>
    <x v="146"/>
    <x v="104"/>
    <x v="2"/>
    <s v="F"/>
    <s v="I0012"/>
    <d v="2026-09-08T17:08:00"/>
    <d v="2026-09-08T17:19:00"/>
    <n v="6"/>
    <n v="11"/>
    <b v="0"/>
    <b v="0"/>
    <b v="0"/>
    <n v="5"/>
    <s v="Normal"/>
    <d v="2026-09-08T15:44:00"/>
    <b v="0"/>
    <s v="Unknown"/>
    <x v="2"/>
    <s v="Bulk"/>
    <s v="Evening"/>
    <s v="Beginner"/>
    <s v="Bulk Storage"/>
    <s v="Near"/>
    <n v="15"/>
    <s v="Tuesday"/>
    <s v="Small (1-5)"/>
    <n v="1.833333333333333"/>
  </r>
  <r>
    <x v="147"/>
    <x v="105"/>
    <x v="13"/>
    <s v="C"/>
    <s v="I0050"/>
    <d v="2026-09-07T15:01:00"/>
    <d v="2026-09-07T15:12:00"/>
    <n v="7"/>
    <n v="11"/>
    <b v="0"/>
    <b v="0"/>
    <b v="0"/>
    <n v="10"/>
    <s v="Low"/>
    <d v="2026-09-07T13:56:00"/>
    <b v="0"/>
    <s v="Home Goods"/>
    <x v="1"/>
    <s v="Bulk"/>
    <s v="Night"/>
    <s v="Intermediate"/>
    <s v="Small Parts"/>
    <s v="Medium"/>
    <n v="13"/>
    <s v="Monday"/>
    <s v="Medium (6-10)"/>
    <n v="1.571428571428571"/>
  </r>
  <r>
    <x v="148"/>
    <x v="81"/>
    <x v="27"/>
    <s v="B"/>
    <s v="I0050"/>
    <d v="2026-09-04T18:01:00"/>
    <d v="2026-09-04T18:12:00"/>
    <n v="5"/>
    <n v="11"/>
    <b v="0"/>
    <b v="0"/>
    <b v="0"/>
    <n v="8"/>
    <s v="Urgent"/>
    <d v="2026-09-04T17:27:00"/>
    <b v="0"/>
    <s v="Home Goods"/>
    <x v="1"/>
    <s v="Bulk"/>
    <s v="Night"/>
    <s v="Experienced"/>
    <s v="Bulk Storage"/>
    <s v="Far"/>
    <n v="17"/>
    <s v="Friday"/>
    <s v="Medium (6-10)"/>
    <n v="2.2"/>
  </r>
  <r>
    <x v="149"/>
    <x v="24"/>
    <x v="3"/>
    <s v="F"/>
    <s v="I0020"/>
    <d v="2026-09-22T22:39:00"/>
    <d v="2026-09-22T22:50:00"/>
    <n v="4"/>
    <n v="11"/>
    <b v="0"/>
    <b v="0"/>
    <b v="0"/>
    <n v="20"/>
    <s v="High"/>
    <d v="2026-09-22T21:17:00"/>
    <b v="0"/>
    <s v="Apparel"/>
    <x v="0"/>
    <s v="Bulk"/>
    <s v="Night"/>
    <s v="Beginner"/>
    <s v="Bulk Storage"/>
    <s v="Near"/>
    <n v="21"/>
    <s v="Tuesday"/>
    <s v="Large (11-20)"/>
    <n v="2.75"/>
  </r>
  <r>
    <x v="150"/>
    <x v="105"/>
    <x v="1"/>
    <s v="F"/>
    <s v="I0026"/>
    <d v="2026-09-07T14:14:00"/>
    <d v="2026-09-07T14:25:00"/>
    <n v="4"/>
    <n v="11"/>
    <b v="0"/>
    <b v="0"/>
    <b v="0"/>
    <n v="10"/>
    <s v="Low"/>
    <d v="2026-09-07T13:56:00"/>
    <b v="0"/>
    <s v="Bulk Materials"/>
    <x v="0"/>
    <s v="Climate-Controlled"/>
    <s v="Night"/>
    <s v="Beginner"/>
    <s v="Bulk Storage"/>
    <s v="Near"/>
    <n v="13"/>
    <s v="Monday"/>
    <s v="Medium (6-10)"/>
    <n v="2.75"/>
  </r>
  <r>
    <x v="151"/>
    <x v="106"/>
    <x v="14"/>
    <s v="G"/>
    <s v="I0077"/>
    <d v="2026-09-25T19:27:00"/>
    <d v="2026-09-25T19:38:00"/>
    <n v="7"/>
    <n v="11"/>
    <b v="0"/>
    <b v="0"/>
    <b v="0"/>
    <n v="20"/>
    <s v="Normal"/>
    <d v="2026-09-25T19:21:00"/>
    <b v="0"/>
    <s v="Bulk Materials"/>
    <x v="0"/>
    <s v="Unknown"/>
    <s v="Night"/>
    <s v="Unknown"/>
    <s v="Cold Storage"/>
    <s v="Far"/>
    <n v="19"/>
    <s v="Friday"/>
    <s v="Large (11-20)"/>
    <n v="1.571428571428571"/>
  </r>
  <r>
    <x v="152"/>
    <x v="52"/>
    <x v="10"/>
    <s v="D"/>
    <s v="I0010"/>
    <d v="2026-09-17T07:46:00"/>
    <d v="2026-09-17T07:57:00"/>
    <n v="3"/>
    <n v="11"/>
    <b v="0"/>
    <b v="0"/>
    <b v="0"/>
    <n v="20"/>
    <s v="Low"/>
    <d v="2026-09-17T05:14:00"/>
    <b v="0"/>
    <s v="Fragile Goods"/>
    <x v="1"/>
    <s v="Standard"/>
    <s v="Night"/>
    <s v="Unknown"/>
    <s v="Fragile"/>
    <s v="Unknown"/>
    <n v="5"/>
    <s v="Thursday"/>
    <s v="Large (11-20)"/>
    <n v="3.666666666666667"/>
  </r>
  <r>
    <x v="153"/>
    <x v="107"/>
    <x v="29"/>
    <s v="G"/>
    <s v="I0025"/>
    <d v="2026-09-23T07:26:00"/>
    <d v="2026-09-23T07:37:00"/>
    <n v="7"/>
    <n v="11"/>
    <b v="0"/>
    <b v="0"/>
    <b v="0"/>
    <n v="5"/>
    <s v="Normal"/>
    <d v="2026-09-23T06:18:00"/>
    <b v="0"/>
    <s v="Home Goods"/>
    <x v="0"/>
    <s v="Fragile"/>
    <s v="Morning"/>
    <s v="Experienced"/>
    <s v="Cold Storage"/>
    <s v="Far"/>
    <n v="6"/>
    <s v="Wednesday"/>
    <s v="Small (1-5)"/>
    <n v="1.571428571428571"/>
  </r>
  <r>
    <x v="154"/>
    <x v="108"/>
    <x v="11"/>
    <s v="D"/>
    <s v="I0009"/>
    <d v="2026-09-05T02:56:00"/>
    <d v="2026-09-05T03:07:00"/>
    <n v="6"/>
    <n v="11"/>
    <b v="0"/>
    <b v="0"/>
    <b v="0"/>
    <m/>
    <s v="Normal"/>
    <d v="2026-09-05T00:52:00"/>
    <b v="1"/>
    <s v="Bulk Materials"/>
    <x v="0"/>
    <s v="Fragile"/>
    <s v="Night"/>
    <s v="Intermediate"/>
    <s v="Fragile"/>
    <s v="Unknown"/>
    <n v="0"/>
    <s v="Saturday"/>
    <m/>
    <n v="1.833333333333333"/>
  </r>
  <r>
    <x v="155"/>
    <x v="109"/>
    <x v="2"/>
    <s v="B"/>
    <s v="I0004"/>
    <d v="2026-09-05T14:16:00"/>
    <d v="2026-09-05T14:27:00"/>
    <n v="3"/>
    <n v="11"/>
    <b v="0"/>
    <b v="0"/>
    <b v="0"/>
    <n v="4"/>
    <s v="Normal"/>
    <d v="2026-09-05T11:17:00"/>
    <b v="0"/>
    <s v="Electronics"/>
    <x v="0"/>
    <s v="Standard"/>
    <s v="Evening"/>
    <s v="Beginner"/>
    <s v="Bulk Storage"/>
    <s v="Far"/>
    <n v="11"/>
    <s v="Saturday"/>
    <s v="Small (1-5)"/>
    <n v="3.666666666666667"/>
  </r>
  <r>
    <x v="156"/>
    <x v="110"/>
    <x v="11"/>
    <s v="A"/>
    <s v="I0052"/>
    <d v="2026-09-24T10:11:00"/>
    <d v="2026-09-24T10:22:00"/>
    <n v="7"/>
    <n v="11"/>
    <b v="0"/>
    <b v="0"/>
    <b v="0"/>
    <n v="6"/>
    <s v="Normal"/>
    <d v="2026-09-24T08:20:00"/>
    <b v="0"/>
    <s v="Bulk Materials"/>
    <x v="3"/>
    <s v="Bulk"/>
    <s v="Night"/>
    <s v="Intermediate"/>
    <s v="Fast-Moving"/>
    <s v="Near"/>
    <n v="8"/>
    <s v="Thursday"/>
    <s v="Medium (6-10)"/>
    <n v="1.571428571428571"/>
  </r>
  <r>
    <x v="157"/>
    <x v="110"/>
    <x v="0"/>
    <s v="D"/>
    <s v="I0014"/>
    <d v="2026-09-24T09:01:00"/>
    <d v="2026-09-24T09:12:00"/>
    <n v="1"/>
    <n v="11"/>
    <b v="0"/>
    <b v="0"/>
    <b v="0"/>
    <n v="6"/>
    <s v="Normal"/>
    <d v="2026-09-24T08:20:00"/>
    <b v="0"/>
    <s v="Unknown"/>
    <x v="1"/>
    <s v="Standard"/>
    <s v="Night"/>
    <s v="Beginner"/>
    <s v="Fragile"/>
    <s v="Unknown"/>
    <n v="8"/>
    <s v="Thursday"/>
    <s v="Medium (6-10)"/>
    <n v="11"/>
  </r>
  <r>
    <x v="158"/>
    <x v="29"/>
    <x v="20"/>
    <s v="B"/>
    <s v="I0025"/>
    <d v="2026-09-04T13:27:00"/>
    <d v="2026-09-04T13:38:00"/>
    <n v="6"/>
    <n v="11"/>
    <b v="0"/>
    <b v="0"/>
    <b v="0"/>
    <n v="10"/>
    <s v="Urgent"/>
    <d v="2026-09-04T11:45:00"/>
    <b v="0"/>
    <s v="Home Goods"/>
    <x v="0"/>
    <s v="Fragile"/>
    <s v="Night"/>
    <s v="Unknown"/>
    <s v="Bulk Storage"/>
    <s v="Far"/>
    <n v="11"/>
    <s v="Friday"/>
    <s v="Medium (6-10)"/>
    <n v="1.833333333333333"/>
  </r>
  <r>
    <x v="159"/>
    <x v="111"/>
    <x v="5"/>
    <s v="D"/>
    <s v="I0067"/>
    <d v="2026-09-29T01:25:00"/>
    <d v="2026-09-29T01:36:00"/>
    <n v="1"/>
    <n v="11"/>
    <b v="0"/>
    <b v="0"/>
    <b v="0"/>
    <n v="4"/>
    <s v="High"/>
    <d v="2026-09-28T23:34:00"/>
    <b v="0"/>
    <s v="Bulk Materials"/>
    <x v="0"/>
    <s v="Climate-Controlled"/>
    <s v="Unknown"/>
    <s v="Beginner"/>
    <s v="Fragile"/>
    <s v="Unknown"/>
    <n v="23"/>
    <s v="Monday"/>
    <s v="Small (1-5)"/>
    <n v="11"/>
  </r>
  <r>
    <x v="160"/>
    <x v="112"/>
    <x v="1"/>
    <s v="F"/>
    <s v="I0059"/>
    <d v="2026-09-16T02:10:00"/>
    <d v="2026-09-16T02:21:00"/>
    <n v="3"/>
    <n v="11"/>
    <b v="0"/>
    <b v="0"/>
    <b v="0"/>
    <n v="3"/>
    <s v="Normal"/>
    <d v="2026-09-16T00:07:00"/>
    <b v="0"/>
    <s v="Electronics"/>
    <x v="1"/>
    <s v="Bulk"/>
    <s v="Night"/>
    <s v="Beginner"/>
    <s v="Bulk Storage"/>
    <s v="Near"/>
    <n v="0"/>
    <s v="Wednesday"/>
    <s v="Small (1-5)"/>
    <n v="3.666666666666667"/>
  </r>
  <r>
    <x v="161"/>
    <x v="113"/>
    <x v="3"/>
    <s v="B"/>
    <s v="I0072"/>
    <d v="2026-09-09T13:37:00"/>
    <d v="2026-09-09T13:48:00"/>
    <n v="3"/>
    <n v="11"/>
    <b v="0"/>
    <b v="0"/>
    <b v="0"/>
    <n v="12"/>
    <s v="Low"/>
    <d v="2026-09-09T12:24:00"/>
    <b v="0"/>
    <s v="Electronics"/>
    <x v="1"/>
    <s v="Climate-Controlled"/>
    <s v="Night"/>
    <s v="Beginner"/>
    <s v="Bulk Storage"/>
    <s v="Far"/>
    <n v="12"/>
    <s v="Wednesday"/>
    <s v="Large (11-20)"/>
    <n v="3.666666666666667"/>
  </r>
  <r>
    <x v="162"/>
    <x v="114"/>
    <x v="9"/>
    <s v="G"/>
    <s v="I0070"/>
    <d v="2026-09-02T17:55:00"/>
    <d v="2026-09-02T18:06:00"/>
    <n v="5"/>
    <n v="11"/>
    <b v="0"/>
    <b v="0"/>
    <b v="0"/>
    <n v="10"/>
    <s v="Urgent"/>
    <d v="2026-09-02T17:25:00"/>
    <b v="0"/>
    <s v="Bulk Materials"/>
    <x v="0"/>
    <s v="Standard"/>
    <s v="Unknown"/>
    <s v="Intermediate"/>
    <s v="Cold Storage"/>
    <s v="Far"/>
    <n v="17"/>
    <s v="Wednesday"/>
    <s v="Medium (6-10)"/>
    <n v="2.2"/>
  </r>
  <r>
    <x v="163"/>
    <x v="59"/>
    <x v="2"/>
    <s v="D"/>
    <s v="I0043"/>
    <d v="2026-09-22T11:56:00"/>
    <d v="2026-09-22T12:07:00"/>
    <n v="3"/>
    <n v="11"/>
    <b v="0"/>
    <b v="0"/>
    <b v="0"/>
    <n v="10"/>
    <s v="Normal"/>
    <d v="2026-09-22T11:34:00"/>
    <b v="0"/>
    <s v="Small Parts"/>
    <x v="0"/>
    <s v="Fragile"/>
    <s v="Evening"/>
    <s v="Beginner"/>
    <s v="Fragile"/>
    <s v="Unknown"/>
    <n v="11"/>
    <s v="Tuesday"/>
    <s v="Medium (6-10)"/>
    <n v="3.666666666666667"/>
  </r>
  <r>
    <x v="164"/>
    <x v="115"/>
    <x v="14"/>
    <s v="D"/>
    <s v="I0037"/>
    <d v="2026-09-01T13:20:00"/>
    <d v="2026-09-01T13:31:00"/>
    <n v="3"/>
    <n v="11"/>
    <b v="0"/>
    <b v="0"/>
    <b v="0"/>
    <n v="20"/>
    <s v="High"/>
    <d v="2026-09-01T11:00:00"/>
    <b v="0"/>
    <s v="Electronics"/>
    <x v="1"/>
    <s v="Climate-Controlled"/>
    <s v="Night"/>
    <s v="Unknown"/>
    <s v="Fragile"/>
    <s v="Unknown"/>
    <n v="11"/>
    <s v="Tuesday"/>
    <s v="Large (11-20)"/>
    <n v="3.666666666666667"/>
  </r>
  <r>
    <x v="165"/>
    <x v="106"/>
    <x v="5"/>
    <s v="B"/>
    <s v="I0007"/>
    <d v="2026-09-25T21:55:00"/>
    <d v="2026-09-25T22:06:00"/>
    <n v="4"/>
    <n v="11"/>
    <b v="0"/>
    <b v="0"/>
    <b v="0"/>
    <n v="20"/>
    <s v="Normal"/>
    <d v="2026-09-25T19:21:00"/>
    <b v="0"/>
    <s v="Small Parts"/>
    <x v="1"/>
    <s v="Fragile"/>
    <s v="Unknown"/>
    <s v="Beginner"/>
    <s v="Bulk Storage"/>
    <s v="Far"/>
    <n v="19"/>
    <s v="Friday"/>
    <s v="Large (11-20)"/>
    <n v="2.75"/>
  </r>
  <r>
    <x v="166"/>
    <x v="116"/>
    <x v="10"/>
    <s v="C"/>
    <s v="I0072"/>
    <d v="2026-09-12T11:36:00"/>
    <d v="2026-09-12T11:47:00"/>
    <n v="7"/>
    <n v="11"/>
    <b v="0"/>
    <b v="0"/>
    <b v="0"/>
    <n v="6"/>
    <s v="Normal"/>
    <d v="2026-09-12T08:40:00"/>
    <b v="0"/>
    <s v="Electronics"/>
    <x v="1"/>
    <s v="Climate-Controlled"/>
    <s v="Night"/>
    <s v="Unknown"/>
    <s v="Small Parts"/>
    <s v="Medium"/>
    <n v="8"/>
    <s v="Saturday"/>
    <s v="Medium (6-10)"/>
    <n v="1.571428571428571"/>
  </r>
  <r>
    <x v="167"/>
    <x v="117"/>
    <x v="17"/>
    <s v="D"/>
    <s v="I0014"/>
    <d v="2026-09-28T03:38:00"/>
    <d v="2026-09-28T03:49:00"/>
    <n v="6"/>
    <n v="11"/>
    <b v="0"/>
    <b v="0"/>
    <b v="0"/>
    <n v="2"/>
    <s v="High"/>
    <d v="2026-09-28T01:06:00"/>
    <b v="0"/>
    <s v="Unknown"/>
    <x v="1"/>
    <s v="Standard"/>
    <s v="Night"/>
    <s v="Intermediate"/>
    <s v="Fragile"/>
    <s v="Unknown"/>
    <n v="1"/>
    <s v="Monday"/>
    <s v="Small (1-5)"/>
    <n v="1.833333333333333"/>
  </r>
  <r>
    <x v="168"/>
    <x v="36"/>
    <x v="2"/>
    <s v="D"/>
    <s v="I0065"/>
    <d v="2026-09-08T12:21:00"/>
    <d v="2026-09-08T12:32:00"/>
    <n v="7"/>
    <n v="11"/>
    <b v="0"/>
    <b v="0"/>
    <b v="0"/>
    <n v="8"/>
    <s v="Normal"/>
    <d v="2026-09-08T10:31:00"/>
    <b v="0"/>
    <s v="Small Parts"/>
    <x v="1"/>
    <s v="Fragile"/>
    <s v="Evening"/>
    <s v="Beginner"/>
    <s v="Fragile"/>
    <s v="Unknown"/>
    <n v="10"/>
    <s v="Tuesday"/>
    <s v="Medium (6-10)"/>
    <n v="1.571428571428571"/>
  </r>
  <r>
    <x v="169"/>
    <x v="118"/>
    <x v="30"/>
    <s v="G"/>
    <s v="I0025"/>
    <d v="2026-09-12T05:38:00"/>
    <d v="2026-09-12T05:49:00"/>
    <n v="6"/>
    <n v="11"/>
    <b v="0"/>
    <b v="0"/>
    <b v="0"/>
    <n v="8"/>
    <s v="High"/>
    <d v="2026-09-12T04:59:00"/>
    <b v="0"/>
    <s v="Home Goods"/>
    <x v="0"/>
    <s v="Fragile"/>
    <s v="Night"/>
    <s v="Experienced"/>
    <s v="Cold Storage"/>
    <s v="Far"/>
    <n v="4"/>
    <s v="Saturday"/>
    <s v="Medium (6-10)"/>
    <n v="1.833333333333333"/>
  </r>
  <r>
    <x v="170"/>
    <x v="119"/>
    <x v="6"/>
    <s v="G"/>
    <s v="I0031"/>
    <d v="2026-09-03T23:51:00"/>
    <d v="2026-09-04T00:02:00"/>
    <n v="1"/>
    <n v="11"/>
    <b v="0"/>
    <b v="0"/>
    <b v="0"/>
    <n v="4"/>
    <s v="High"/>
    <d v="2026-09-03T21:28:00"/>
    <b v="0"/>
    <s v="Unknown"/>
    <x v="2"/>
    <s v="Fragile"/>
    <s v="Night"/>
    <s v="Intermediate"/>
    <s v="Cold Storage"/>
    <s v="Far"/>
    <n v="21"/>
    <s v="Thursday"/>
    <s v="Small (1-5)"/>
    <n v="11"/>
  </r>
  <r>
    <x v="171"/>
    <x v="120"/>
    <x v="1"/>
    <s v="D"/>
    <s v="I0041"/>
    <d v="2026-09-12T10:02:00"/>
    <d v="2026-09-12T10:13:00"/>
    <n v="2"/>
    <n v="11"/>
    <b v="0"/>
    <b v="0"/>
    <b v="0"/>
    <n v="6"/>
    <s v="High"/>
    <d v="2026-09-12T09:08:00"/>
    <b v="0"/>
    <s v="Bulk Materials"/>
    <x v="2"/>
    <s v="Bulk"/>
    <s v="Night"/>
    <s v="Beginner"/>
    <s v="Fragile"/>
    <s v="Unknown"/>
    <n v="9"/>
    <s v="Saturday"/>
    <s v="Medium (6-10)"/>
    <n v="5.5"/>
  </r>
  <r>
    <x v="172"/>
    <x v="121"/>
    <x v="29"/>
    <s v="G"/>
    <s v="I0066"/>
    <d v="2026-09-26T08:17:00"/>
    <d v="2026-09-26T08:28:00"/>
    <n v="6"/>
    <n v="11"/>
    <b v="0"/>
    <b v="0"/>
    <b v="0"/>
    <n v="8"/>
    <s v="Normal"/>
    <d v="2026-09-26T07:22:00"/>
    <b v="0"/>
    <s v="Bulk Materials"/>
    <x v="2"/>
    <s v="Bulk"/>
    <s v="Morning"/>
    <s v="Experienced"/>
    <s v="Cold Storage"/>
    <s v="Far"/>
    <n v="7"/>
    <s v="Saturday"/>
    <s v="Medium (6-10)"/>
    <n v="1.833333333333333"/>
  </r>
  <r>
    <x v="173"/>
    <x v="101"/>
    <x v="1"/>
    <s v="B"/>
    <s v="I0072"/>
    <d v="2026-09-04T09:23:00"/>
    <d v="2026-09-04T09:34:00"/>
    <n v="3"/>
    <n v="11"/>
    <b v="0"/>
    <b v="0"/>
    <b v="0"/>
    <n v="12"/>
    <s v="High"/>
    <d v="2026-09-04T06:58:00"/>
    <b v="0"/>
    <s v="Electronics"/>
    <x v="1"/>
    <s v="Climate-Controlled"/>
    <s v="Night"/>
    <s v="Beginner"/>
    <s v="Bulk Storage"/>
    <s v="Far"/>
    <n v="6"/>
    <s v="Friday"/>
    <s v="Large (11-20)"/>
    <n v="3.666666666666667"/>
  </r>
  <r>
    <x v="174"/>
    <x v="122"/>
    <x v="25"/>
    <s v="D"/>
    <s v="I0067"/>
    <d v="2026-09-21T23:51:00"/>
    <d v="2026-09-22T00:01:00"/>
    <n v="6"/>
    <n v="10"/>
    <b v="0"/>
    <b v="0"/>
    <b v="0"/>
    <n v="8"/>
    <s v="Normal"/>
    <d v="2026-09-21T21:12:00"/>
    <b v="0"/>
    <s v="Bulk Materials"/>
    <x v="0"/>
    <s v="Climate-Controlled"/>
    <s v="Night"/>
    <s v="Experienced"/>
    <s v="Fragile"/>
    <s v="Unknown"/>
    <n v="21"/>
    <s v="Monday"/>
    <s v="Medium (6-10)"/>
    <n v="1.666666666666667"/>
  </r>
  <r>
    <x v="175"/>
    <x v="123"/>
    <x v="23"/>
    <s v="G"/>
    <s v="I0026"/>
    <d v="2026-09-20T00:30:00"/>
    <d v="2026-09-20T00:40:00"/>
    <n v="2"/>
    <n v="10"/>
    <b v="0"/>
    <b v="0"/>
    <b v="0"/>
    <n v="8"/>
    <s v="Low"/>
    <d v="2026-09-19T22:46:00"/>
    <b v="0"/>
    <s v="Bulk Materials"/>
    <x v="0"/>
    <s v="Climate-Controlled"/>
    <s v="Evening"/>
    <s v="Intermediate"/>
    <s v="Cold Storage"/>
    <s v="Far"/>
    <n v="22"/>
    <s v="Saturday"/>
    <s v="Medium (6-10)"/>
    <n v="5"/>
  </r>
  <r>
    <x v="176"/>
    <x v="85"/>
    <x v="14"/>
    <s v="C"/>
    <s v="I0067"/>
    <d v="2026-09-23T19:00:00"/>
    <d v="2026-09-23T19:10:00"/>
    <n v="5"/>
    <n v="10"/>
    <b v="0"/>
    <b v="0"/>
    <b v="0"/>
    <n v="5"/>
    <s v="Normal"/>
    <d v="2026-09-23T16:26:00"/>
    <b v="0"/>
    <s v="Bulk Materials"/>
    <x v="0"/>
    <s v="Climate-Controlled"/>
    <s v="Night"/>
    <s v="Unknown"/>
    <s v="Small Parts"/>
    <s v="Medium"/>
    <n v="16"/>
    <s v="Wednesday"/>
    <s v="Small (1-5)"/>
    <n v="2"/>
  </r>
  <r>
    <x v="177"/>
    <x v="84"/>
    <x v="24"/>
    <s v="G"/>
    <s v="I0004"/>
    <d v="2026-09-03T03:04:00"/>
    <d v="2026-09-03T03:14:00"/>
    <n v="7"/>
    <n v="10"/>
    <b v="0"/>
    <b v="0"/>
    <b v="0"/>
    <n v="15"/>
    <s v="Normal"/>
    <d v="2026-09-03T02:35:00"/>
    <b v="0"/>
    <s v="Electronics"/>
    <x v="0"/>
    <s v="Standard"/>
    <s v="Night"/>
    <s v="Experienced"/>
    <s v="Cold Storage"/>
    <s v="Far"/>
    <n v="2"/>
    <s v="Thursday"/>
    <s v="Large (11-20)"/>
    <n v="1.428571428571429"/>
  </r>
  <r>
    <x v="178"/>
    <x v="10"/>
    <x v="6"/>
    <s v="D"/>
    <s v="I0078"/>
    <d v="2026-09-08T12:00:00"/>
    <d v="2026-09-08T12:10:00"/>
    <n v="1"/>
    <n v="10"/>
    <b v="0"/>
    <b v="0"/>
    <b v="0"/>
    <n v="10"/>
    <s v="Low"/>
    <d v="2026-09-08T11:10:00"/>
    <b v="0"/>
    <s v="Apparel"/>
    <x v="1"/>
    <s v="Climate-Controlled"/>
    <s v="Night"/>
    <s v="Intermediate"/>
    <s v="Fragile"/>
    <s v="Unknown"/>
    <n v="11"/>
    <s v="Tuesday"/>
    <s v="Medium (6-10)"/>
    <n v="10"/>
  </r>
  <r>
    <x v="179"/>
    <x v="10"/>
    <x v="15"/>
    <s v="G"/>
    <s v="I0003"/>
    <d v="2026-09-08T13:10:00"/>
    <d v="2026-09-08T13:20:00"/>
    <n v="4"/>
    <n v="10"/>
    <b v="0"/>
    <b v="0"/>
    <b v="0"/>
    <n v="10"/>
    <s v="Low"/>
    <d v="2026-09-08T11:10:00"/>
    <b v="0"/>
    <s v="Unknown"/>
    <x v="0"/>
    <s v="Climate-Controlled"/>
    <s v="Morning"/>
    <s v="Unknown"/>
    <s v="Cold Storage"/>
    <s v="Far"/>
    <n v="11"/>
    <s v="Tuesday"/>
    <s v="Medium (6-10)"/>
    <n v="2.5"/>
  </r>
  <r>
    <x v="180"/>
    <x v="124"/>
    <x v="23"/>
    <s v="G"/>
    <s v="I0002"/>
    <d v="2026-09-16T06:28:00"/>
    <d v="2026-09-16T06:38:00"/>
    <n v="7"/>
    <n v="10"/>
    <b v="0"/>
    <b v="0"/>
    <b v="0"/>
    <n v="4"/>
    <s v="Normal"/>
    <d v="2026-09-16T06:10:00"/>
    <b v="0"/>
    <s v="Small Parts"/>
    <x v="0"/>
    <s v="Fragile"/>
    <s v="Evening"/>
    <s v="Intermediate"/>
    <s v="Cold Storage"/>
    <s v="Far"/>
    <n v="6"/>
    <s v="Wednesday"/>
    <s v="Small (1-5)"/>
    <n v="1.428571428571429"/>
  </r>
  <r>
    <x v="181"/>
    <x v="79"/>
    <x v="24"/>
    <s v="G"/>
    <s v="I0035"/>
    <d v="2026-09-25T01:05:00"/>
    <d v="2026-09-25T01:15:00"/>
    <n v="6"/>
    <n v="10"/>
    <b v="0"/>
    <b v="0"/>
    <b v="0"/>
    <n v="15"/>
    <s v="Urgent"/>
    <d v="2026-09-24T23:31:00"/>
    <b v="0"/>
    <s v="Unknown"/>
    <x v="1"/>
    <s v="Fragile"/>
    <s v="Night"/>
    <s v="Experienced"/>
    <s v="Cold Storage"/>
    <s v="Far"/>
    <n v="23"/>
    <s v="Thursday"/>
    <s v="Large (11-20)"/>
    <n v="1.666666666666667"/>
  </r>
  <r>
    <x v="182"/>
    <x v="125"/>
    <x v="4"/>
    <s v="G"/>
    <s v="I0055"/>
    <d v="2026-09-02T22:48:00"/>
    <d v="2026-09-02T22:58:00"/>
    <n v="2"/>
    <n v="10"/>
    <b v="0"/>
    <b v="0"/>
    <b v="0"/>
    <n v="6"/>
    <s v="High"/>
    <d v="2026-09-02T20:57:00"/>
    <b v="0"/>
    <s v="Fragile Goods"/>
    <x v="1"/>
    <s v="Climate-Controlled"/>
    <s v="Night"/>
    <s v="Unknown"/>
    <s v="Cold Storage"/>
    <s v="Far"/>
    <n v="20"/>
    <s v="Wednesday"/>
    <s v="Medium (6-10)"/>
    <n v="5"/>
  </r>
  <r>
    <x v="183"/>
    <x v="76"/>
    <x v="31"/>
    <s v="G"/>
    <s v="I0003"/>
    <d v="2026-09-25T10:47:00"/>
    <d v="2026-09-25T10:57:00"/>
    <n v="3"/>
    <n v="10"/>
    <b v="0"/>
    <b v="0"/>
    <b v="0"/>
    <n v="10"/>
    <s v="Normal"/>
    <d v="2026-09-25T08:13:00"/>
    <b v="0"/>
    <s v="Unknown"/>
    <x v="0"/>
    <s v="Climate-Controlled"/>
    <s v="Morning"/>
    <s v="Experienced"/>
    <s v="Cold Storage"/>
    <s v="Far"/>
    <n v="8"/>
    <s v="Friday"/>
    <s v="Medium (6-10)"/>
    <n v="3.333333333333333"/>
  </r>
  <r>
    <x v="184"/>
    <x v="126"/>
    <x v="2"/>
    <s v="F"/>
    <s v="I0018"/>
    <d v="2026-09-09T06:57:00"/>
    <d v="2026-09-09T07:07:00"/>
    <n v="3"/>
    <n v="10"/>
    <b v="0"/>
    <b v="0"/>
    <b v="0"/>
    <n v="4"/>
    <s v="Normal"/>
    <d v="2026-09-09T05:01:00"/>
    <b v="0"/>
    <s v="Bulk Materials"/>
    <x v="0"/>
    <s v="Bulk"/>
    <s v="Evening"/>
    <s v="Beginner"/>
    <s v="Bulk Storage"/>
    <s v="Near"/>
    <n v="5"/>
    <s v="Wednesday"/>
    <s v="Small (1-5)"/>
    <n v="3.333333333333333"/>
  </r>
  <r>
    <x v="185"/>
    <x v="127"/>
    <x v="3"/>
    <s v="B"/>
    <s v="I0067"/>
    <d v="2026-09-25T12:38:00"/>
    <d v="2026-09-25T12:48:00"/>
    <n v="3"/>
    <n v="10"/>
    <b v="0"/>
    <b v="0"/>
    <b v="0"/>
    <n v="4"/>
    <s v="Low"/>
    <d v="2026-09-25T10:16:00"/>
    <b v="0"/>
    <s v="Bulk Materials"/>
    <x v="0"/>
    <s v="Climate-Controlled"/>
    <s v="Night"/>
    <s v="Beginner"/>
    <s v="Bulk Storage"/>
    <s v="Far"/>
    <n v="10"/>
    <s v="Friday"/>
    <s v="Small (1-5)"/>
    <n v="3.333333333333333"/>
  </r>
  <r>
    <x v="186"/>
    <x v="128"/>
    <x v="3"/>
    <s v="C"/>
    <s v="I0030"/>
    <d v="2026-09-19T14:11:00"/>
    <d v="2026-09-19T14:21:00"/>
    <n v="5"/>
    <n v="10"/>
    <b v="0"/>
    <b v="0"/>
    <b v="0"/>
    <n v="1"/>
    <s v="Normal"/>
    <d v="2026-09-19T13:27:00"/>
    <b v="0"/>
    <s v="Electronics"/>
    <x v="0"/>
    <s v="Fragile"/>
    <s v="Night"/>
    <s v="Beginner"/>
    <s v="Small Parts"/>
    <s v="Medium"/>
    <n v="13"/>
    <s v="Saturday"/>
    <s v="Small (1-5)"/>
    <n v="2"/>
  </r>
  <r>
    <x v="187"/>
    <x v="35"/>
    <x v="16"/>
    <s v="G"/>
    <s v="I0029"/>
    <d v="2026-09-06T05:27:00"/>
    <d v="2026-09-06T05:37:00"/>
    <n v="2"/>
    <n v="10"/>
    <b v="0"/>
    <b v="0"/>
    <b v="0"/>
    <n v="5"/>
    <s v="Low"/>
    <d v="2026-09-06T02:34:00"/>
    <b v="0"/>
    <s v="Small Parts"/>
    <x v="1"/>
    <s v="Standard"/>
    <s v="Night"/>
    <s v="Intermediate"/>
    <s v="Cold Storage"/>
    <s v="Far"/>
    <n v="2"/>
    <s v="Sunday"/>
    <s v="Small (1-5)"/>
    <n v="5"/>
  </r>
  <r>
    <x v="188"/>
    <x v="5"/>
    <x v="13"/>
    <s v="G"/>
    <s v="I0037"/>
    <d v="2026-09-15T06:47:00"/>
    <d v="2026-09-15T06:57:00"/>
    <n v="6"/>
    <n v="10"/>
    <b v="0"/>
    <b v="0"/>
    <b v="0"/>
    <n v="10"/>
    <s v="Urgent"/>
    <d v="2026-09-15T05:21:00"/>
    <b v="0"/>
    <s v="Electronics"/>
    <x v="1"/>
    <s v="Climate-Controlled"/>
    <s v="Night"/>
    <s v="Intermediate"/>
    <s v="Cold Storage"/>
    <s v="Far"/>
    <n v="5"/>
    <s v="Tuesday"/>
    <s v="Medium (6-10)"/>
    <n v="1.666666666666667"/>
  </r>
  <r>
    <x v="189"/>
    <x v="129"/>
    <x v="14"/>
    <s v="D"/>
    <s v="I0032"/>
    <d v="2026-09-13T00:43:00"/>
    <d v="2026-09-13T00:53:00"/>
    <n v="4"/>
    <n v="10"/>
    <b v="0"/>
    <b v="0"/>
    <b v="0"/>
    <n v="5"/>
    <s v="Low"/>
    <d v="2026-09-12T23:44:00"/>
    <b v="0"/>
    <s v="Bulk Materials"/>
    <x v="2"/>
    <s v="Standard"/>
    <s v="Night"/>
    <s v="Unknown"/>
    <s v="Fragile"/>
    <s v="Unknown"/>
    <n v="23"/>
    <s v="Saturday"/>
    <s v="Small (1-5)"/>
    <n v="2.5"/>
  </r>
  <r>
    <x v="190"/>
    <x v="130"/>
    <x v="16"/>
    <s v="G"/>
    <s v="I0069"/>
    <d v="2026-09-11T20:54:00"/>
    <d v="2026-09-11T21:04:00"/>
    <n v="3"/>
    <n v="10"/>
    <b v="0"/>
    <b v="0"/>
    <b v="0"/>
    <n v="12"/>
    <s v="Normal"/>
    <d v="2026-09-11T19:25:00"/>
    <b v="0"/>
    <s v="Electronics"/>
    <x v="2"/>
    <s v="Climate-Controlled"/>
    <s v="Night"/>
    <s v="Intermediate"/>
    <s v="Cold Storage"/>
    <s v="Far"/>
    <n v="19"/>
    <s v="Friday"/>
    <s v="Large (11-20)"/>
    <n v="3.333333333333333"/>
  </r>
  <r>
    <x v="191"/>
    <x v="126"/>
    <x v="12"/>
    <s v="B"/>
    <s v="I0038"/>
    <d v="2026-09-09T05:53:00"/>
    <d v="2026-09-09T06:03:00"/>
    <n v="5"/>
    <n v="10"/>
    <b v="0"/>
    <b v="0"/>
    <b v="0"/>
    <n v="4"/>
    <s v="Normal"/>
    <d v="2026-09-09T05:01:00"/>
    <b v="0"/>
    <s v="Small Parts"/>
    <x v="0"/>
    <s v="Unknown"/>
    <s v="Unknown"/>
    <s v="Intermediate"/>
    <s v="Bulk Storage"/>
    <s v="Far"/>
    <n v="5"/>
    <s v="Wednesday"/>
    <s v="Small (1-5)"/>
    <n v="2"/>
  </r>
  <r>
    <x v="192"/>
    <x v="21"/>
    <x v="30"/>
    <s v="B"/>
    <s v="I0045"/>
    <d v="2026-09-18T11:33:00"/>
    <d v="2026-09-18T11:43:00"/>
    <n v="7"/>
    <n v="10"/>
    <b v="0"/>
    <b v="0"/>
    <b v="0"/>
    <n v="6"/>
    <s v="Urgent"/>
    <d v="2026-09-18T11:01:00"/>
    <b v="0"/>
    <s v="Apparel"/>
    <x v="2"/>
    <s v="Climate-Controlled"/>
    <s v="Night"/>
    <s v="Experienced"/>
    <s v="Bulk Storage"/>
    <s v="Far"/>
    <n v="11"/>
    <s v="Friday"/>
    <s v="Medium (6-10)"/>
    <n v="1.428571428571429"/>
  </r>
  <r>
    <x v="193"/>
    <x v="66"/>
    <x v="12"/>
    <s v="B"/>
    <s v="I0035"/>
    <d v="2026-09-12T11:11:00"/>
    <d v="2026-09-12T11:21:00"/>
    <n v="2"/>
    <n v="10"/>
    <b v="0"/>
    <b v="0"/>
    <b v="0"/>
    <n v="6"/>
    <s v="Normal"/>
    <d v="2026-09-12T11:01:00"/>
    <b v="0"/>
    <s v="Unknown"/>
    <x v="1"/>
    <s v="Fragile"/>
    <s v="Unknown"/>
    <s v="Intermediate"/>
    <s v="Bulk Storage"/>
    <s v="Far"/>
    <n v="11"/>
    <s v="Saturday"/>
    <s v="Medium (6-10)"/>
    <n v="5"/>
  </r>
  <r>
    <x v="194"/>
    <x v="131"/>
    <x v="2"/>
    <s v="B"/>
    <s v="I0041"/>
    <d v="2026-09-13T11:10:00"/>
    <d v="2026-09-13T11:20:00"/>
    <n v="4"/>
    <n v="10"/>
    <b v="0"/>
    <b v="0"/>
    <b v="0"/>
    <n v="15"/>
    <s v="Urgent"/>
    <d v="2026-09-13T09:26:00"/>
    <b v="0"/>
    <s v="Bulk Materials"/>
    <x v="2"/>
    <s v="Bulk"/>
    <s v="Evening"/>
    <s v="Beginner"/>
    <s v="Bulk Storage"/>
    <s v="Far"/>
    <n v="9"/>
    <s v="Sunday"/>
    <s v="Large (11-20)"/>
    <n v="2.5"/>
  </r>
  <r>
    <x v="195"/>
    <x v="131"/>
    <x v="0"/>
    <s v="C"/>
    <s v="I0046"/>
    <d v="2026-09-13T10:22:00"/>
    <d v="2026-09-13T10:32:00"/>
    <n v="1"/>
    <n v="10"/>
    <b v="0"/>
    <b v="0"/>
    <b v="0"/>
    <n v="15"/>
    <s v="Urgent"/>
    <d v="2026-09-13T09:26:00"/>
    <b v="0"/>
    <s v="Small Parts"/>
    <x v="2"/>
    <s v="Standard"/>
    <s v="Night"/>
    <s v="Beginner"/>
    <s v="Small Parts"/>
    <s v="Medium"/>
    <n v="9"/>
    <s v="Sunday"/>
    <s v="Large (11-20)"/>
    <n v="10"/>
  </r>
  <r>
    <x v="196"/>
    <x v="132"/>
    <x v="21"/>
    <s v="B"/>
    <s v="I0004"/>
    <d v="2026-09-23T20:47:00"/>
    <d v="2026-09-23T20:57:00"/>
    <n v="3"/>
    <n v="10"/>
    <b v="0"/>
    <b v="0"/>
    <b v="0"/>
    <n v="20"/>
    <s v="High"/>
    <d v="2026-09-23T18:56:00"/>
    <b v="0"/>
    <s v="Electronics"/>
    <x v="0"/>
    <s v="Standard"/>
    <s v="Morning"/>
    <s v="Intermediate"/>
    <s v="Bulk Storage"/>
    <s v="Far"/>
    <n v="18"/>
    <s v="Wednesday"/>
    <s v="Large (11-20)"/>
    <n v="3.333333333333333"/>
  </r>
  <r>
    <x v="197"/>
    <x v="23"/>
    <x v="5"/>
    <s v="C"/>
    <s v="I0012"/>
    <d v="2026-09-25T08:51:00"/>
    <d v="2026-09-25T09:01:00"/>
    <n v="4"/>
    <n v="10"/>
    <b v="0"/>
    <b v="0"/>
    <b v="0"/>
    <n v="20"/>
    <s v="High"/>
    <d v="2026-09-25T08:21:00"/>
    <b v="0"/>
    <s v="Unknown"/>
    <x v="2"/>
    <s v="Bulk"/>
    <s v="Unknown"/>
    <s v="Beginner"/>
    <s v="Small Parts"/>
    <s v="Medium"/>
    <n v="8"/>
    <s v="Friday"/>
    <s v="Large (11-20)"/>
    <n v="2.5"/>
  </r>
  <r>
    <x v="198"/>
    <x v="133"/>
    <x v="29"/>
    <s v="B"/>
    <s v="I0039"/>
    <d v="2026-09-09T14:56:00"/>
    <d v="2026-09-09T15:06:00"/>
    <n v="4"/>
    <n v="10"/>
    <b v="0"/>
    <b v="0"/>
    <b v="0"/>
    <n v="1"/>
    <s v="Normal"/>
    <d v="2026-09-09T14:48:00"/>
    <b v="0"/>
    <s v="Apparel"/>
    <x v="0"/>
    <s v="Fragile"/>
    <s v="Morning"/>
    <s v="Experienced"/>
    <s v="Bulk Storage"/>
    <s v="Far"/>
    <n v="14"/>
    <s v="Wednesday"/>
    <s v="Small (1-5)"/>
    <n v="2.5"/>
  </r>
  <r>
    <x v="199"/>
    <x v="42"/>
    <x v="3"/>
    <s v="B"/>
    <s v="I0078"/>
    <d v="2026-09-17T00:30:00"/>
    <d v="2026-09-17T00:40:00"/>
    <n v="3"/>
    <n v="10"/>
    <b v="0"/>
    <b v="0"/>
    <b v="0"/>
    <n v="12"/>
    <s v="High"/>
    <m/>
    <b v="0"/>
    <s v="Apparel"/>
    <x v="1"/>
    <s v="Climate-Controlled"/>
    <s v="Night"/>
    <s v="Beginner"/>
    <s v="Bulk Storage"/>
    <s v="Far"/>
    <m/>
    <m/>
    <s v="Large (11-20)"/>
    <n v="3.333333333333333"/>
  </r>
  <r>
    <x v="200"/>
    <x v="97"/>
    <x v="22"/>
    <s v="G"/>
    <s v="I0030"/>
    <d v="2026-09-15T22:48:00"/>
    <d v="2026-09-15T22:58:00"/>
    <n v="4"/>
    <n v="10"/>
    <b v="0"/>
    <b v="0"/>
    <b v="0"/>
    <n v="15"/>
    <s v="Normal"/>
    <d v="2026-09-15T20:02:00"/>
    <b v="0"/>
    <s v="Electronics"/>
    <x v="0"/>
    <s v="Fragile"/>
    <s v="Unknown"/>
    <s v="Unknown"/>
    <s v="Cold Storage"/>
    <s v="Far"/>
    <n v="20"/>
    <s v="Tuesday"/>
    <s v="Large (11-20)"/>
    <n v="2.5"/>
  </r>
  <r>
    <x v="201"/>
    <x v="98"/>
    <x v="1"/>
    <s v="H"/>
    <s v="I0015"/>
    <d v="2026-09-10T15:21:00"/>
    <d v="2026-09-10T15:31:00"/>
    <n v="6"/>
    <n v="10"/>
    <b v="0"/>
    <b v="0"/>
    <b v="0"/>
    <m/>
    <s v="Urgent"/>
    <d v="2026-09-10T12:36:00"/>
    <b v="1"/>
    <s v="Bulk Materials"/>
    <x v="1"/>
    <s v="Fragile"/>
    <s v="Night"/>
    <s v="Beginner"/>
    <s v="Small Parts"/>
    <s v="Near"/>
    <n v="12"/>
    <s v="Thursday"/>
    <m/>
    <n v="1.666666666666667"/>
  </r>
  <r>
    <x v="202"/>
    <x v="118"/>
    <x v="2"/>
    <s v="F"/>
    <s v="I0007"/>
    <d v="2026-09-12T06:18:00"/>
    <d v="2026-09-12T06:28:00"/>
    <n v="5"/>
    <n v="10"/>
    <b v="0"/>
    <b v="0"/>
    <b v="0"/>
    <n v="8"/>
    <s v="High"/>
    <d v="2026-09-12T04:59:00"/>
    <b v="0"/>
    <s v="Small Parts"/>
    <x v="1"/>
    <s v="Fragile"/>
    <s v="Evening"/>
    <s v="Beginner"/>
    <s v="Bulk Storage"/>
    <s v="Near"/>
    <n v="4"/>
    <s v="Saturday"/>
    <s v="Medium (6-10)"/>
    <n v="2"/>
  </r>
  <r>
    <x v="203"/>
    <x v="59"/>
    <x v="1"/>
    <s v="H"/>
    <s v="I0023"/>
    <d v="2026-09-22T13:06:00"/>
    <d v="2026-09-22T13:16:00"/>
    <n v="6"/>
    <n v="10"/>
    <b v="0"/>
    <b v="0"/>
    <b v="0"/>
    <n v="10"/>
    <s v="Normal"/>
    <d v="2026-09-22T11:34:00"/>
    <b v="0"/>
    <s v="Home Goods"/>
    <x v="1"/>
    <s v="Bulk"/>
    <s v="Night"/>
    <s v="Beginner"/>
    <s v="Small Parts"/>
    <s v="Near"/>
    <n v="11"/>
    <s v="Tuesday"/>
    <s v="Medium (6-10)"/>
    <n v="1.666666666666667"/>
  </r>
  <r>
    <x v="204"/>
    <x v="89"/>
    <x v="29"/>
    <s v="B"/>
    <s v="I0016"/>
    <d v="2026-09-25T19:29:00"/>
    <d v="2026-09-25T19:39:00"/>
    <n v="4"/>
    <n v="10"/>
    <b v="0"/>
    <b v="0"/>
    <b v="0"/>
    <n v="4"/>
    <s v="High"/>
    <d v="2026-09-25T19:11:00"/>
    <b v="0"/>
    <s v="Unknown"/>
    <x v="0"/>
    <s v="Bulk"/>
    <s v="Morning"/>
    <s v="Experienced"/>
    <s v="Bulk Storage"/>
    <s v="Far"/>
    <n v="19"/>
    <s v="Friday"/>
    <s v="Small (1-5)"/>
    <n v="2.5"/>
  </r>
  <r>
    <x v="205"/>
    <x v="7"/>
    <x v="11"/>
    <s v="B"/>
    <s v="I0058"/>
    <d v="2026-09-09T13:06:00"/>
    <d v="2026-09-09T13:16:00"/>
    <n v="1"/>
    <n v="10"/>
    <b v="0"/>
    <b v="0"/>
    <b v="0"/>
    <n v="10"/>
    <s v="Urgent"/>
    <d v="2026-09-09T12:46:00"/>
    <b v="0"/>
    <s v="Home Goods"/>
    <x v="1"/>
    <s v="Unknown"/>
    <s v="Night"/>
    <s v="Intermediate"/>
    <s v="Bulk Storage"/>
    <s v="Far"/>
    <n v="12"/>
    <s v="Wednesday"/>
    <s v="Medium (6-10)"/>
    <n v="10"/>
  </r>
  <r>
    <x v="206"/>
    <x v="134"/>
    <x v="13"/>
    <s v="F"/>
    <s v="I0057"/>
    <d v="2026-09-15T01:56:00"/>
    <d v="2026-09-15T02:06:00"/>
    <n v="5"/>
    <n v="10"/>
    <b v="0"/>
    <b v="0"/>
    <b v="0"/>
    <n v="6"/>
    <s v="Low"/>
    <d v="2026-09-15T01:53:00"/>
    <b v="0"/>
    <s v="Apparel"/>
    <x v="1"/>
    <s v="Bulk"/>
    <s v="Night"/>
    <s v="Intermediate"/>
    <s v="Bulk Storage"/>
    <s v="Near"/>
    <n v="1"/>
    <s v="Tuesday"/>
    <s v="Medium (6-10)"/>
    <n v="2"/>
  </r>
  <r>
    <x v="207"/>
    <x v="135"/>
    <x v="14"/>
    <s v="B"/>
    <s v="I0044"/>
    <d v="2026-09-17T02:20:00"/>
    <d v="2026-09-17T02:30:00"/>
    <n v="6"/>
    <n v="10"/>
    <b v="0"/>
    <b v="0"/>
    <b v="0"/>
    <n v="4"/>
    <s v="Normal"/>
    <d v="2026-09-17T01:38:00"/>
    <b v="0"/>
    <s v="Electronics"/>
    <x v="1"/>
    <s v="Bulk"/>
    <s v="Night"/>
    <s v="Unknown"/>
    <s v="Bulk Storage"/>
    <s v="Far"/>
    <n v="1"/>
    <s v="Thursday"/>
    <s v="Small (1-5)"/>
    <n v="1.666666666666667"/>
  </r>
  <r>
    <x v="208"/>
    <x v="30"/>
    <x v="12"/>
    <s v="D"/>
    <s v="I0069"/>
    <d v="2026-09-01T22:56:00"/>
    <d v="2026-09-01T23:06:00"/>
    <n v="5"/>
    <n v="10"/>
    <b v="0"/>
    <b v="0"/>
    <b v="0"/>
    <m/>
    <s v="High"/>
    <d v="2026-09-01T20:14:00"/>
    <b v="1"/>
    <s v="Electronics"/>
    <x v="2"/>
    <s v="Climate-Controlled"/>
    <s v="Unknown"/>
    <s v="Intermediate"/>
    <s v="Fragile"/>
    <s v="Unknown"/>
    <n v="20"/>
    <s v="Tuesday"/>
    <m/>
    <n v="2"/>
  </r>
  <r>
    <x v="209"/>
    <x v="30"/>
    <x v="4"/>
    <s v="F"/>
    <s v="I0077"/>
    <d v="2026-09-01T20:47:00"/>
    <d v="2026-09-01T20:57:00"/>
    <n v="4"/>
    <n v="10"/>
    <b v="0"/>
    <b v="0"/>
    <b v="0"/>
    <m/>
    <s v="High"/>
    <d v="2026-09-01T20:14:00"/>
    <b v="1"/>
    <s v="Bulk Materials"/>
    <x v="0"/>
    <s v="Unknown"/>
    <s v="Night"/>
    <s v="Unknown"/>
    <s v="Bulk Storage"/>
    <s v="Near"/>
    <n v="20"/>
    <s v="Tuesday"/>
    <m/>
    <n v="2.5"/>
  </r>
  <r>
    <x v="210"/>
    <x v="27"/>
    <x v="10"/>
    <s v="G"/>
    <s v="I0012"/>
    <d v="2026-09-28T03:05:00"/>
    <d v="2026-09-28T03:15:00"/>
    <n v="1"/>
    <n v="10"/>
    <b v="0"/>
    <b v="0"/>
    <b v="0"/>
    <n v="8"/>
    <s v="Normal"/>
    <d v="2026-09-28T03:05:00"/>
    <b v="0"/>
    <s v="Unknown"/>
    <x v="2"/>
    <s v="Bulk"/>
    <s v="Night"/>
    <s v="Unknown"/>
    <s v="Cold Storage"/>
    <s v="Far"/>
    <n v="3"/>
    <s v="Monday"/>
    <s v="Medium (6-10)"/>
    <n v="10"/>
  </r>
  <r>
    <x v="211"/>
    <x v="92"/>
    <x v="14"/>
    <s v="D"/>
    <s v="I0029"/>
    <d v="2026-09-23T22:30:00"/>
    <d v="2026-09-23T22:40:00"/>
    <n v="4"/>
    <n v="10"/>
    <b v="0"/>
    <b v="0"/>
    <b v="0"/>
    <n v="6"/>
    <s v="Normal"/>
    <d v="2026-09-23T20:11:00"/>
    <b v="0"/>
    <s v="Small Parts"/>
    <x v="1"/>
    <s v="Standard"/>
    <s v="Night"/>
    <s v="Unknown"/>
    <s v="Fragile"/>
    <s v="Unknown"/>
    <n v="20"/>
    <s v="Wednesday"/>
    <s v="Medium (6-10)"/>
    <n v="2.5"/>
  </r>
  <r>
    <x v="212"/>
    <x v="136"/>
    <x v="4"/>
    <s v="C"/>
    <s v="I0032"/>
    <d v="2026-09-20T10:34:00"/>
    <d v="2026-09-20T10:44:00"/>
    <n v="7"/>
    <n v="10"/>
    <b v="0"/>
    <b v="0"/>
    <b v="0"/>
    <n v="8"/>
    <s v="Normal"/>
    <d v="2026-09-20T09:05:00"/>
    <b v="0"/>
    <s v="Bulk Materials"/>
    <x v="2"/>
    <s v="Standard"/>
    <s v="Night"/>
    <s v="Unknown"/>
    <s v="Small Parts"/>
    <s v="Medium"/>
    <n v="9"/>
    <s v="Sunday"/>
    <s v="Medium (6-10)"/>
    <n v="1.428571428571429"/>
  </r>
  <r>
    <x v="213"/>
    <x v="137"/>
    <x v="31"/>
    <s v="D"/>
    <s v="I0062"/>
    <d v="2026-09-14T05:45:00"/>
    <d v="2026-09-14T05:55:00"/>
    <n v="6"/>
    <n v="10"/>
    <b v="0"/>
    <b v="0"/>
    <b v="0"/>
    <n v="12"/>
    <s v="High"/>
    <d v="2026-09-14T04:06:00"/>
    <b v="0"/>
    <s v="Home Goods"/>
    <x v="1"/>
    <s v="Bulk"/>
    <s v="Morning"/>
    <s v="Experienced"/>
    <s v="Fragile"/>
    <s v="Unknown"/>
    <n v="4"/>
    <s v="Monday"/>
    <s v="Large (11-20)"/>
    <n v="1.666666666666667"/>
  </r>
  <r>
    <x v="214"/>
    <x v="8"/>
    <x v="15"/>
    <s v="A"/>
    <s v="I0028"/>
    <d v="2026-09-02T21:52:00"/>
    <d v="2026-09-02T22:02:00"/>
    <n v="5"/>
    <n v="10"/>
    <b v="0"/>
    <b v="0"/>
    <b v="0"/>
    <n v="15"/>
    <s v="High"/>
    <d v="2026-09-02T21:30:00"/>
    <b v="0"/>
    <s v="Fragile Goods"/>
    <x v="1"/>
    <s v="Standard"/>
    <s v="Morning"/>
    <s v="Unknown"/>
    <s v="Fast-Moving"/>
    <s v="Near"/>
    <n v="21"/>
    <s v="Wednesday"/>
    <s v="Large (11-20)"/>
    <n v="2"/>
  </r>
  <r>
    <x v="215"/>
    <x v="138"/>
    <x v="21"/>
    <s v="F"/>
    <s v="I0059"/>
    <d v="2026-09-02T06:24:00"/>
    <d v="2026-09-02T06:34:00"/>
    <n v="5"/>
    <n v="10"/>
    <b v="0"/>
    <b v="0"/>
    <b v="0"/>
    <n v="8"/>
    <s v="High"/>
    <d v="2026-09-02T05:13:00"/>
    <b v="0"/>
    <s v="Electronics"/>
    <x v="1"/>
    <s v="Bulk"/>
    <s v="Morning"/>
    <s v="Intermediate"/>
    <s v="Bulk Storage"/>
    <s v="Near"/>
    <n v="5"/>
    <s v="Wednesday"/>
    <s v="Medium (6-10)"/>
    <n v="2"/>
  </r>
  <r>
    <x v="216"/>
    <x v="44"/>
    <x v="4"/>
    <s v="F"/>
    <s v="I0066"/>
    <d v="2026-09-27T22:33:00"/>
    <d v="2026-09-27T22:43:00"/>
    <n v="5"/>
    <n v="10"/>
    <b v="0"/>
    <b v="0"/>
    <b v="0"/>
    <n v="12"/>
    <s v="High"/>
    <d v="2026-09-27T19:57:00"/>
    <b v="0"/>
    <s v="Bulk Materials"/>
    <x v="2"/>
    <s v="Bulk"/>
    <s v="Night"/>
    <s v="Unknown"/>
    <s v="Bulk Storage"/>
    <s v="Near"/>
    <n v="19"/>
    <s v="Sunday"/>
    <s v="Large (11-20)"/>
    <n v="2"/>
  </r>
  <r>
    <x v="217"/>
    <x v="52"/>
    <x v="30"/>
    <s v="B"/>
    <s v="I0051"/>
    <d v="2026-09-17T07:55:00"/>
    <d v="2026-09-17T08:05:00"/>
    <n v="7"/>
    <n v="10"/>
    <b v="0"/>
    <b v="0"/>
    <b v="0"/>
    <n v="20"/>
    <s v="Low"/>
    <d v="2026-09-17T05:14:00"/>
    <b v="0"/>
    <s v="Home Goods"/>
    <x v="1"/>
    <s v="Fragile"/>
    <s v="Night"/>
    <s v="Experienced"/>
    <s v="Bulk Storage"/>
    <s v="Far"/>
    <n v="5"/>
    <s v="Thursday"/>
    <s v="Large (11-20)"/>
    <n v="1.428571428571429"/>
  </r>
  <r>
    <x v="218"/>
    <x v="59"/>
    <x v="24"/>
    <s v="B"/>
    <s v="I0069"/>
    <d v="2026-09-22T13:26:00"/>
    <d v="2026-09-22T13:36:00"/>
    <n v="6"/>
    <n v="10"/>
    <b v="0"/>
    <b v="0"/>
    <b v="0"/>
    <n v="10"/>
    <s v="Normal"/>
    <d v="2026-09-22T11:34:00"/>
    <b v="0"/>
    <s v="Electronics"/>
    <x v="2"/>
    <s v="Climate-Controlled"/>
    <s v="Night"/>
    <s v="Experienced"/>
    <s v="Bulk Storage"/>
    <s v="Far"/>
    <n v="11"/>
    <s v="Tuesday"/>
    <s v="Medium (6-10)"/>
    <n v="1.666666666666667"/>
  </r>
  <r>
    <x v="219"/>
    <x v="137"/>
    <x v="24"/>
    <s v="B"/>
    <s v="I0043"/>
    <d v="2026-09-14T06:02:00"/>
    <d v="2026-09-14T06:12:00"/>
    <n v="3"/>
    <n v="10"/>
    <b v="0"/>
    <b v="0"/>
    <b v="0"/>
    <n v="12"/>
    <s v="High"/>
    <d v="2026-09-14T04:06:00"/>
    <b v="0"/>
    <s v="Small Parts"/>
    <x v="0"/>
    <s v="Fragile"/>
    <s v="Night"/>
    <s v="Experienced"/>
    <s v="Bulk Storage"/>
    <s v="Far"/>
    <n v="4"/>
    <s v="Monday"/>
    <s v="Large (11-20)"/>
    <n v="3.333333333333333"/>
  </r>
  <r>
    <x v="220"/>
    <x v="137"/>
    <x v="23"/>
    <s v="C"/>
    <s v="I0047"/>
    <d v="2026-09-14T06:39:00"/>
    <d v="2026-09-14T06:49:00"/>
    <n v="7"/>
    <n v="10"/>
    <b v="0"/>
    <b v="0"/>
    <b v="0"/>
    <n v="12"/>
    <s v="High"/>
    <d v="2026-09-14T04:06:00"/>
    <b v="0"/>
    <s v="Electronics"/>
    <x v="0"/>
    <s v="Unknown"/>
    <s v="Evening"/>
    <s v="Intermediate"/>
    <s v="Small Parts"/>
    <s v="Medium"/>
    <n v="4"/>
    <s v="Monday"/>
    <s v="Large (11-20)"/>
    <n v="1.428571428571429"/>
  </r>
  <r>
    <x v="221"/>
    <x v="139"/>
    <x v="27"/>
    <s v="D"/>
    <s v="I0028"/>
    <d v="2026-09-13T07:59:00"/>
    <d v="2026-09-13T08:09:00"/>
    <n v="6"/>
    <n v="10"/>
    <b v="0"/>
    <b v="0"/>
    <b v="0"/>
    <n v="10"/>
    <s v="High"/>
    <d v="2026-09-13T05:29:00"/>
    <b v="0"/>
    <s v="Fragile Goods"/>
    <x v="1"/>
    <s v="Standard"/>
    <s v="Night"/>
    <s v="Experienced"/>
    <s v="Fragile"/>
    <s v="Unknown"/>
    <n v="5"/>
    <s v="Sunday"/>
    <s v="Medium (6-10)"/>
    <n v="1.666666666666667"/>
  </r>
  <r>
    <x v="222"/>
    <x v="14"/>
    <x v="22"/>
    <s v="B"/>
    <s v="I0070"/>
    <d v="2026-09-25T09:57:00"/>
    <d v="2026-09-25T10:07:00"/>
    <n v="3"/>
    <n v="10"/>
    <b v="0"/>
    <b v="0"/>
    <b v="0"/>
    <n v="20"/>
    <s v="Low"/>
    <d v="2026-09-25T09:29:00"/>
    <b v="0"/>
    <s v="Bulk Materials"/>
    <x v="0"/>
    <s v="Standard"/>
    <s v="Unknown"/>
    <s v="Unknown"/>
    <s v="Bulk Storage"/>
    <s v="Far"/>
    <n v="9"/>
    <s v="Friday"/>
    <s v="Large (11-20)"/>
    <n v="3.333333333333333"/>
  </r>
  <r>
    <x v="223"/>
    <x v="9"/>
    <x v="22"/>
    <s v="D"/>
    <s v="I0049"/>
    <d v="2026-09-01T15:30:00"/>
    <d v="2026-09-01T15:40:00"/>
    <n v="6"/>
    <n v="10"/>
    <b v="0"/>
    <b v="0"/>
    <b v="0"/>
    <n v="12"/>
    <s v="High"/>
    <d v="2026-09-01T13:09:00"/>
    <b v="0"/>
    <s v="Small Parts"/>
    <x v="1"/>
    <s v="Standard"/>
    <s v="Unknown"/>
    <s v="Unknown"/>
    <s v="Fragile"/>
    <s v="Unknown"/>
    <n v="13"/>
    <s v="Tuesday"/>
    <s v="Large (11-20)"/>
    <n v="1.666666666666667"/>
  </r>
  <r>
    <x v="224"/>
    <x v="97"/>
    <x v="7"/>
    <s v="C"/>
    <s v="I0039"/>
    <d v="2026-09-15T21:31:00"/>
    <d v="2026-09-15T21:41:00"/>
    <n v="4"/>
    <n v="10"/>
    <b v="0"/>
    <b v="0"/>
    <b v="0"/>
    <n v="15"/>
    <s v="Normal"/>
    <d v="2026-09-15T20:02:00"/>
    <b v="0"/>
    <s v="Apparel"/>
    <x v="0"/>
    <s v="Fragile"/>
    <s v="Morning"/>
    <s v="Beginner"/>
    <s v="Small Parts"/>
    <s v="Medium"/>
    <n v="20"/>
    <s v="Tuesday"/>
    <s v="Large (11-20)"/>
    <n v="2.5"/>
  </r>
  <r>
    <x v="225"/>
    <x v="140"/>
    <x v="2"/>
    <s v="C"/>
    <s v="I0058"/>
    <d v="2026-09-25T04:11:00"/>
    <d v="2026-09-25T04:21:00"/>
    <n v="6"/>
    <n v="10"/>
    <b v="0"/>
    <b v="0"/>
    <b v="0"/>
    <n v="3"/>
    <s v="High"/>
    <d v="2026-09-25T01:34:00"/>
    <b v="0"/>
    <s v="Home Goods"/>
    <x v="1"/>
    <s v="Unknown"/>
    <s v="Evening"/>
    <s v="Beginner"/>
    <s v="Small Parts"/>
    <s v="Medium"/>
    <n v="1"/>
    <s v="Friday"/>
    <s v="Small (1-5)"/>
    <n v="1.666666666666667"/>
  </r>
  <r>
    <x v="226"/>
    <x v="135"/>
    <x v="4"/>
    <s v="F"/>
    <s v="I0009"/>
    <d v="2026-09-17T03:25:00"/>
    <d v="2026-09-17T03:35:00"/>
    <n v="3"/>
    <n v="10"/>
    <b v="0"/>
    <b v="0"/>
    <b v="0"/>
    <n v="4"/>
    <s v="Normal"/>
    <d v="2026-09-17T01:38:00"/>
    <b v="0"/>
    <s v="Bulk Materials"/>
    <x v="0"/>
    <s v="Fragile"/>
    <s v="Night"/>
    <s v="Unknown"/>
    <s v="Bulk Storage"/>
    <s v="Near"/>
    <n v="1"/>
    <s v="Thursday"/>
    <s v="Small (1-5)"/>
    <n v="3.333333333333333"/>
  </r>
  <r>
    <x v="227"/>
    <x v="141"/>
    <x v="31"/>
    <s v="D"/>
    <s v="I0037"/>
    <d v="2026-09-28T06:05:00"/>
    <d v="2026-09-28T06:15:00"/>
    <n v="2"/>
    <n v="10"/>
    <b v="0"/>
    <b v="0"/>
    <b v="0"/>
    <n v="5"/>
    <s v="Normal"/>
    <d v="2026-09-28T04:06:00"/>
    <b v="0"/>
    <s v="Electronics"/>
    <x v="1"/>
    <s v="Climate-Controlled"/>
    <s v="Morning"/>
    <s v="Experienced"/>
    <s v="Fragile"/>
    <s v="Unknown"/>
    <n v="4"/>
    <s v="Monday"/>
    <s v="Small (1-5)"/>
    <n v="5"/>
  </r>
  <r>
    <x v="228"/>
    <x v="61"/>
    <x v="26"/>
    <s v="B"/>
    <s v="I0008"/>
    <d v="2026-09-19T00:01:00"/>
    <d v="2026-09-19T00:11:00"/>
    <n v="4"/>
    <n v="10"/>
    <b v="0"/>
    <b v="0"/>
    <b v="0"/>
    <n v="8"/>
    <s v="Normal"/>
    <d v="2026-09-18T22:53:00"/>
    <b v="0"/>
    <s v="Bulk Materials"/>
    <x v="0"/>
    <s v="Unknown"/>
    <s v="Morning"/>
    <s v="Experienced"/>
    <s v="Bulk Storage"/>
    <s v="Far"/>
    <n v="22"/>
    <s v="Friday"/>
    <s v="Medium (6-10)"/>
    <n v="2.5"/>
  </r>
  <r>
    <x v="229"/>
    <x v="95"/>
    <x v="17"/>
    <s v="B"/>
    <s v="I0070"/>
    <d v="2026-09-05T16:39:00"/>
    <d v="2026-09-05T16:49:00"/>
    <n v="6"/>
    <n v="10"/>
    <b v="0"/>
    <b v="0"/>
    <b v="0"/>
    <n v="6"/>
    <s v="Urgent"/>
    <d v="2026-09-05T14:40:00"/>
    <b v="0"/>
    <s v="Bulk Materials"/>
    <x v="0"/>
    <s v="Standard"/>
    <s v="Night"/>
    <s v="Intermediate"/>
    <s v="Bulk Storage"/>
    <s v="Far"/>
    <n v="14"/>
    <s v="Saturday"/>
    <s v="Medium (6-10)"/>
    <n v="1.666666666666667"/>
  </r>
  <r>
    <x v="230"/>
    <x v="142"/>
    <x v="16"/>
    <s v="G"/>
    <s v="I0011"/>
    <d v="2026-09-08T08:49:00"/>
    <d v="2026-09-08T08:59:00"/>
    <n v="4"/>
    <n v="10"/>
    <b v="0"/>
    <b v="0"/>
    <b v="0"/>
    <n v="4"/>
    <s v="High"/>
    <d v="2026-09-08T08:18:00"/>
    <b v="0"/>
    <s v="Fragile Goods"/>
    <x v="1"/>
    <s v="Climate-Controlled"/>
    <s v="Night"/>
    <s v="Intermediate"/>
    <s v="Cold Storage"/>
    <s v="Far"/>
    <n v="8"/>
    <s v="Tuesday"/>
    <s v="Small (1-5)"/>
    <n v="2.5"/>
  </r>
  <r>
    <x v="231"/>
    <x v="143"/>
    <x v="16"/>
    <s v="G"/>
    <s v="I0038"/>
    <d v="2026-09-26T04:35:00"/>
    <d v="2026-09-26T04:45:00"/>
    <n v="2"/>
    <n v="10"/>
    <b v="0"/>
    <b v="0"/>
    <b v="0"/>
    <n v="3"/>
    <s v="High"/>
    <d v="2026-09-26T02:45:00"/>
    <b v="0"/>
    <s v="Small Parts"/>
    <x v="0"/>
    <s v="Unknown"/>
    <s v="Night"/>
    <s v="Intermediate"/>
    <s v="Cold Storage"/>
    <s v="Far"/>
    <n v="2"/>
    <s v="Saturday"/>
    <s v="Small (1-5)"/>
    <n v="5"/>
  </r>
  <r>
    <x v="232"/>
    <x v="72"/>
    <x v="6"/>
    <s v="B"/>
    <s v="I0053"/>
    <d v="2026-09-17T14:09:00"/>
    <d v="2026-09-17T14:19:00"/>
    <n v="7"/>
    <n v="10"/>
    <b v="0"/>
    <b v="0"/>
    <b v="0"/>
    <n v="20"/>
    <s v="High"/>
    <d v="2026-09-17T12:47:00"/>
    <b v="0"/>
    <s v="Small Parts"/>
    <x v="3"/>
    <s v="Standard"/>
    <s v="Night"/>
    <s v="Intermediate"/>
    <s v="Bulk Storage"/>
    <s v="Far"/>
    <n v="12"/>
    <s v="Thursday"/>
    <s v="Large (11-20)"/>
    <n v="1.428571428571429"/>
  </r>
  <r>
    <x v="233"/>
    <x v="144"/>
    <x v="18"/>
    <s v="G"/>
    <s v="I0070"/>
    <d v="2026-09-05T22:03:00"/>
    <d v="2026-09-05T22:13:00"/>
    <n v="6"/>
    <n v="10"/>
    <b v="0"/>
    <b v="0"/>
    <b v="0"/>
    <n v="8"/>
    <s v="Normal"/>
    <d v="2026-09-05T19:14:00"/>
    <b v="0"/>
    <s v="Bulk Materials"/>
    <x v="0"/>
    <s v="Standard"/>
    <s v="Night"/>
    <s v="Intermediate"/>
    <s v="Cold Storage"/>
    <s v="Far"/>
    <n v="19"/>
    <s v="Saturday"/>
    <s v="Medium (6-10)"/>
    <n v="1.666666666666667"/>
  </r>
  <r>
    <x v="234"/>
    <x v="144"/>
    <x v="1"/>
    <s v="H"/>
    <s v="I0037"/>
    <d v="2026-09-05T20:39:00"/>
    <d v="2026-09-05T20:49:00"/>
    <n v="4"/>
    <n v="10"/>
    <b v="0"/>
    <b v="0"/>
    <b v="0"/>
    <n v="8"/>
    <s v="Normal"/>
    <d v="2026-09-05T19:14:00"/>
    <b v="0"/>
    <s v="Electronics"/>
    <x v="1"/>
    <s v="Climate-Controlled"/>
    <s v="Night"/>
    <s v="Beginner"/>
    <s v="Small Parts"/>
    <s v="Near"/>
    <n v="19"/>
    <s v="Saturday"/>
    <s v="Medium (6-10)"/>
    <n v="2.5"/>
  </r>
  <r>
    <x v="235"/>
    <x v="51"/>
    <x v="27"/>
    <s v="C"/>
    <s v="I0074"/>
    <d v="2026-09-25T07:59:00"/>
    <d v="2026-09-25T08:09:00"/>
    <n v="5"/>
    <n v="10"/>
    <b v="0"/>
    <b v="0"/>
    <b v="0"/>
    <n v="4"/>
    <s v="High"/>
    <d v="2026-09-25T06:16:00"/>
    <b v="0"/>
    <s v="Fragile Goods"/>
    <x v="1"/>
    <s v="Climate-Controlled"/>
    <s v="Night"/>
    <s v="Experienced"/>
    <s v="Small Parts"/>
    <s v="Medium"/>
    <n v="6"/>
    <s v="Friday"/>
    <s v="Small (1-5)"/>
    <n v="2"/>
  </r>
  <r>
    <x v="236"/>
    <x v="145"/>
    <x v="6"/>
    <s v="G"/>
    <s v="I0075"/>
    <d v="2026-09-19T05:21:00"/>
    <d v="2026-09-19T05:31:00"/>
    <n v="2"/>
    <n v="10"/>
    <b v="0"/>
    <b v="0"/>
    <b v="0"/>
    <n v="4"/>
    <s v="High"/>
    <d v="2026-09-19T05:00:00"/>
    <b v="0"/>
    <s v="Fragile Goods"/>
    <x v="0"/>
    <s v="Standard"/>
    <s v="Night"/>
    <s v="Intermediate"/>
    <s v="Cold Storage"/>
    <s v="Far"/>
    <n v="5"/>
    <s v="Saturday"/>
    <s v="Small (1-5)"/>
    <n v="5"/>
  </r>
  <r>
    <x v="237"/>
    <x v="16"/>
    <x v="11"/>
    <s v="F"/>
    <s v="I0035"/>
    <d v="2026-09-28T11:35:00"/>
    <d v="2026-09-28T11:45:00"/>
    <n v="6"/>
    <n v="10"/>
    <b v="0"/>
    <b v="0"/>
    <b v="0"/>
    <n v="4"/>
    <s v="Urgent"/>
    <d v="2026-09-28T10:39:00"/>
    <b v="0"/>
    <s v="Unknown"/>
    <x v="1"/>
    <s v="Fragile"/>
    <s v="Night"/>
    <s v="Intermediate"/>
    <s v="Bulk Storage"/>
    <s v="Near"/>
    <n v="10"/>
    <s v="Monday"/>
    <s v="Small (1-5)"/>
    <n v="1.666666666666667"/>
  </r>
  <r>
    <x v="238"/>
    <x v="109"/>
    <x v="29"/>
    <s v="C"/>
    <s v="I0063"/>
    <d v="2026-09-05T13:14:00"/>
    <d v="2026-09-05T13:24:00"/>
    <n v="2"/>
    <n v="10"/>
    <b v="0"/>
    <b v="0"/>
    <b v="0"/>
    <n v="4"/>
    <s v="Normal"/>
    <d v="2026-09-05T11:17:00"/>
    <b v="0"/>
    <s v="Home Goods"/>
    <x v="2"/>
    <s v="Fragile"/>
    <s v="Morning"/>
    <s v="Experienced"/>
    <s v="Small Parts"/>
    <s v="Medium"/>
    <n v="11"/>
    <s v="Saturday"/>
    <s v="Small (1-5)"/>
    <n v="5"/>
  </r>
  <r>
    <x v="239"/>
    <x v="134"/>
    <x v="21"/>
    <s v="B"/>
    <s v="I0060"/>
    <d v="2026-09-15T04:01:00"/>
    <d v="2026-09-15T04:11:00"/>
    <n v="7"/>
    <n v="10"/>
    <b v="0"/>
    <b v="0"/>
    <b v="0"/>
    <n v="6"/>
    <s v="Low"/>
    <d v="2026-09-15T01:53:00"/>
    <b v="0"/>
    <s v="Small Parts"/>
    <x v="2"/>
    <s v="Climate-Controlled"/>
    <s v="Morning"/>
    <s v="Intermediate"/>
    <s v="Bulk Storage"/>
    <s v="Far"/>
    <n v="1"/>
    <s v="Tuesday"/>
    <s v="Medium (6-10)"/>
    <n v="1.428571428571429"/>
  </r>
  <r>
    <x v="240"/>
    <x v="146"/>
    <x v="14"/>
    <s v="C"/>
    <s v="I0047"/>
    <d v="2026-09-22T10:43:00"/>
    <d v="2026-09-22T10:53:00"/>
    <n v="5"/>
    <n v="10"/>
    <b v="0"/>
    <b v="0"/>
    <b v="0"/>
    <n v="12"/>
    <s v="Normal"/>
    <d v="2026-09-22T10:39:00"/>
    <b v="0"/>
    <s v="Electronics"/>
    <x v="0"/>
    <s v="Unknown"/>
    <s v="Night"/>
    <s v="Unknown"/>
    <s v="Small Parts"/>
    <s v="Medium"/>
    <n v="10"/>
    <s v="Tuesday"/>
    <s v="Large (11-20)"/>
    <n v="2"/>
  </r>
  <r>
    <x v="241"/>
    <x v="121"/>
    <x v="7"/>
    <s v="C"/>
    <s v="I0047"/>
    <d v="2026-09-26T08:57:00"/>
    <d v="2026-09-26T09:07:00"/>
    <n v="2"/>
    <n v="10"/>
    <b v="0"/>
    <b v="0"/>
    <b v="0"/>
    <n v="8"/>
    <s v="Normal"/>
    <d v="2026-09-26T07:22:00"/>
    <b v="0"/>
    <s v="Electronics"/>
    <x v="0"/>
    <s v="Unknown"/>
    <s v="Morning"/>
    <s v="Beginner"/>
    <s v="Small Parts"/>
    <s v="Medium"/>
    <n v="7"/>
    <s v="Saturday"/>
    <s v="Medium (6-10)"/>
    <n v="5"/>
  </r>
  <r>
    <x v="242"/>
    <x v="36"/>
    <x v="11"/>
    <s v="F"/>
    <s v="I0053"/>
    <d v="2026-09-08T12:21:00"/>
    <d v="2026-09-08T12:31:00"/>
    <n v="6"/>
    <n v="10"/>
    <b v="0"/>
    <b v="0"/>
    <b v="0"/>
    <n v="8"/>
    <s v="Normal"/>
    <d v="2026-09-08T10:31:00"/>
    <b v="0"/>
    <s v="Small Parts"/>
    <x v="3"/>
    <s v="Standard"/>
    <s v="Night"/>
    <s v="Intermediate"/>
    <s v="Bulk Storage"/>
    <s v="Near"/>
    <n v="10"/>
    <s v="Tuesday"/>
    <s v="Medium (6-10)"/>
    <n v="1.666666666666667"/>
  </r>
  <r>
    <x v="243"/>
    <x v="115"/>
    <x v="14"/>
    <s v="B"/>
    <s v="I0027"/>
    <d v="2026-09-01T11:50:00"/>
    <d v="2026-09-01T12:00:00"/>
    <n v="4"/>
    <n v="10"/>
    <b v="0"/>
    <b v="0"/>
    <b v="0"/>
    <n v="20"/>
    <s v="High"/>
    <d v="2026-09-01T11:00:00"/>
    <b v="0"/>
    <s v="Unknown"/>
    <x v="2"/>
    <s v="Bulk"/>
    <s v="Night"/>
    <s v="Unknown"/>
    <s v="Bulk Storage"/>
    <s v="Far"/>
    <n v="11"/>
    <s v="Tuesday"/>
    <s v="Large (11-20)"/>
    <n v="2.5"/>
  </r>
  <r>
    <x v="244"/>
    <x v="147"/>
    <x v="9"/>
    <s v="C"/>
    <s v="I0080"/>
    <d v="2026-09-17T10:55:00"/>
    <d v="2026-09-17T11:05:00"/>
    <n v="7"/>
    <n v="10"/>
    <b v="0"/>
    <b v="0"/>
    <b v="0"/>
    <n v="6"/>
    <s v="Urgent"/>
    <d v="2026-09-17T08:24:00"/>
    <b v="0"/>
    <s v="Fragile Goods"/>
    <x v="0"/>
    <s v="Bulk"/>
    <s v="Unknown"/>
    <s v="Intermediate"/>
    <s v="Small Parts"/>
    <s v="Medium"/>
    <n v="8"/>
    <s v="Thursday"/>
    <s v="Medium (6-10)"/>
    <n v="1.428571428571429"/>
  </r>
  <r>
    <x v="245"/>
    <x v="121"/>
    <x v="2"/>
    <s v="C"/>
    <s v="I0056"/>
    <d v="2026-09-26T07:35:00"/>
    <d v="2026-09-26T07:45:00"/>
    <n v="7"/>
    <n v="10"/>
    <b v="0"/>
    <b v="0"/>
    <b v="0"/>
    <n v="8"/>
    <s v="Normal"/>
    <d v="2026-09-26T07:22:00"/>
    <b v="0"/>
    <s v="Apparel"/>
    <x v="1"/>
    <s v="Fragile"/>
    <s v="Evening"/>
    <s v="Beginner"/>
    <s v="Small Parts"/>
    <s v="Medium"/>
    <n v="7"/>
    <s v="Saturday"/>
    <s v="Medium (6-10)"/>
    <n v="1.428571428571429"/>
  </r>
  <r>
    <x v="246"/>
    <x v="69"/>
    <x v="24"/>
    <s v="D"/>
    <s v="I0031"/>
    <d v="2026-09-03T15:27:00"/>
    <d v="2026-09-03T15:37:00"/>
    <n v="6"/>
    <n v="10"/>
    <b v="0"/>
    <b v="0"/>
    <b v="0"/>
    <n v="20"/>
    <s v="Normal"/>
    <d v="2026-09-03T14:59:00"/>
    <b v="0"/>
    <s v="Unknown"/>
    <x v="2"/>
    <s v="Fragile"/>
    <s v="Night"/>
    <s v="Experienced"/>
    <s v="Fragile"/>
    <s v="Unknown"/>
    <n v="14"/>
    <s v="Thursday"/>
    <s v="Large (11-20)"/>
    <n v="1.666666666666667"/>
  </r>
  <r>
    <x v="247"/>
    <x v="148"/>
    <x v="18"/>
    <s v="F"/>
    <s v="I0059"/>
    <d v="2026-09-23T21:37:00"/>
    <d v="2026-09-23T21:47:00"/>
    <n v="5"/>
    <n v="10"/>
    <b v="0"/>
    <b v="0"/>
    <b v="0"/>
    <n v="5"/>
    <s v="Normal"/>
    <d v="2026-09-23T19:59:00"/>
    <b v="0"/>
    <s v="Electronics"/>
    <x v="1"/>
    <s v="Bulk"/>
    <s v="Night"/>
    <s v="Intermediate"/>
    <s v="Bulk Storage"/>
    <s v="Near"/>
    <n v="19"/>
    <s v="Wednesday"/>
    <s v="Small (1-5)"/>
    <n v="2"/>
  </r>
  <r>
    <x v="248"/>
    <x v="149"/>
    <x v="10"/>
    <s v="D"/>
    <s v="I0041"/>
    <d v="2026-09-17T06:23:00"/>
    <d v="2026-09-17T06:33:00"/>
    <n v="5"/>
    <n v="10"/>
    <b v="0"/>
    <b v="0"/>
    <b v="0"/>
    <n v="6"/>
    <s v="High"/>
    <d v="2026-09-17T04:31:00"/>
    <b v="0"/>
    <s v="Bulk Materials"/>
    <x v="2"/>
    <s v="Bulk"/>
    <s v="Night"/>
    <s v="Unknown"/>
    <s v="Fragile"/>
    <s v="Unknown"/>
    <n v="4"/>
    <s v="Thursday"/>
    <s v="Medium (6-10)"/>
    <n v="2"/>
  </r>
  <r>
    <x v="249"/>
    <x v="88"/>
    <x v="1"/>
    <s v="D"/>
    <s v="I0001"/>
    <d v="2026-09-22T15:04:00"/>
    <d v="2026-09-22T15:14:00"/>
    <n v="2"/>
    <n v="10"/>
    <b v="0"/>
    <b v="0"/>
    <b v="0"/>
    <n v="6"/>
    <s v="Normal"/>
    <d v="2026-09-22T13:03:00"/>
    <b v="0"/>
    <s v="Fragile Goods"/>
    <x v="0"/>
    <s v="Standard"/>
    <s v="Night"/>
    <s v="Beginner"/>
    <s v="Fragile"/>
    <s v="Unknown"/>
    <n v="13"/>
    <s v="Tuesday"/>
    <s v="Medium (6-10)"/>
    <n v="5"/>
  </r>
  <r>
    <x v="250"/>
    <x v="103"/>
    <x v="15"/>
    <s v="D"/>
    <s v="I0026"/>
    <d v="2026-09-20T00:40:00"/>
    <d v="2026-09-20T00:50:00"/>
    <n v="5"/>
    <n v="10"/>
    <b v="0"/>
    <b v="0"/>
    <b v="0"/>
    <n v="10"/>
    <s v="Normal"/>
    <d v="2026-09-19T22:42:00"/>
    <b v="0"/>
    <s v="Bulk Materials"/>
    <x v="0"/>
    <s v="Climate-Controlled"/>
    <s v="Morning"/>
    <s v="Unknown"/>
    <s v="Fragile"/>
    <s v="Unknown"/>
    <n v="22"/>
    <s v="Saturday"/>
    <s v="Medium (6-10)"/>
    <n v="2"/>
  </r>
  <r>
    <x v="251"/>
    <x v="150"/>
    <x v="16"/>
    <s v="B"/>
    <s v="I0076"/>
    <d v="2026-09-26T17:08:00"/>
    <d v="2026-09-26T17:18:00"/>
    <n v="3"/>
    <n v="10"/>
    <b v="0"/>
    <b v="0"/>
    <b v="0"/>
    <n v="4"/>
    <s v="Normal"/>
    <d v="2026-09-26T17:00:00"/>
    <b v="0"/>
    <s v="Fragile Goods"/>
    <x v="3"/>
    <s v="Climate-Controlled"/>
    <s v="Night"/>
    <s v="Intermediate"/>
    <s v="Bulk Storage"/>
    <s v="Far"/>
    <n v="17"/>
    <s v="Saturday"/>
    <s v="Small (1-5)"/>
    <n v="3.333333333333333"/>
  </r>
  <r>
    <x v="252"/>
    <x v="151"/>
    <x v="2"/>
    <s v="A"/>
    <s v="I0045"/>
    <d v="2026-09-08T03:47:00"/>
    <d v="2026-09-08T03:57:00"/>
    <n v="3"/>
    <n v="10"/>
    <b v="0"/>
    <b v="0"/>
    <b v="0"/>
    <n v="6"/>
    <s v="Normal"/>
    <d v="2026-09-08T02:35:00"/>
    <b v="0"/>
    <s v="Apparel"/>
    <x v="2"/>
    <s v="Climate-Controlled"/>
    <s v="Evening"/>
    <s v="Beginner"/>
    <s v="Fast-Moving"/>
    <s v="Near"/>
    <n v="2"/>
    <s v="Tuesday"/>
    <s v="Medium (6-10)"/>
    <n v="3.333333333333333"/>
  </r>
  <r>
    <x v="253"/>
    <x v="101"/>
    <x v="2"/>
    <s v="C"/>
    <s v="I0036"/>
    <d v="2026-09-04T09:52:00"/>
    <d v="2026-09-04T10:02:00"/>
    <n v="5"/>
    <n v="10"/>
    <b v="0"/>
    <b v="0"/>
    <b v="0"/>
    <n v="12"/>
    <s v="High"/>
    <d v="2026-09-04T06:58:00"/>
    <b v="0"/>
    <s v="Apparel"/>
    <x v="0"/>
    <s v="Unknown"/>
    <s v="Evening"/>
    <s v="Beginner"/>
    <s v="Small Parts"/>
    <s v="Medium"/>
    <n v="6"/>
    <s v="Friday"/>
    <s v="Large (11-20)"/>
    <n v="2"/>
  </r>
  <r>
    <x v="254"/>
    <x v="152"/>
    <x v="16"/>
    <s v="F"/>
    <s v="I0077"/>
    <d v="2026-09-17T18:00:00"/>
    <d v="2026-09-17T18:10:00"/>
    <n v="6"/>
    <n v="10"/>
    <b v="0"/>
    <b v="0"/>
    <b v="0"/>
    <n v="2"/>
    <s v="Normal"/>
    <d v="2026-09-17T16:30:00"/>
    <b v="0"/>
    <s v="Bulk Materials"/>
    <x v="0"/>
    <s v="Unknown"/>
    <s v="Night"/>
    <s v="Intermediate"/>
    <s v="Bulk Storage"/>
    <s v="Near"/>
    <n v="16"/>
    <s v="Thursday"/>
    <s v="Small (1-5)"/>
    <n v="1.666666666666667"/>
  </r>
  <r>
    <x v="255"/>
    <x v="106"/>
    <x v="17"/>
    <s v="G"/>
    <s v="I0012"/>
    <d v="2026-09-25T20:16:00"/>
    <d v="2026-09-25T20:26:00"/>
    <n v="7"/>
    <n v="10"/>
    <b v="0"/>
    <b v="0"/>
    <b v="0"/>
    <n v="20"/>
    <s v="Normal"/>
    <d v="2026-09-25T19:21:00"/>
    <b v="0"/>
    <s v="Unknown"/>
    <x v="2"/>
    <s v="Bulk"/>
    <s v="Night"/>
    <s v="Intermediate"/>
    <s v="Cold Storage"/>
    <s v="Far"/>
    <n v="19"/>
    <s v="Friday"/>
    <s v="Large (11-20)"/>
    <n v="1.428571428571429"/>
  </r>
  <r>
    <x v="256"/>
    <x v="118"/>
    <x v="24"/>
    <s v="G"/>
    <s v="I0021"/>
    <d v="2026-09-12T05:14:00"/>
    <d v="2026-09-12T05:24:00"/>
    <n v="1"/>
    <n v="10"/>
    <b v="0"/>
    <b v="0"/>
    <b v="0"/>
    <n v="8"/>
    <s v="High"/>
    <d v="2026-09-12T04:59:00"/>
    <b v="0"/>
    <s v="Apparel"/>
    <x v="0"/>
    <s v="Standard"/>
    <s v="Night"/>
    <s v="Experienced"/>
    <s v="Cold Storage"/>
    <s v="Far"/>
    <n v="4"/>
    <s v="Saturday"/>
    <s v="Medium (6-10)"/>
    <n v="10"/>
  </r>
  <r>
    <x v="257"/>
    <x v="152"/>
    <x v="22"/>
    <s v="H"/>
    <s v="I0063"/>
    <d v="2026-09-17T17:54:00"/>
    <d v="2026-09-17T18:04:00"/>
    <n v="7"/>
    <n v="10"/>
    <b v="0"/>
    <b v="0"/>
    <b v="0"/>
    <n v="2"/>
    <s v="Normal"/>
    <d v="2026-09-17T16:30:00"/>
    <b v="0"/>
    <s v="Home Goods"/>
    <x v="2"/>
    <s v="Fragile"/>
    <s v="Unknown"/>
    <s v="Unknown"/>
    <s v="Small Parts"/>
    <s v="Near"/>
    <n v="16"/>
    <s v="Thursday"/>
    <s v="Small (1-5)"/>
    <n v="1.428571428571429"/>
  </r>
  <r>
    <x v="258"/>
    <x v="153"/>
    <x v="29"/>
    <s v="G"/>
    <s v="I0051"/>
    <d v="2026-09-14T18:42:00"/>
    <d v="2026-09-14T18:52:00"/>
    <n v="2"/>
    <n v="10"/>
    <b v="0"/>
    <b v="0"/>
    <b v="0"/>
    <n v="12"/>
    <s v="Normal"/>
    <d v="2026-09-14T17:22:00"/>
    <b v="0"/>
    <s v="Home Goods"/>
    <x v="1"/>
    <s v="Fragile"/>
    <s v="Morning"/>
    <s v="Experienced"/>
    <s v="Cold Storage"/>
    <s v="Far"/>
    <n v="17"/>
    <s v="Monday"/>
    <s v="Large (11-20)"/>
    <n v="5"/>
  </r>
  <r>
    <x v="259"/>
    <x v="153"/>
    <x v="15"/>
    <s v="B"/>
    <s v="I0058"/>
    <d v="2026-09-14T19:10:00"/>
    <d v="2026-09-14T19:20:00"/>
    <n v="2"/>
    <n v="10"/>
    <b v="0"/>
    <b v="0"/>
    <b v="0"/>
    <n v="12"/>
    <s v="Normal"/>
    <d v="2026-09-14T17:22:00"/>
    <b v="0"/>
    <s v="Home Goods"/>
    <x v="1"/>
    <s v="Unknown"/>
    <s v="Morning"/>
    <s v="Unknown"/>
    <s v="Bulk Storage"/>
    <s v="Far"/>
    <n v="17"/>
    <s v="Monday"/>
    <s v="Large (11-20)"/>
    <n v="5"/>
  </r>
  <r>
    <x v="260"/>
    <x v="130"/>
    <x v="0"/>
    <s v="B"/>
    <s v="I0021"/>
    <d v="2026-09-11T22:12:00"/>
    <d v="2026-09-11T22:22:00"/>
    <n v="7"/>
    <n v="10"/>
    <b v="0"/>
    <b v="0"/>
    <b v="0"/>
    <n v="12"/>
    <s v="Normal"/>
    <d v="2026-09-11T19:25:00"/>
    <b v="0"/>
    <s v="Apparel"/>
    <x v="0"/>
    <s v="Standard"/>
    <s v="Night"/>
    <s v="Beginner"/>
    <s v="Bulk Storage"/>
    <s v="Far"/>
    <n v="19"/>
    <s v="Friday"/>
    <s v="Large (11-20)"/>
    <n v="1.428571428571429"/>
  </r>
  <r>
    <x v="261"/>
    <x v="37"/>
    <x v="28"/>
    <s v="B"/>
    <s v="I0046"/>
    <d v="2026-09-09T04:06:00"/>
    <d v="2026-09-09T04:16:00"/>
    <n v="4"/>
    <n v="10"/>
    <b v="0"/>
    <b v="0"/>
    <b v="0"/>
    <n v="6"/>
    <s v="Low"/>
    <d v="2026-09-09T01:33:00"/>
    <b v="0"/>
    <s v="Small Parts"/>
    <x v="2"/>
    <s v="Standard"/>
    <s v="Night"/>
    <s v="Experienced"/>
    <s v="Bulk Storage"/>
    <s v="Far"/>
    <n v="1"/>
    <s v="Wednesday"/>
    <s v="Medium (6-10)"/>
    <n v="2.5"/>
  </r>
  <r>
    <x v="262"/>
    <x v="38"/>
    <x v="10"/>
    <s v="C"/>
    <s v="I0044"/>
    <d v="2026-09-09T18:15:00"/>
    <d v="2026-09-09T18:24:00"/>
    <n v="5"/>
    <n v="9"/>
    <b v="0"/>
    <b v="0"/>
    <b v="0"/>
    <n v="10"/>
    <s v="High"/>
    <d v="2026-09-09T16:40:00"/>
    <b v="0"/>
    <s v="Electronics"/>
    <x v="1"/>
    <s v="Bulk"/>
    <s v="Night"/>
    <s v="Unknown"/>
    <s v="Small Parts"/>
    <s v="Medium"/>
    <n v="16"/>
    <s v="Wednesday"/>
    <s v="Medium (6-10)"/>
    <n v="1.8"/>
  </r>
  <r>
    <x v="263"/>
    <x v="154"/>
    <x v="31"/>
    <s v="D"/>
    <s v="I0034"/>
    <d v="2026-09-26T00:52:00"/>
    <d v="2026-09-26T01:01:00"/>
    <n v="3"/>
    <n v="9"/>
    <b v="0"/>
    <b v="0"/>
    <b v="0"/>
    <n v="4"/>
    <s v="Normal"/>
    <d v="2026-09-26T00:01:00"/>
    <b v="0"/>
    <s v="Bulk Materials"/>
    <x v="0"/>
    <s v="Climate-Controlled"/>
    <s v="Morning"/>
    <s v="Experienced"/>
    <s v="Fragile"/>
    <s v="Unknown"/>
    <n v="0"/>
    <s v="Saturday"/>
    <s v="Small (1-5)"/>
    <n v="3"/>
  </r>
  <r>
    <x v="264"/>
    <x v="127"/>
    <x v="16"/>
    <s v="D"/>
    <s v="I0046"/>
    <d v="2026-09-25T11:13:00"/>
    <d v="2026-09-25T11:22:00"/>
    <n v="1"/>
    <n v="9"/>
    <b v="0"/>
    <b v="0"/>
    <b v="0"/>
    <n v="4"/>
    <s v="Low"/>
    <d v="2026-09-25T10:16:00"/>
    <b v="0"/>
    <s v="Small Parts"/>
    <x v="2"/>
    <s v="Standard"/>
    <s v="Night"/>
    <s v="Intermediate"/>
    <s v="Fragile"/>
    <s v="Unknown"/>
    <n v="10"/>
    <s v="Friday"/>
    <s v="Small (1-5)"/>
    <n v="9"/>
  </r>
  <r>
    <x v="265"/>
    <x v="155"/>
    <x v="27"/>
    <s v="D"/>
    <s v="I0026"/>
    <d v="2026-09-06T21:07:00"/>
    <d v="2026-09-06T21:16:00"/>
    <n v="2"/>
    <n v="9"/>
    <b v="0"/>
    <b v="0"/>
    <b v="0"/>
    <n v="2"/>
    <s v="High"/>
    <d v="2026-09-06T18:09:00"/>
    <b v="0"/>
    <s v="Bulk Materials"/>
    <x v="0"/>
    <s v="Climate-Controlled"/>
    <s v="Night"/>
    <s v="Experienced"/>
    <s v="Fragile"/>
    <s v="Unknown"/>
    <n v="18"/>
    <s v="Sunday"/>
    <s v="Small (1-5)"/>
    <n v="4.5"/>
  </r>
  <r>
    <x v="266"/>
    <x v="156"/>
    <x v="31"/>
    <s v="D"/>
    <s v="I0026"/>
    <d v="2026-09-16T18:42:00"/>
    <d v="2026-09-16T18:51:00"/>
    <n v="1"/>
    <n v="9"/>
    <b v="0"/>
    <b v="0"/>
    <b v="0"/>
    <n v="5"/>
    <s v="High"/>
    <d v="2026-09-16T16:57:00"/>
    <b v="0"/>
    <s v="Bulk Materials"/>
    <x v="0"/>
    <s v="Climate-Controlled"/>
    <s v="Morning"/>
    <s v="Experienced"/>
    <s v="Fragile"/>
    <s v="Unknown"/>
    <n v="16"/>
    <s v="Wednesday"/>
    <s v="Small (1-5)"/>
    <n v="9"/>
  </r>
  <r>
    <x v="267"/>
    <x v="105"/>
    <x v="22"/>
    <s v="B"/>
    <s v="I0017"/>
    <d v="2026-09-07T15:53:00"/>
    <d v="2026-09-07T16:02:00"/>
    <n v="4"/>
    <n v="9"/>
    <b v="0"/>
    <b v="0"/>
    <b v="0"/>
    <n v="10"/>
    <s v="Low"/>
    <d v="2026-09-07T13:56:00"/>
    <b v="0"/>
    <s v="Bulk Materials"/>
    <x v="1"/>
    <s v="Bulk"/>
    <s v="Unknown"/>
    <s v="Unknown"/>
    <s v="Bulk Storage"/>
    <s v="Far"/>
    <n v="13"/>
    <s v="Monday"/>
    <s v="Medium (6-10)"/>
    <n v="2.25"/>
  </r>
  <r>
    <x v="268"/>
    <x v="157"/>
    <x v="11"/>
    <s v="D"/>
    <s v="I0003"/>
    <d v="2026-09-14T07:12:00"/>
    <d v="2026-09-14T07:21:00"/>
    <n v="3"/>
    <n v="9"/>
    <b v="0"/>
    <b v="0"/>
    <b v="0"/>
    <n v="8"/>
    <s v="Normal"/>
    <d v="2026-09-14T06:22:00"/>
    <b v="0"/>
    <s v="Unknown"/>
    <x v="0"/>
    <s v="Climate-Controlled"/>
    <s v="Night"/>
    <s v="Intermediate"/>
    <s v="Fragile"/>
    <s v="Unknown"/>
    <n v="6"/>
    <s v="Monday"/>
    <s v="Medium (6-10)"/>
    <n v="3"/>
  </r>
  <r>
    <x v="269"/>
    <x v="81"/>
    <x v="12"/>
    <s v="F"/>
    <s v="I0007"/>
    <d v="2026-09-04T17:53:00"/>
    <d v="2026-09-04T18:02:00"/>
    <n v="6"/>
    <n v="9"/>
    <b v="0"/>
    <b v="0"/>
    <b v="0"/>
    <n v="8"/>
    <s v="Urgent"/>
    <d v="2026-09-04T17:27:00"/>
    <b v="0"/>
    <s v="Small Parts"/>
    <x v="1"/>
    <s v="Fragile"/>
    <s v="Unknown"/>
    <s v="Intermediate"/>
    <s v="Bulk Storage"/>
    <s v="Near"/>
    <n v="17"/>
    <s v="Friday"/>
    <s v="Medium (6-10)"/>
    <n v="1.5"/>
  </r>
  <r>
    <x v="270"/>
    <x v="147"/>
    <x v="13"/>
    <s v="F"/>
    <s v="I0054"/>
    <d v="2026-09-17T09:02:00"/>
    <d v="2026-09-17T09:11:00"/>
    <n v="6"/>
    <n v="9"/>
    <b v="0"/>
    <b v="0"/>
    <b v="0"/>
    <n v="6"/>
    <s v="Urgent"/>
    <d v="2026-09-17T08:24:00"/>
    <b v="0"/>
    <s v="Small Parts"/>
    <x v="0"/>
    <s v="Bulk"/>
    <s v="Night"/>
    <s v="Intermediate"/>
    <s v="Bulk Storage"/>
    <s v="Near"/>
    <n v="8"/>
    <s v="Thursday"/>
    <s v="Medium (6-10)"/>
    <n v="1.5"/>
  </r>
  <r>
    <x v="271"/>
    <x v="158"/>
    <x v="14"/>
    <s v="H"/>
    <s v="I0061"/>
    <d v="2026-09-02T23:20:00"/>
    <d v="2026-09-02T23:29:00"/>
    <n v="7"/>
    <n v="9"/>
    <b v="0"/>
    <b v="0"/>
    <b v="0"/>
    <n v="6"/>
    <s v="Normal"/>
    <d v="2026-09-02T21:08:00"/>
    <b v="0"/>
    <s v="Home Goods"/>
    <x v="0"/>
    <s v="Climate-Controlled"/>
    <s v="Night"/>
    <s v="Unknown"/>
    <s v="Small Parts"/>
    <s v="Near"/>
    <n v="21"/>
    <s v="Wednesday"/>
    <s v="Medium (6-10)"/>
    <n v="1.285714285714286"/>
  </r>
  <r>
    <x v="272"/>
    <x v="151"/>
    <x v="31"/>
    <s v="F"/>
    <s v="I0036"/>
    <d v="2026-09-08T04:41:00"/>
    <d v="2026-09-08T04:50:00"/>
    <n v="3"/>
    <n v="9"/>
    <b v="0"/>
    <b v="0"/>
    <b v="0"/>
    <n v="6"/>
    <s v="Normal"/>
    <d v="2026-09-08T02:35:00"/>
    <b v="0"/>
    <s v="Apparel"/>
    <x v="0"/>
    <s v="Unknown"/>
    <s v="Morning"/>
    <s v="Experienced"/>
    <s v="Bulk Storage"/>
    <s v="Near"/>
    <n v="2"/>
    <s v="Tuesday"/>
    <s v="Medium (6-10)"/>
    <n v="3"/>
  </r>
  <r>
    <x v="273"/>
    <x v="55"/>
    <x v="3"/>
    <s v="E"/>
    <s v="I0050"/>
    <d v="2026-09-17T14:53:00"/>
    <d v="2026-09-17T15:02:00"/>
    <n v="7"/>
    <n v="9"/>
    <b v="0"/>
    <b v="0"/>
    <b v="0"/>
    <n v="8"/>
    <s v="Normal"/>
    <d v="2026-09-17T12:30:00"/>
    <b v="0"/>
    <s v="Home Goods"/>
    <x v="1"/>
    <s v="Bulk"/>
    <s v="Night"/>
    <s v="Beginner"/>
    <s v="Fast-Moving"/>
    <s v="Medium"/>
    <n v="12"/>
    <s v="Thursday"/>
    <s v="Medium (6-10)"/>
    <n v="1.285714285714286"/>
  </r>
  <r>
    <x v="274"/>
    <x v="55"/>
    <x v="12"/>
    <s v="B"/>
    <s v="I0078"/>
    <d v="2026-09-17T14:40:00"/>
    <d v="2026-09-17T14:49:00"/>
    <n v="4"/>
    <n v="9"/>
    <b v="0"/>
    <b v="0"/>
    <b v="0"/>
    <n v="8"/>
    <s v="Normal"/>
    <d v="2026-09-17T12:30:00"/>
    <b v="0"/>
    <s v="Apparel"/>
    <x v="1"/>
    <s v="Climate-Controlled"/>
    <s v="Unknown"/>
    <s v="Intermediate"/>
    <s v="Bulk Storage"/>
    <s v="Far"/>
    <n v="12"/>
    <s v="Thursday"/>
    <s v="Medium (6-10)"/>
    <n v="2.25"/>
  </r>
  <r>
    <x v="275"/>
    <x v="31"/>
    <x v="24"/>
    <s v="D"/>
    <s v="I0033"/>
    <d v="2026-09-04T14:13:00"/>
    <d v="2026-09-04T14:22:00"/>
    <n v="6"/>
    <n v="9"/>
    <b v="0"/>
    <b v="0"/>
    <b v="0"/>
    <n v="12"/>
    <s v="Normal"/>
    <d v="2026-09-04T12:31:00"/>
    <b v="0"/>
    <s v="Small Parts"/>
    <x v="1"/>
    <s v="Bulk"/>
    <s v="Night"/>
    <s v="Experienced"/>
    <s v="Fragile"/>
    <s v="Unknown"/>
    <n v="12"/>
    <s v="Friday"/>
    <s v="Large (11-20)"/>
    <n v="1.5"/>
  </r>
  <r>
    <x v="276"/>
    <x v="159"/>
    <x v="9"/>
    <s v="C"/>
    <s v="I0008"/>
    <d v="2026-09-26T08:15:00"/>
    <d v="2026-09-26T08:24:00"/>
    <n v="1"/>
    <n v="9"/>
    <b v="0"/>
    <b v="0"/>
    <b v="0"/>
    <n v="10"/>
    <s v="Normal"/>
    <d v="2026-09-26T05:21:00"/>
    <b v="0"/>
    <s v="Bulk Materials"/>
    <x v="0"/>
    <s v="Unknown"/>
    <s v="Unknown"/>
    <s v="Intermediate"/>
    <s v="Small Parts"/>
    <s v="Medium"/>
    <n v="5"/>
    <s v="Saturday"/>
    <s v="Medium (6-10)"/>
    <n v="9"/>
  </r>
  <r>
    <x v="277"/>
    <x v="108"/>
    <x v="4"/>
    <s v="G"/>
    <s v="I0013"/>
    <d v="2026-09-05T02:20:00"/>
    <d v="2026-09-05T02:29:00"/>
    <n v="1"/>
    <n v="9"/>
    <b v="0"/>
    <b v="0"/>
    <b v="0"/>
    <m/>
    <s v="Normal"/>
    <d v="2026-09-05T00:52:00"/>
    <b v="1"/>
    <s v="Home Goods"/>
    <x v="1"/>
    <s v="Unknown"/>
    <s v="Night"/>
    <s v="Unknown"/>
    <s v="Cold Storage"/>
    <s v="Far"/>
    <n v="0"/>
    <s v="Saturday"/>
    <m/>
    <n v="9"/>
  </r>
  <r>
    <x v="278"/>
    <x v="121"/>
    <x v="25"/>
    <s v="F"/>
    <s v="I0024"/>
    <d v="2026-09-26T09:24:00"/>
    <d v="2026-09-26T09:33:00"/>
    <n v="4"/>
    <n v="9"/>
    <b v="0"/>
    <b v="0"/>
    <b v="0"/>
    <n v="8"/>
    <s v="Normal"/>
    <d v="2026-09-26T07:22:00"/>
    <b v="0"/>
    <s v="Fragile Goods"/>
    <x v="0"/>
    <s v="Fragile"/>
    <s v="Night"/>
    <s v="Experienced"/>
    <s v="Bulk Storage"/>
    <s v="Near"/>
    <n v="7"/>
    <s v="Saturday"/>
    <s v="Medium (6-10)"/>
    <n v="2.25"/>
  </r>
  <r>
    <x v="279"/>
    <x v="160"/>
    <x v="10"/>
    <s v="F"/>
    <s v="I0062"/>
    <d v="2026-09-07T18:42:00"/>
    <d v="2026-09-07T18:51:00"/>
    <n v="5"/>
    <n v="9"/>
    <b v="0"/>
    <b v="0"/>
    <b v="0"/>
    <n v="8"/>
    <s v="Urgent"/>
    <d v="2026-09-07T16:32:00"/>
    <b v="0"/>
    <s v="Home Goods"/>
    <x v="1"/>
    <s v="Bulk"/>
    <s v="Night"/>
    <s v="Unknown"/>
    <s v="Bulk Storage"/>
    <s v="Near"/>
    <n v="16"/>
    <s v="Monday"/>
    <s v="Medium (6-10)"/>
    <n v="1.8"/>
  </r>
  <r>
    <x v="280"/>
    <x v="120"/>
    <x v="1"/>
    <s v="H"/>
    <s v="I0044"/>
    <d v="2026-09-12T09:11:00"/>
    <d v="2026-09-12T09:20:00"/>
    <n v="7"/>
    <n v="9"/>
    <b v="0"/>
    <b v="0"/>
    <b v="0"/>
    <n v="6"/>
    <s v="High"/>
    <d v="2026-09-12T09:08:00"/>
    <b v="0"/>
    <s v="Electronics"/>
    <x v="1"/>
    <s v="Bulk"/>
    <s v="Night"/>
    <s v="Beginner"/>
    <s v="Small Parts"/>
    <s v="Near"/>
    <n v="9"/>
    <s v="Saturday"/>
    <s v="Medium (6-10)"/>
    <n v="1.285714285714286"/>
  </r>
  <r>
    <x v="281"/>
    <x v="161"/>
    <x v="25"/>
    <s v="B"/>
    <s v="I0009"/>
    <d v="2026-09-06T23:43:00"/>
    <d v="2026-09-06T23:52:00"/>
    <n v="4"/>
    <n v="9"/>
    <b v="0"/>
    <b v="0"/>
    <b v="0"/>
    <n v="6"/>
    <s v="Normal"/>
    <d v="2026-09-06T21:16:00"/>
    <b v="0"/>
    <s v="Bulk Materials"/>
    <x v="0"/>
    <s v="Fragile"/>
    <s v="Night"/>
    <s v="Experienced"/>
    <s v="Bulk Storage"/>
    <s v="Far"/>
    <n v="21"/>
    <s v="Sunday"/>
    <s v="Medium (6-10)"/>
    <n v="2.25"/>
  </r>
  <r>
    <x v="282"/>
    <x v="161"/>
    <x v="31"/>
    <s v="D"/>
    <s v="I0048"/>
    <d v="2026-09-06T22:01:00"/>
    <d v="2026-09-06T22:10:00"/>
    <n v="3"/>
    <n v="9"/>
    <b v="0"/>
    <b v="0"/>
    <b v="0"/>
    <n v="6"/>
    <s v="Normal"/>
    <d v="2026-09-06T21:16:00"/>
    <b v="0"/>
    <s v="Electronics"/>
    <x v="2"/>
    <s v="Standard"/>
    <s v="Morning"/>
    <s v="Experienced"/>
    <s v="Fragile"/>
    <s v="Unknown"/>
    <n v="21"/>
    <s v="Sunday"/>
    <s v="Medium (6-10)"/>
    <n v="3"/>
  </r>
  <r>
    <x v="283"/>
    <x v="36"/>
    <x v="27"/>
    <s v="B"/>
    <s v="I0002"/>
    <d v="2026-09-08T12:26:00"/>
    <d v="2026-09-08T12:35:00"/>
    <n v="7"/>
    <n v="9"/>
    <b v="0"/>
    <b v="0"/>
    <b v="0"/>
    <n v="8"/>
    <s v="Normal"/>
    <d v="2026-09-08T10:31:00"/>
    <b v="0"/>
    <s v="Small Parts"/>
    <x v="0"/>
    <s v="Fragile"/>
    <s v="Night"/>
    <s v="Experienced"/>
    <s v="Bulk Storage"/>
    <s v="Far"/>
    <n v="10"/>
    <s v="Tuesday"/>
    <s v="Medium (6-10)"/>
    <n v="1.285714285714286"/>
  </r>
  <r>
    <x v="284"/>
    <x v="36"/>
    <x v="11"/>
    <s v="C"/>
    <s v="I0018"/>
    <d v="2026-09-08T10:31:00"/>
    <d v="2026-09-08T10:40:00"/>
    <n v="6"/>
    <n v="9"/>
    <b v="0"/>
    <b v="0"/>
    <b v="0"/>
    <n v="8"/>
    <s v="Normal"/>
    <d v="2026-09-08T10:31:00"/>
    <b v="0"/>
    <s v="Bulk Materials"/>
    <x v="0"/>
    <s v="Bulk"/>
    <s v="Night"/>
    <s v="Intermediate"/>
    <s v="Small Parts"/>
    <s v="Medium"/>
    <n v="10"/>
    <s v="Tuesday"/>
    <s v="Medium (6-10)"/>
    <n v="1.5"/>
  </r>
  <r>
    <x v="285"/>
    <x v="162"/>
    <x v="1"/>
    <s v="H"/>
    <s v="I0074"/>
    <d v="2026-09-24T03:38:00"/>
    <d v="2026-09-24T03:47:00"/>
    <n v="6"/>
    <n v="9"/>
    <b v="0"/>
    <b v="0"/>
    <b v="0"/>
    <n v="12"/>
    <s v="Normal"/>
    <d v="2026-09-24T01:08:00"/>
    <b v="0"/>
    <s v="Fragile Goods"/>
    <x v="1"/>
    <s v="Climate-Controlled"/>
    <s v="Night"/>
    <s v="Beginner"/>
    <s v="Small Parts"/>
    <s v="Near"/>
    <n v="1"/>
    <s v="Thursday"/>
    <s v="Large (11-20)"/>
    <n v="1.5"/>
  </r>
  <r>
    <x v="286"/>
    <x v="87"/>
    <x v="8"/>
    <s v="B"/>
    <s v="I0005"/>
    <d v="2026-09-17T22:24:00"/>
    <d v="2026-09-17T22:33:00"/>
    <n v="5"/>
    <n v="9"/>
    <b v="0"/>
    <b v="0"/>
    <b v="0"/>
    <n v="12"/>
    <s v="High"/>
    <d v="2026-09-17T21:14:00"/>
    <b v="0"/>
    <s v="Apparel"/>
    <x v="0"/>
    <s v="Climate-Controlled"/>
    <s v="Evening"/>
    <s v="Unknown"/>
    <s v="Bulk Storage"/>
    <s v="Far"/>
    <n v="21"/>
    <s v="Thursday"/>
    <s v="Large (11-20)"/>
    <n v="1.8"/>
  </r>
  <r>
    <x v="287"/>
    <x v="50"/>
    <x v="23"/>
    <s v="D"/>
    <s v="I0038"/>
    <d v="2026-09-23T19:29:00"/>
    <d v="2026-09-23T19:38:00"/>
    <n v="1"/>
    <n v="9"/>
    <b v="0"/>
    <b v="0"/>
    <b v="0"/>
    <n v="10"/>
    <s v="Normal"/>
    <d v="2026-09-23T19:24:00"/>
    <b v="0"/>
    <s v="Small Parts"/>
    <x v="0"/>
    <s v="Unknown"/>
    <s v="Evening"/>
    <s v="Intermediate"/>
    <s v="Fragile"/>
    <s v="Unknown"/>
    <n v="19"/>
    <s v="Wednesday"/>
    <s v="Medium (6-10)"/>
    <n v="9"/>
  </r>
  <r>
    <x v="288"/>
    <x v="163"/>
    <x v="26"/>
    <s v="D"/>
    <s v="I0032"/>
    <d v="2026-09-22T22:10:00"/>
    <d v="2026-09-22T22:19:00"/>
    <n v="5"/>
    <n v="9"/>
    <b v="0"/>
    <b v="0"/>
    <b v="0"/>
    <n v="2"/>
    <s v="Normal"/>
    <d v="2026-09-22T19:39:00"/>
    <b v="0"/>
    <s v="Bulk Materials"/>
    <x v="2"/>
    <s v="Standard"/>
    <s v="Morning"/>
    <s v="Experienced"/>
    <s v="Fragile"/>
    <s v="Unknown"/>
    <n v="19"/>
    <s v="Tuesday"/>
    <s v="Small (1-5)"/>
    <n v="1.8"/>
  </r>
  <r>
    <x v="289"/>
    <x v="164"/>
    <x v="1"/>
    <s v="H"/>
    <s v="I0047"/>
    <d v="2026-09-13T23:56:00"/>
    <d v="2026-09-14T00:05:00"/>
    <n v="7"/>
    <n v="9"/>
    <b v="0"/>
    <b v="0"/>
    <b v="0"/>
    <n v="8"/>
    <s v="Urgent"/>
    <d v="2026-09-13T22:48:00"/>
    <b v="0"/>
    <s v="Electronics"/>
    <x v="0"/>
    <s v="Unknown"/>
    <s v="Night"/>
    <s v="Beginner"/>
    <s v="Small Parts"/>
    <s v="Near"/>
    <n v="22"/>
    <s v="Sunday"/>
    <s v="Medium (6-10)"/>
    <n v="1.285714285714286"/>
  </r>
  <r>
    <x v="290"/>
    <x v="164"/>
    <x v="15"/>
    <s v="C"/>
    <s v="I0008"/>
    <d v="2026-09-14T00:34:00"/>
    <d v="2026-09-14T00:43:00"/>
    <n v="7"/>
    <n v="9"/>
    <b v="0"/>
    <b v="0"/>
    <b v="0"/>
    <n v="8"/>
    <s v="Urgent"/>
    <d v="2026-09-13T22:48:00"/>
    <b v="0"/>
    <s v="Bulk Materials"/>
    <x v="0"/>
    <s v="Unknown"/>
    <s v="Morning"/>
    <s v="Unknown"/>
    <s v="Small Parts"/>
    <s v="Medium"/>
    <n v="22"/>
    <s v="Sunday"/>
    <s v="Medium (6-10)"/>
    <n v="1.285714285714286"/>
  </r>
  <r>
    <x v="291"/>
    <x v="7"/>
    <x v="21"/>
    <s v="G"/>
    <s v="I0056"/>
    <d v="2026-09-09T14:03:00"/>
    <d v="2026-09-09T14:12:00"/>
    <n v="4"/>
    <n v="9"/>
    <b v="0"/>
    <b v="0"/>
    <b v="0"/>
    <n v="10"/>
    <s v="Urgent"/>
    <d v="2026-09-09T12:46:00"/>
    <b v="0"/>
    <s v="Apparel"/>
    <x v="1"/>
    <s v="Fragile"/>
    <s v="Morning"/>
    <s v="Intermediate"/>
    <s v="Cold Storage"/>
    <s v="Far"/>
    <n v="12"/>
    <s v="Wednesday"/>
    <s v="Medium (6-10)"/>
    <n v="2.25"/>
  </r>
  <r>
    <x v="292"/>
    <x v="108"/>
    <x v="10"/>
    <s v="B"/>
    <s v="I0068"/>
    <d v="2026-09-05T03:40:00"/>
    <d v="2026-09-05T03:49:00"/>
    <n v="1"/>
    <n v="9"/>
    <b v="0"/>
    <b v="0"/>
    <b v="0"/>
    <m/>
    <s v="Normal"/>
    <d v="2026-09-05T00:52:00"/>
    <b v="1"/>
    <s v="Electronics"/>
    <x v="1"/>
    <s v="Climate-Controlled"/>
    <s v="Night"/>
    <s v="Unknown"/>
    <s v="Bulk Storage"/>
    <s v="Far"/>
    <n v="0"/>
    <s v="Saturday"/>
    <m/>
    <n v="9"/>
  </r>
  <r>
    <x v="293"/>
    <x v="134"/>
    <x v="18"/>
    <s v="G"/>
    <s v="I0058"/>
    <d v="2026-09-15T03:32:00"/>
    <d v="2026-09-15T03:41:00"/>
    <n v="2"/>
    <n v="9"/>
    <b v="0"/>
    <b v="0"/>
    <b v="0"/>
    <n v="6"/>
    <s v="Low"/>
    <d v="2026-09-15T01:53:00"/>
    <b v="0"/>
    <s v="Home Goods"/>
    <x v="1"/>
    <s v="Unknown"/>
    <s v="Night"/>
    <s v="Intermediate"/>
    <s v="Cold Storage"/>
    <s v="Far"/>
    <n v="1"/>
    <s v="Tuesday"/>
    <s v="Medium (6-10)"/>
    <n v="4.5"/>
  </r>
  <r>
    <x v="294"/>
    <x v="113"/>
    <x v="21"/>
    <s v="B"/>
    <s v="I0075"/>
    <d v="2026-09-09T15:19:00"/>
    <d v="2026-09-09T15:28:00"/>
    <n v="4"/>
    <n v="9"/>
    <b v="0"/>
    <b v="0"/>
    <b v="0"/>
    <n v="12"/>
    <s v="Low"/>
    <d v="2026-09-09T12:24:00"/>
    <b v="0"/>
    <s v="Fragile Goods"/>
    <x v="0"/>
    <s v="Standard"/>
    <s v="Morning"/>
    <s v="Intermediate"/>
    <s v="Bulk Storage"/>
    <s v="Far"/>
    <n v="12"/>
    <s v="Wednesday"/>
    <s v="Large (11-20)"/>
    <n v="2.25"/>
  </r>
  <r>
    <x v="295"/>
    <x v="113"/>
    <x v="27"/>
    <s v="D"/>
    <s v="I0038"/>
    <d v="2026-09-09T12:49:00"/>
    <d v="2026-09-09T12:58:00"/>
    <n v="5"/>
    <n v="9"/>
    <b v="0"/>
    <b v="0"/>
    <b v="0"/>
    <n v="12"/>
    <s v="Low"/>
    <d v="2026-09-09T12:24:00"/>
    <b v="0"/>
    <s v="Small Parts"/>
    <x v="0"/>
    <s v="Unknown"/>
    <s v="Night"/>
    <s v="Experienced"/>
    <s v="Fragile"/>
    <s v="Unknown"/>
    <n v="12"/>
    <s v="Wednesday"/>
    <s v="Large (11-20)"/>
    <n v="1.8"/>
  </r>
  <r>
    <x v="296"/>
    <x v="113"/>
    <x v="23"/>
    <s v="G"/>
    <s v="I0068"/>
    <d v="2026-09-09T15:06:00"/>
    <d v="2026-09-09T15:15:00"/>
    <n v="4"/>
    <n v="9"/>
    <b v="0"/>
    <b v="0"/>
    <b v="0"/>
    <n v="12"/>
    <s v="Low"/>
    <d v="2026-09-09T12:24:00"/>
    <b v="0"/>
    <s v="Electronics"/>
    <x v="1"/>
    <s v="Climate-Controlled"/>
    <s v="Evening"/>
    <s v="Intermediate"/>
    <s v="Cold Storage"/>
    <s v="Far"/>
    <n v="12"/>
    <s v="Wednesday"/>
    <s v="Large (11-20)"/>
    <n v="2.25"/>
  </r>
  <r>
    <x v="297"/>
    <x v="136"/>
    <x v="15"/>
    <s v="F"/>
    <s v="I0054"/>
    <d v="2026-09-20T10:12:00"/>
    <d v="2026-09-20T10:21:00"/>
    <n v="3"/>
    <n v="9"/>
    <b v="0"/>
    <b v="0"/>
    <b v="0"/>
    <n v="8"/>
    <s v="Normal"/>
    <d v="2026-09-20T09:05:00"/>
    <b v="0"/>
    <s v="Small Parts"/>
    <x v="0"/>
    <s v="Bulk"/>
    <s v="Morning"/>
    <s v="Unknown"/>
    <s v="Bulk Storage"/>
    <s v="Near"/>
    <n v="9"/>
    <s v="Sunday"/>
    <s v="Medium (6-10)"/>
    <n v="3"/>
  </r>
  <r>
    <x v="298"/>
    <x v="136"/>
    <x v="23"/>
    <s v="E"/>
    <s v="I0005"/>
    <d v="2026-09-20T10:29:00"/>
    <d v="2026-09-20T10:38:00"/>
    <n v="5"/>
    <n v="9"/>
    <b v="0"/>
    <b v="0"/>
    <b v="0"/>
    <n v="8"/>
    <s v="Normal"/>
    <d v="2026-09-20T09:05:00"/>
    <b v="0"/>
    <s v="Apparel"/>
    <x v="0"/>
    <s v="Climate-Controlled"/>
    <s v="Evening"/>
    <s v="Intermediate"/>
    <s v="Fast-Moving"/>
    <s v="Medium"/>
    <n v="9"/>
    <s v="Sunday"/>
    <s v="Medium (6-10)"/>
    <n v="1.8"/>
  </r>
  <r>
    <x v="299"/>
    <x v="139"/>
    <x v="3"/>
    <s v="B"/>
    <s v="I0040"/>
    <d v="2026-09-13T08:06:00"/>
    <d v="2026-09-13T08:15:00"/>
    <n v="1"/>
    <n v="9"/>
    <b v="0"/>
    <b v="0"/>
    <b v="0"/>
    <n v="10"/>
    <s v="High"/>
    <d v="2026-09-13T05:29:00"/>
    <b v="0"/>
    <s v="Unknown"/>
    <x v="1"/>
    <s v="Standard"/>
    <s v="Night"/>
    <s v="Beginner"/>
    <s v="Bulk Storage"/>
    <s v="Far"/>
    <n v="5"/>
    <s v="Sunday"/>
    <s v="Medium (6-10)"/>
    <n v="9"/>
  </r>
  <r>
    <x v="300"/>
    <x v="23"/>
    <x v="8"/>
    <s v="B"/>
    <s v="I0027"/>
    <d v="2026-09-25T09:40:00"/>
    <d v="2026-09-25T09:49:00"/>
    <n v="4"/>
    <n v="9"/>
    <b v="0"/>
    <b v="0"/>
    <b v="0"/>
    <n v="20"/>
    <s v="High"/>
    <d v="2026-09-25T08:21:00"/>
    <b v="0"/>
    <s v="Unknown"/>
    <x v="2"/>
    <s v="Bulk"/>
    <s v="Evening"/>
    <s v="Unknown"/>
    <s v="Bulk Storage"/>
    <s v="Far"/>
    <n v="8"/>
    <s v="Friday"/>
    <s v="Large (11-20)"/>
    <n v="2.25"/>
  </r>
  <r>
    <x v="301"/>
    <x v="165"/>
    <x v="6"/>
    <s v="H"/>
    <s v="I0015"/>
    <d v="2026-09-12T10:45:00"/>
    <d v="2026-09-12T10:54:00"/>
    <n v="7"/>
    <n v="9"/>
    <b v="0"/>
    <b v="0"/>
    <b v="0"/>
    <n v="5"/>
    <s v="Normal"/>
    <d v="2026-09-12T09:49:00"/>
    <b v="0"/>
    <s v="Bulk Materials"/>
    <x v="1"/>
    <s v="Fragile"/>
    <s v="Night"/>
    <s v="Intermediate"/>
    <s v="Small Parts"/>
    <s v="Near"/>
    <n v="9"/>
    <s v="Saturday"/>
    <s v="Small (1-5)"/>
    <n v="1.285714285714286"/>
  </r>
  <r>
    <x v="302"/>
    <x v="166"/>
    <x v="5"/>
    <s v="D"/>
    <s v="I0037"/>
    <d v="2026-09-20T07:09:00"/>
    <d v="2026-09-20T07:18:00"/>
    <n v="3"/>
    <n v="9"/>
    <b v="0"/>
    <b v="0"/>
    <b v="0"/>
    <n v="4"/>
    <s v="Normal"/>
    <d v="2026-09-20T06:42:00"/>
    <b v="0"/>
    <s v="Electronics"/>
    <x v="1"/>
    <s v="Climate-Controlled"/>
    <s v="Unknown"/>
    <s v="Beginner"/>
    <s v="Fragile"/>
    <s v="Unknown"/>
    <n v="6"/>
    <s v="Sunday"/>
    <s v="Small (1-5)"/>
    <n v="3"/>
  </r>
  <r>
    <x v="303"/>
    <x v="166"/>
    <x v="12"/>
    <s v="E"/>
    <s v="I0035"/>
    <d v="2026-09-20T07:33:00"/>
    <d v="2026-09-20T07:42:00"/>
    <n v="5"/>
    <n v="9"/>
    <b v="0"/>
    <b v="0"/>
    <b v="0"/>
    <n v="4"/>
    <s v="Normal"/>
    <d v="2026-09-20T06:42:00"/>
    <b v="0"/>
    <s v="Unknown"/>
    <x v="1"/>
    <s v="Fragile"/>
    <s v="Unknown"/>
    <s v="Intermediate"/>
    <s v="Fast-Moving"/>
    <s v="Medium"/>
    <n v="6"/>
    <s v="Sunday"/>
    <s v="Small (1-5)"/>
    <n v="1.8"/>
  </r>
  <r>
    <x v="304"/>
    <x v="137"/>
    <x v="4"/>
    <s v="F"/>
    <s v="I0033"/>
    <d v="2026-09-14T04:38:00"/>
    <d v="2026-09-14T04:47:00"/>
    <n v="4"/>
    <n v="9"/>
    <b v="0"/>
    <b v="0"/>
    <b v="0"/>
    <n v="12"/>
    <s v="High"/>
    <d v="2026-09-14T04:06:00"/>
    <b v="0"/>
    <s v="Small Parts"/>
    <x v="1"/>
    <s v="Bulk"/>
    <s v="Night"/>
    <s v="Unknown"/>
    <s v="Bulk Storage"/>
    <s v="Near"/>
    <n v="4"/>
    <s v="Monday"/>
    <s v="Large (11-20)"/>
    <n v="2.25"/>
  </r>
  <r>
    <x v="305"/>
    <x v="167"/>
    <x v="13"/>
    <s v="F"/>
    <s v="I0039"/>
    <d v="2026-09-15T00:34:00"/>
    <d v="2026-09-15T00:43:00"/>
    <n v="4"/>
    <n v="9"/>
    <b v="0"/>
    <b v="0"/>
    <b v="0"/>
    <n v="15"/>
    <s v="High"/>
    <d v="2026-09-14T23:39:00"/>
    <b v="0"/>
    <s v="Apparel"/>
    <x v="0"/>
    <s v="Fragile"/>
    <s v="Night"/>
    <s v="Intermediate"/>
    <s v="Bulk Storage"/>
    <s v="Near"/>
    <n v="23"/>
    <s v="Monday"/>
    <s v="Large (11-20)"/>
    <n v="2.25"/>
  </r>
  <r>
    <x v="306"/>
    <x v="167"/>
    <x v="14"/>
    <s v="C"/>
    <s v="I0072"/>
    <d v="2026-09-15T02:33:00"/>
    <d v="2026-09-15T02:42:00"/>
    <n v="4"/>
    <n v="9"/>
    <b v="0"/>
    <b v="0"/>
    <b v="0"/>
    <n v="15"/>
    <s v="High"/>
    <d v="2026-09-14T23:39:00"/>
    <b v="0"/>
    <s v="Electronics"/>
    <x v="1"/>
    <s v="Climate-Controlled"/>
    <s v="Night"/>
    <s v="Unknown"/>
    <s v="Small Parts"/>
    <s v="Medium"/>
    <n v="23"/>
    <s v="Monday"/>
    <s v="Large (11-20)"/>
    <n v="2.25"/>
  </r>
  <r>
    <x v="307"/>
    <x v="63"/>
    <x v="16"/>
    <s v="C"/>
    <s v="I0038"/>
    <d v="2026-09-13T14:38:00"/>
    <d v="2026-09-13T14:47:00"/>
    <n v="6"/>
    <n v="9"/>
    <b v="0"/>
    <b v="0"/>
    <b v="0"/>
    <n v="3"/>
    <s v="Normal"/>
    <d v="2026-09-13T14:13:00"/>
    <b v="0"/>
    <s v="Small Parts"/>
    <x v="0"/>
    <s v="Unknown"/>
    <s v="Night"/>
    <s v="Intermediate"/>
    <s v="Small Parts"/>
    <s v="Medium"/>
    <n v="14"/>
    <s v="Sunday"/>
    <s v="Small (1-5)"/>
    <n v="1.5"/>
  </r>
  <r>
    <x v="308"/>
    <x v="135"/>
    <x v="1"/>
    <s v="E"/>
    <s v="I0007"/>
    <d v="2026-09-17T03:51:00"/>
    <d v="2026-09-17T04:00:00"/>
    <n v="5"/>
    <n v="9"/>
    <b v="0"/>
    <b v="0"/>
    <b v="0"/>
    <n v="4"/>
    <s v="Normal"/>
    <d v="2026-09-17T01:38:00"/>
    <b v="0"/>
    <s v="Small Parts"/>
    <x v="1"/>
    <s v="Fragile"/>
    <s v="Night"/>
    <s v="Beginner"/>
    <s v="Fast-Moving"/>
    <s v="Medium"/>
    <n v="1"/>
    <s v="Thursday"/>
    <s v="Small (1-5)"/>
    <n v="1.8"/>
  </r>
  <r>
    <x v="309"/>
    <x v="11"/>
    <x v="17"/>
    <s v="D"/>
    <s v="I0024"/>
    <d v="2026-09-12T02:23:00"/>
    <d v="2026-09-12T02:32:00"/>
    <n v="2"/>
    <n v="9"/>
    <b v="0"/>
    <b v="0"/>
    <b v="0"/>
    <n v="20"/>
    <s v="Normal"/>
    <d v="2026-09-12T00:55:00"/>
    <b v="0"/>
    <s v="Fragile Goods"/>
    <x v="0"/>
    <s v="Fragile"/>
    <s v="Night"/>
    <s v="Intermediate"/>
    <s v="Fragile"/>
    <s v="Unknown"/>
    <n v="0"/>
    <s v="Saturday"/>
    <s v="Large (11-20)"/>
    <n v="4.5"/>
  </r>
  <r>
    <x v="310"/>
    <x v="96"/>
    <x v="17"/>
    <s v="D"/>
    <s v="I0027"/>
    <d v="2026-09-27T03:52:00"/>
    <d v="2026-09-27T04:01:00"/>
    <n v="2"/>
    <n v="9"/>
    <b v="0"/>
    <b v="0"/>
    <b v="0"/>
    <n v="6"/>
    <s v="High"/>
    <d v="2026-09-27T03:37:00"/>
    <b v="0"/>
    <s v="Unknown"/>
    <x v="2"/>
    <s v="Bulk"/>
    <s v="Night"/>
    <s v="Intermediate"/>
    <s v="Fragile"/>
    <s v="Unknown"/>
    <n v="3"/>
    <s v="Sunday"/>
    <s v="Medium (6-10)"/>
    <n v="4.5"/>
  </r>
  <r>
    <x v="311"/>
    <x v="4"/>
    <x v="14"/>
    <s v="G"/>
    <s v="I0060"/>
    <d v="2026-09-10T03:06:00"/>
    <d v="2026-09-10T03:15:00"/>
    <n v="5"/>
    <n v="9"/>
    <b v="0"/>
    <b v="0"/>
    <b v="0"/>
    <n v="10"/>
    <s v="Normal"/>
    <d v="2026-09-10T01:19:00"/>
    <b v="0"/>
    <s v="Small Parts"/>
    <x v="2"/>
    <s v="Climate-Controlled"/>
    <s v="Night"/>
    <s v="Unknown"/>
    <s v="Cold Storage"/>
    <s v="Far"/>
    <n v="1"/>
    <s v="Thursday"/>
    <s v="Medium (6-10)"/>
    <n v="1.8"/>
  </r>
  <r>
    <x v="312"/>
    <x v="4"/>
    <x v="22"/>
    <s v="F"/>
    <s v="I0079"/>
    <d v="2026-09-10T01:32:00"/>
    <d v="2026-09-10T01:41:00"/>
    <n v="6"/>
    <n v="9"/>
    <b v="0"/>
    <b v="0"/>
    <b v="0"/>
    <n v="10"/>
    <s v="Normal"/>
    <d v="2026-09-10T01:19:00"/>
    <b v="0"/>
    <s v="Fragile Goods"/>
    <x v="0"/>
    <s v="Bulk"/>
    <s v="Unknown"/>
    <s v="Unknown"/>
    <s v="Bulk Storage"/>
    <s v="Near"/>
    <n v="1"/>
    <s v="Thursday"/>
    <s v="Medium (6-10)"/>
    <n v="1.5"/>
  </r>
  <r>
    <x v="313"/>
    <x v="4"/>
    <x v="22"/>
    <s v="H"/>
    <s v="I0024"/>
    <d v="2026-09-10T02:45:00"/>
    <d v="2026-09-10T02:54:00"/>
    <n v="4"/>
    <n v="9"/>
    <b v="0"/>
    <b v="0"/>
    <b v="0"/>
    <n v="10"/>
    <s v="Normal"/>
    <d v="2026-09-10T01:19:00"/>
    <b v="0"/>
    <s v="Fragile Goods"/>
    <x v="0"/>
    <s v="Fragile"/>
    <s v="Unknown"/>
    <s v="Unknown"/>
    <s v="Small Parts"/>
    <s v="Near"/>
    <n v="1"/>
    <s v="Thursday"/>
    <s v="Medium (6-10)"/>
    <n v="2.25"/>
  </r>
  <r>
    <x v="314"/>
    <x v="167"/>
    <x v="0"/>
    <s v="C"/>
    <s v="I0036"/>
    <d v="2026-09-15T01:51:00"/>
    <d v="2026-09-15T02:00:00"/>
    <n v="4"/>
    <n v="9"/>
    <b v="0"/>
    <b v="0"/>
    <b v="0"/>
    <n v="15"/>
    <s v="High"/>
    <d v="2026-09-14T23:39:00"/>
    <b v="0"/>
    <s v="Apparel"/>
    <x v="0"/>
    <s v="Unknown"/>
    <s v="Night"/>
    <s v="Beginner"/>
    <s v="Small Parts"/>
    <s v="Medium"/>
    <n v="23"/>
    <s v="Monday"/>
    <s v="Large (11-20)"/>
    <n v="2.25"/>
  </r>
  <r>
    <x v="315"/>
    <x v="87"/>
    <x v="6"/>
    <s v="C"/>
    <s v="I0018"/>
    <d v="2026-09-17T21:52:00"/>
    <d v="2026-09-17T22:01:00"/>
    <n v="7"/>
    <n v="9"/>
    <b v="0"/>
    <b v="0"/>
    <b v="0"/>
    <n v="12"/>
    <s v="High"/>
    <d v="2026-09-17T21:14:00"/>
    <b v="0"/>
    <s v="Bulk Materials"/>
    <x v="0"/>
    <s v="Bulk"/>
    <s v="Night"/>
    <s v="Intermediate"/>
    <s v="Small Parts"/>
    <s v="Medium"/>
    <n v="21"/>
    <s v="Thursday"/>
    <s v="Large (11-20)"/>
    <n v="1.285714285714286"/>
  </r>
  <r>
    <x v="316"/>
    <x v="168"/>
    <x v="14"/>
    <s v="D"/>
    <s v="I0015"/>
    <d v="2026-09-18T00:14:00"/>
    <d v="2026-09-18T00:23:00"/>
    <n v="5"/>
    <n v="9"/>
    <b v="0"/>
    <b v="0"/>
    <b v="0"/>
    <n v="5"/>
    <s v="Normal"/>
    <d v="2026-09-17T21:43:00"/>
    <b v="0"/>
    <s v="Bulk Materials"/>
    <x v="1"/>
    <s v="Fragile"/>
    <s v="Night"/>
    <s v="Unknown"/>
    <s v="Fragile"/>
    <s v="Unknown"/>
    <n v="21"/>
    <s v="Thursday"/>
    <s v="Small (1-5)"/>
    <n v="1.8"/>
  </r>
  <r>
    <x v="317"/>
    <x v="97"/>
    <x v="31"/>
    <s v="C"/>
    <s v="I0039"/>
    <d v="2026-09-15T21:34:00"/>
    <d v="2026-09-15T21:43:00"/>
    <n v="7"/>
    <n v="9"/>
    <b v="0"/>
    <b v="0"/>
    <b v="0"/>
    <n v="15"/>
    <s v="Normal"/>
    <d v="2026-09-15T20:02:00"/>
    <b v="0"/>
    <s v="Apparel"/>
    <x v="0"/>
    <s v="Fragile"/>
    <s v="Morning"/>
    <s v="Experienced"/>
    <s v="Small Parts"/>
    <s v="Medium"/>
    <n v="20"/>
    <s v="Tuesday"/>
    <s v="Large (11-20)"/>
    <n v="1.285714285714286"/>
  </r>
  <r>
    <x v="318"/>
    <x v="97"/>
    <x v="2"/>
    <s v="E"/>
    <s v="I0072"/>
    <d v="2026-09-15T21:53:00"/>
    <d v="2026-09-15T22:02:00"/>
    <n v="3"/>
    <n v="9"/>
    <b v="0"/>
    <b v="0"/>
    <b v="0"/>
    <n v="15"/>
    <s v="Normal"/>
    <d v="2026-09-15T20:02:00"/>
    <b v="0"/>
    <s v="Electronics"/>
    <x v="1"/>
    <s v="Climate-Controlled"/>
    <s v="Evening"/>
    <s v="Beginner"/>
    <s v="Fast-Moving"/>
    <s v="Medium"/>
    <n v="20"/>
    <s v="Tuesday"/>
    <s v="Large (11-20)"/>
    <n v="3"/>
  </r>
  <r>
    <x v="319"/>
    <x v="87"/>
    <x v="11"/>
    <s v="C"/>
    <s v="I0075"/>
    <d v="2026-09-17T22:08:00"/>
    <d v="2026-09-17T22:17:00"/>
    <n v="7"/>
    <n v="9"/>
    <b v="0"/>
    <b v="0"/>
    <b v="0"/>
    <n v="12"/>
    <s v="High"/>
    <d v="2026-09-17T21:14:00"/>
    <b v="0"/>
    <s v="Fragile Goods"/>
    <x v="0"/>
    <s v="Standard"/>
    <s v="Night"/>
    <s v="Intermediate"/>
    <s v="Small Parts"/>
    <s v="Medium"/>
    <n v="21"/>
    <s v="Thursday"/>
    <s v="Large (11-20)"/>
    <n v="1.285714285714286"/>
  </r>
  <r>
    <x v="320"/>
    <x v="21"/>
    <x v="0"/>
    <s v="H"/>
    <s v="I0057"/>
    <d v="2026-09-18T12:01:00"/>
    <d v="2026-09-18T12:10:00"/>
    <n v="7"/>
    <n v="9"/>
    <b v="0"/>
    <b v="0"/>
    <b v="0"/>
    <n v="6"/>
    <s v="Urgent"/>
    <d v="2026-09-18T11:01:00"/>
    <b v="0"/>
    <s v="Apparel"/>
    <x v="1"/>
    <s v="Bulk"/>
    <s v="Night"/>
    <s v="Beginner"/>
    <s v="Small Parts"/>
    <s v="Near"/>
    <n v="11"/>
    <s v="Friday"/>
    <s v="Medium (6-10)"/>
    <n v="1.285714285714286"/>
  </r>
  <r>
    <x v="321"/>
    <x v="71"/>
    <x v="2"/>
    <s v="H"/>
    <s v="I0041"/>
    <d v="2026-09-09T08:59:00"/>
    <d v="2026-09-09T09:08:00"/>
    <n v="5"/>
    <n v="9"/>
    <b v="0"/>
    <b v="0"/>
    <b v="0"/>
    <n v="12"/>
    <s v="Normal"/>
    <d v="2026-09-09T07:12:00"/>
    <b v="0"/>
    <s v="Bulk Materials"/>
    <x v="2"/>
    <s v="Bulk"/>
    <s v="Evening"/>
    <s v="Beginner"/>
    <s v="Small Parts"/>
    <s v="Near"/>
    <n v="7"/>
    <s v="Wednesday"/>
    <s v="Large (11-20)"/>
    <n v="1.8"/>
  </r>
  <r>
    <x v="322"/>
    <x v="80"/>
    <x v="28"/>
    <s v="B"/>
    <s v="I0061"/>
    <d v="2026-09-06T13:02:00"/>
    <d v="2026-09-06T13:11:00"/>
    <n v="7"/>
    <n v="9"/>
    <b v="0"/>
    <b v="0"/>
    <b v="0"/>
    <n v="8"/>
    <s v="Urgent"/>
    <d v="2026-09-06T12:13:00"/>
    <b v="0"/>
    <s v="Home Goods"/>
    <x v="0"/>
    <s v="Climate-Controlled"/>
    <s v="Night"/>
    <s v="Experienced"/>
    <s v="Bulk Storage"/>
    <s v="Far"/>
    <n v="12"/>
    <s v="Sunday"/>
    <s v="Medium (6-10)"/>
    <n v="1.285714285714286"/>
  </r>
  <r>
    <x v="323"/>
    <x v="73"/>
    <x v="30"/>
    <s v="G"/>
    <s v="I0016"/>
    <d v="2026-09-25T08:05:00"/>
    <d v="2026-09-25T08:14:00"/>
    <n v="1"/>
    <n v="9"/>
    <b v="0"/>
    <b v="0"/>
    <b v="0"/>
    <n v="15"/>
    <s v="Normal"/>
    <d v="2026-09-25T07:16:00"/>
    <b v="0"/>
    <s v="Unknown"/>
    <x v="0"/>
    <s v="Bulk"/>
    <s v="Night"/>
    <s v="Experienced"/>
    <s v="Cold Storage"/>
    <s v="Far"/>
    <n v="7"/>
    <s v="Friday"/>
    <s v="Large (11-20)"/>
    <n v="9"/>
  </r>
  <r>
    <x v="324"/>
    <x v="169"/>
    <x v="13"/>
    <s v="G"/>
    <s v="I0001"/>
    <d v="2026-09-28T03:40:00"/>
    <d v="2026-09-28T03:49:00"/>
    <n v="7"/>
    <n v="9"/>
    <b v="0"/>
    <b v="0"/>
    <b v="0"/>
    <n v="4"/>
    <s v="High"/>
    <d v="2026-09-28T00:56:00"/>
    <b v="0"/>
    <s v="Fragile Goods"/>
    <x v="0"/>
    <s v="Standard"/>
    <s v="Night"/>
    <s v="Intermediate"/>
    <s v="Cold Storage"/>
    <s v="Far"/>
    <n v="0"/>
    <s v="Monday"/>
    <s v="Small (1-5)"/>
    <n v="1.285714285714286"/>
  </r>
  <r>
    <x v="325"/>
    <x v="42"/>
    <x v="9"/>
    <s v="G"/>
    <s v="I0052"/>
    <d v="2026-09-17T00:04:00"/>
    <d v="2026-09-17T00:13:00"/>
    <n v="1"/>
    <n v="9"/>
    <b v="0"/>
    <b v="0"/>
    <b v="0"/>
    <n v="12"/>
    <s v="High"/>
    <m/>
    <b v="0"/>
    <s v="Bulk Materials"/>
    <x v="3"/>
    <s v="Bulk"/>
    <s v="Unknown"/>
    <s v="Intermediate"/>
    <s v="Cold Storage"/>
    <s v="Far"/>
    <m/>
    <m/>
    <s v="Large (11-20)"/>
    <n v="9"/>
  </r>
  <r>
    <x v="326"/>
    <x v="122"/>
    <x v="9"/>
    <s v="B"/>
    <s v="I0015"/>
    <d v="2026-09-21T21:28:00"/>
    <d v="2026-09-21T21:37:00"/>
    <n v="1"/>
    <n v="9"/>
    <b v="0"/>
    <b v="0"/>
    <b v="0"/>
    <n v="8"/>
    <s v="Normal"/>
    <d v="2026-09-21T21:12:00"/>
    <b v="0"/>
    <s v="Bulk Materials"/>
    <x v="1"/>
    <s v="Fragile"/>
    <s v="Unknown"/>
    <s v="Intermediate"/>
    <s v="Bulk Storage"/>
    <s v="Far"/>
    <n v="21"/>
    <s v="Monday"/>
    <s v="Medium (6-10)"/>
    <n v="9"/>
  </r>
  <r>
    <x v="327"/>
    <x v="125"/>
    <x v="26"/>
    <s v="G"/>
    <s v="I0078"/>
    <d v="2026-09-02T21:53:00"/>
    <d v="2026-09-02T22:02:00"/>
    <n v="4"/>
    <n v="9"/>
    <b v="0"/>
    <b v="0"/>
    <b v="0"/>
    <n v="6"/>
    <s v="High"/>
    <d v="2026-09-02T20:57:00"/>
    <b v="0"/>
    <s v="Apparel"/>
    <x v="1"/>
    <s v="Climate-Controlled"/>
    <s v="Morning"/>
    <s v="Experienced"/>
    <s v="Cold Storage"/>
    <s v="Far"/>
    <n v="20"/>
    <s v="Wednesday"/>
    <s v="Medium (6-10)"/>
    <n v="2.25"/>
  </r>
  <r>
    <x v="328"/>
    <x v="68"/>
    <x v="2"/>
    <s v="F"/>
    <s v="I0027"/>
    <d v="2026-09-11T10:32:00"/>
    <d v="2026-09-11T10:41:00"/>
    <n v="3"/>
    <n v="9"/>
    <b v="0"/>
    <b v="0"/>
    <b v="0"/>
    <n v="10"/>
    <s v="Normal"/>
    <d v="2026-09-11T09:20:00"/>
    <b v="0"/>
    <s v="Unknown"/>
    <x v="2"/>
    <s v="Bulk"/>
    <s v="Evening"/>
    <s v="Beginner"/>
    <s v="Bulk Storage"/>
    <s v="Near"/>
    <n v="9"/>
    <s v="Friday"/>
    <s v="Medium (6-10)"/>
    <n v="3"/>
  </r>
  <r>
    <x v="329"/>
    <x v="100"/>
    <x v="16"/>
    <s v="H"/>
    <s v="I0001"/>
    <d v="2026-09-05T22:15:00"/>
    <d v="2026-09-05T22:24:00"/>
    <n v="7"/>
    <n v="9"/>
    <b v="0"/>
    <b v="0"/>
    <b v="0"/>
    <n v="20"/>
    <s v="High"/>
    <d v="2026-09-05T19:30:00"/>
    <b v="0"/>
    <s v="Fragile Goods"/>
    <x v="0"/>
    <s v="Standard"/>
    <s v="Night"/>
    <s v="Intermediate"/>
    <s v="Small Parts"/>
    <s v="Near"/>
    <n v="19"/>
    <s v="Saturday"/>
    <s v="Large (11-20)"/>
    <n v="1.285714285714286"/>
  </r>
  <r>
    <x v="330"/>
    <x v="15"/>
    <x v="22"/>
    <s v="G"/>
    <s v="I0060"/>
    <d v="2026-09-18T18:23:00"/>
    <d v="2026-09-18T18:32:00"/>
    <n v="2"/>
    <n v="9"/>
    <b v="0"/>
    <b v="0"/>
    <b v="0"/>
    <n v="20"/>
    <s v="Low"/>
    <d v="2026-09-18T17:39:00"/>
    <b v="0"/>
    <s v="Small Parts"/>
    <x v="2"/>
    <s v="Climate-Controlled"/>
    <s v="Unknown"/>
    <s v="Unknown"/>
    <s v="Cold Storage"/>
    <s v="Far"/>
    <n v="17"/>
    <s v="Friday"/>
    <s v="Large (11-20)"/>
    <n v="4.5"/>
  </r>
  <r>
    <x v="331"/>
    <x v="72"/>
    <x v="31"/>
    <s v="B"/>
    <s v="I0035"/>
    <d v="2026-09-17T14:49:00"/>
    <d v="2026-09-17T14:58:00"/>
    <n v="2"/>
    <n v="9"/>
    <b v="0"/>
    <b v="0"/>
    <b v="0"/>
    <n v="20"/>
    <s v="High"/>
    <d v="2026-09-17T12:47:00"/>
    <b v="0"/>
    <s v="Unknown"/>
    <x v="1"/>
    <s v="Fragile"/>
    <s v="Morning"/>
    <s v="Experienced"/>
    <s v="Bulk Storage"/>
    <s v="Far"/>
    <n v="12"/>
    <s v="Thursday"/>
    <s v="Large (11-20)"/>
    <n v="4.5"/>
  </r>
  <r>
    <x v="332"/>
    <x v="170"/>
    <x v="15"/>
    <s v="B"/>
    <s v="I0080"/>
    <d v="2026-09-24T18:51:00"/>
    <d v="2026-09-24T19:00:00"/>
    <n v="2"/>
    <n v="9"/>
    <b v="0"/>
    <b v="0"/>
    <b v="0"/>
    <n v="4"/>
    <s v="Low"/>
    <d v="2026-09-24T16:13:00"/>
    <b v="0"/>
    <s v="Fragile Goods"/>
    <x v="0"/>
    <s v="Bulk"/>
    <s v="Morning"/>
    <s v="Unknown"/>
    <s v="Bulk Storage"/>
    <s v="Far"/>
    <n v="16"/>
    <s v="Thursday"/>
    <s v="Small (1-5)"/>
    <n v="4.5"/>
  </r>
  <r>
    <x v="333"/>
    <x v="170"/>
    <x v="0"/>
    <s v="B"/>
    <s v="I0028"/>
    <d v="2026-09-24T18:29:00"/>
    <d v="2026-09-24T18:38:00"/>
    <n v="2"/>
    <n v="9"/>
    <b v="0"/>
    <b v="0"/>
    <b v="0"/>
    <n v="4"/>
    <s v="Low"/>
    <d v="2026-09-24T16:13:00"/>
    <b v="0"/>
    <s v="Fragile Goods"/>
    <x v="1"/>
    <s v="Standard"/>
    <s v="Night"/>
    <s v="Beginner"/>
    <s v="Bulk Storage"/>
    <s v="Far"/>
    <n v="16"/>
    <s v="Thursday"/>
    <s v="Small (1-5)"/>
    <n v="4.5"/>
  </r>
  <r>
    <x v="334"/>
    <x v="18"/>
    <x v="20"/>
    <s v="F"/>
    <s v="I0020"/>
    <d v="2026-09-08T04:44:00"/>
    <d v="2026-09-08T04:53:00"/>
    <n v="7"/>
    <n v="9"/>
    <b v="0"/>
    <b v="0"/>
    <b v="0"/>
    <n v="6"/>
    <s v="Normal"/>
    <d v="2026-09-08T03:19:00"/>
    <b v="0"/>
    <s v="Apparel"/>
    <x v="0"/>
    <s v="Bulk"/>
    <s v="Night"/>
    <s v="Unknown"/>
    <s v="Bulk Storage"/>
    <s v="Near"/>
    <n v="3"/>
    <s v="Tuesday"/>
    <s v="Medium (6-10)"/>
    <n v="1.285714285714286"/>
  </r>
  <r>
    <x v="335"/>
    <x v="80"/>
    <x v="28"/>
    <s v="H"/>
    <s v="I0057"/>
    <d v="2026-09-06T13:29:00"/>
    <d v="2026-09-06T13:38:00"/>
    <n v="6"/>
    <n v="9"/>
    <b v="0"/>
    <b v="0"/>
    <b v="0"/>
    <n v="8"/>
    <s v="Urgent"/>
    <d v="2026-09-06T12:13:00"/>
    <b v="0"/>
    <s v="Apparel"/>
    <x v="1"/>
    <s v="Bulk"/>
    <s v="Night"/>
    <s v="Experienced"/>
    <s v="Small Parts"/>
    <s v="Near"/>
    <n v="12"/>
    <s v="Sunday"/>
    <s v="Medium (6-10)"/>
    <n v="1.5"/>
  </r>
  <r>
    <x v="336"/>
    <x v="100"/>
    <x v="28"/>
    <s v="B"/>
    <s v="I0059"/>
    <d v="2026-09-05T20:30:00"/>
    <d v="2026-09-05T20:39:00"/>
    <n v="7"/>
    <n v="9"/>
    <b v="0"/>
    <b v="0"/>
    <b v="0"/>
    <n v="20"/>
    <s v="High"/>
    <d v="2026-09-05T19:30:00"/>
    <b v="0"/>
    <s v="Electronics"/>
    <x v="1"/>
    <s v="Bulk"/>
    <s v="Night"/>
    <s v="Experienced"/>
    <s v="Bulk Storage"/>
    <s v="Far"/>
    <n v="19"/>
    <s v="Saturday"/>
    <s v="Large (11-20)"/>
    <n v="1.285714285714286"/>
  </r>
  <r>
    <x v="337"/>
    <x v="171"/>
    <x v="21"/>
    <s v="G"/>
    <s v="I0010"/>
    <d v="2026-09-21T09:48:00"/>
    <d v="2026-09-21T09:57:00"/>
    <n v="1"/>
    <n v="9"/>
    <b v="0"/>
    <b v="0"/>
    <b v="0"/>
    <n v="8"/>
    <s v="High"/>
    <d v="2026-09-21T07:18:00"/>
    <b v="0"/>
    <s v="Fragile Goods"/>
    <x v="1"/>
    <s v="Standard"/>
    <s v="Morning"/>
    <s v="Intermediate"/>
    <s v="Cold Storage"/>
    <s v="Far"/>
    <n v="7"/>
    <s v="Monday"/>
    <s v="Medium (6-10)"/>
    <n v="9"/>
  </r>
  <r>
    <x v="338"/>
    <x v="70"/>
    <x v="29"/>
    <s v="D"/>
    <s v="I0040"/>
    <d v="2026-09-26T22:35:00"/>
    <d v="2026-09-26T22:44:00"/>
    <n v="6"/>
    <n v="9"/>
    <b v="0"/>
    <b v="0"/>
    <b v="0"/>
    <n v="12"/>
    <s v="High"/>
    <d v="2026-09-26T21:43:00"/>
    <b v="0"/>
    <s v="Unknown"/>
    <x v="1"/>
    <s v="Standard"/>
    <s v="Morning"/>
    <s v="Experienced"/>
    <s v="Fragile"/>
    <s v="Unknown"/>
    <n v="21"/>
    <s v="Saturday"/>
    <s v="Large (11-20)"/>
    <n v="1.5"/>
  </r>
  <r>
    <x v="339"/>
    <x v="82"/>
    <x v="3"/>
    <s v="H"/>
    <s v="I0005"/>
    <d v="2026-09-20T13:19:00"/>
    <d v="2026-09-20T13:28:00"/>
    <n v="4"/>
    <n v="9"/>
    <b v="0"/>
    <b v="0"/>
    <b v="0"/>
    <n v="10"/>
    <s v="Normal"/>
    <d v="2026-09-20T12:23:00"/>
    <b v="0"/>
    <s v="Apparel"/>
    <x v="0"/>
    <s v="Climate-Controlled"/>
    <s v="Night"/>
    <s v="Beginner"/>
    <s v="Small Parts"/>
    <s v="Near"/>
    <n v="12"/>
    <s v="Sunday"/>
    <s v="Medium (6-10)"/>
    <n v="2.25"/>
  </r>
  <r>
    <x v="340"/>
    <x v="82"/>
    <x v="27"/>
    <s v="D"/>
    <s v="I0048"/>
    <d v="2026-09-20T13:51:00"/>
    <d v="2026-09-20T14:00:00"/>
    <n v="1"/>
    <n v="9"/>
    <b v="0"/>
    <b v="0"/>
    <b v="0"/>
    <n v="10"/>
    <s v="Normal"/>
    <d v="2026-09-20T12:23:00"/>
    <b v="0"/>
    <s v="Electronics"/>
    <x v="2"/>
    <s v="Standard"/>
    <s v="Night"/>
    <s v="Experienced"/>
    <s v="Fragile"/>
    <s v="Unknown"/>
    <n v="12"/>
    <s v="Sunday"/>
    <s v="Medium (6-10)"/>
    <n v="9"/>
  </r>
  <r>
    <x v="341"/>
    <x v="65"/>
    <x v="1"/>
    <s v="B"/>
    <s v="I0015"/>
    <d v="2026-09-22T10:41:00"/>
    <d v="2026-09-22T10:50:00"/>
    <n v="2"/>
    <n v="9"/>
    <b v="0"/>
    <b v="0"/>
    <b v="0"/>
    <n v="20"/>
    <s v="Normal"/>
    <d v="2026-09-22T09:35:00"/>
    <b v="0"/>
    <s v="Bulk Materials"/>
    <x v="1"/>
    <s v="Fragile"/>
    <s v="Night"/>
    <s v="Beginner"/>
    <s v="Bulk Storage"/>
    <s v="Far"/>
    <n v="9"/>
    <s v="Tuesday"/>
    <s v="Large (11-20)"/>
    <n v="4.5"/>
  </r>
  <r>
    <x v="342"/>
    <x v="65"/>
    <x v="8"/>
    <s v="B"/>
    <s v="I0050"/>
    <d v="2026-09-22T12:16:00"/>
    <d v="2026-09-22T12:25:00"/>
    <n v="1"/>
    <n v="9"/>
    <b v="0"/>
    <b v="0"/>
    <b v="0"/>
    <n v="20"/>
    <s v="Normal"/>
    <d v="2026-09-22T09:35:00"/>
    <b v="0"/>
    <s v="Home Goods"/>
    <x v="1"/>
    <s v="Bulk"/>
    <s v="Evening"/>
    <s v="Unknown"/>
    <s v="Bulk Storage"/>
    <s v="Far"/>
    <n v="9"/>
    <s v="Tuesday"/>
    <s v="Large (11-20)"/>
    <n v="9"/>
  </r>
  <r>
    <x v="343"/>
    <x v="64"/>
    <x v="8"/>
    <s v="B"/>
    <s v="I0024"/>
    <d v="2026-09-19T17:07:00"/>
    <d v="2026-09-19T17:16:00"/>
    <n v="1"/>
    <n v="9"/>
    <b v="0"/>
    <b v="0"/>
    <b v="0"/>
    <n v="20"/>
    <s v="Low"/>
    <d v="2026-09-19T14:23:00"/>
    <b v="0"/>
    <s v="Fragile Goods"/>
    <x v="0"/>
    <s v="Fragile"/>
    <s v="Evening"/>
    <s v="Unknown"/>
    <s v="Bulk Storage"/>
    <s v="Far"/>
    <n v="14"/>
    <s v="Saturday"/>
    <s v="Large (11-20)"/>
    <n v="9"/>
  </r>
  <r>
    <x v="344"/>
    <x v="92"/>
    <x v="22"/>
    <s v="G"/>
    <s v="I0028"/>
    <d v="2026-09-23T21:29:00"/>
    <d v="2026-09-23T21:38:00"/>
    <n v="1"/>
    <n v="9"/>
    <b v="0"/>
    <b v="0"/>
    <b v="0"/>
    <n v="6"/>
    <s v="Normal"/>
    <d v="2026-09-23T20:11:00"/>
    <b v="0"/>
    <s v="Fragile Goods"/>
    <x v="1"/>
    <s v="Standard"/>
    <s v="Unknown"/>
    <s v="Unknown"/>
    <s v="Cold Storage"/>
    <s v="Far"/>
    <n v="20"/>
    <s v="Wednesday"/>
    <s v="Medium (6-10)"/>
    <n v="9"/>
  </r>
  <r>
    <x v="345"/>
    <x v="47"/>
    <x v="11"/>
    <s v="D"/>
    <s v="I0049"/>
    <d v="2026-09-21T04:12:00"/>
    <d v="2026-09-21T04:21:00"/>
    <n v="7"/>
    <n v="9"/>
    <b v="0"/>
    <b v="0"/>
    <b v="0"/>
    <n v="20"/>
    <s v="Urgent"/>
    <d v="2026-09-21T03:14:00"/>
    <b v="0"/>
    <s v="Small Parts"/>
    <x v="1"/>
    <s v="Standard"/>
    <s v="Night"/>
    <s v="Intermediate"/>
    <s v="Fragile"/>
    <s v="Unknown"/>
    <n v="3"/>
    <s v="Monday"/>
    <s v="Large (11-20)"/>
    <n v="1.285714285714286"/>
  </r>
  <r>
    <x v="346"/>
    <x v="47"/>
    <x v="30"/>
    <s v="H"/>
    <s v="I0066"/>
    <d v="2026-09-21T05:57:00"/>
    <d v="2026-09-21T06:06:00"/>
    <n v="6"/>
    <n v="9"/>
    <b v="0"/>
    <b v="0"/>
    <b v="0"/>
    <n v="20"/>
    <s v="Urgent"/>
    <d v="2026-09-21T03:14:00"/>
    <b v="0"/>
    <s v="Bulk Materials"/>
    <x v="2"/>
    <s v="Bulk"/>
    <s v="Night"/>
    <s v="Experienced"/>
    <s v="Small Parts"/>
    <s v="Near"/>
    <n v="3"/>
    <s v="Monday"/>
    <s v="Large (11-20)"/>
    <n v="1.5"/>
  </r>
  <r>
    <x v="347"/>
    <x v="44"/>
    <x v="26"/>
    <s v="F"/>
    <s v="I0030"/>
    <d v="2026-09-27T22:28:00"/>
    <d v="2026-09-27T22:37:00"/>
    <n v="5"/>
    <n v="9"/>
    <b v="0"/>
    <b v="0"/>
    <b v="0"/>
    <n v="12"/>
    <s v="High"/>
    <d v="2026-09-27T19:57:00"/>
    <b v="0"/>
    <s v="Electronics"/>
    <x v="0"/>
    <s v="Fragile"/>
    <s v="Morning"/>
    <s v="Experienced"/>
    <s v="Bulk Storage"/>
    <s v="Near"/>
    <n v="19"/>
    <s v="Sunday"/>
    <s v="Large (11-20)"/>
    <n v="1.8"/>
  </r>
  <r>
    <x v="348"/>
    <x v="172"/>
    <x v="24"/>
    <s v="B"/>
    <s v="I0071"/>
    <d v="2026-09-18T20:38:00"/>
    <d v="2026-09-18T20:47:00"/>
    <n v="1"/>
    <n v="9"/>
    <b v="0"/>
    <b v="0"/>
    <b v="0"/>
    <n v="6"/>
    <s v="High"/>
    <d v="2026-09-18T20:12:00"/>
    <b v="0"/>
    <s v="Bulk Materials"/>
    <x v="2"/>
    <s v="Bulk"/>
    <s v="Night"/>
    <s v="Experienced"/>
    <s v="Bulk Storage"/>
    <s v="Far"/>
    <n v="20"/>
    <s v="Friday"/>
    <s v="Medium (6-10)"/>
    <n v="9"/>
  </r>
  <r>
    <x v="349"/>
    <x v="172"/>
    <x v="30"/>
    <s v="G"/>
    <s v="I0040"/>
    <d v="2026-09-18T21:45:00"/>
    <d v="2026-09-18T21:54:00"/>
    <n v="7"/>
    <n v="9"/>
    <b v="0"/>
    <b v="0"/>
    <b v="0"/>
    <n v="6"/>
    <s v="High"/>
    <d v="2026-09-18T20:12:00"/>
    <b v="0"/>
    <s v="Unknown"/>
    <x v="1"/>
    <s v="Standard"/>
    <s v="Night"/>
    <s v="Experienced"/>
    <s v="Cold Storage"/>
    <s v="Far"/>
    <n v="20"/>
    <s v="Friday"/>
    <s v="Medium (6-10)"/>
    <n v="1.285714285714286"/>
  </r>
  <r>
    <x v="350"/>
    <x v="172"/>
    <x v="14"/>
    <s v="G"/>
    <s v="I0005"/>
    <d v="2026-09-18T22:29:00"/>
    <d v="2026-09-18T22:38:00"/>
    <n v="6"/>
    <n v="9"/>
    <b v="0"/>
    <b v="0"/>
    <b v="0"/>
    <n v="6"/>
    <s v="High"/>
    <d v="2026-09-18T20:12:00"/>
    <b v="0"/>
    <s v="Apparel"/>
    <x v="0"/>
    <s v="Climate-Controlled"/>
    <s v="Night"/>
    <s v="Unknown"/>
    <s v="Cold Storage"/>
    <s v="Far"/>
    <n v="20"/>
    <s v="Friday"/>
    <s v="Medium (6-10)"/>
    <n v="1.5"/>
  </r>
  <r>
    <x v="351"/>
    <x v="94"/>
    <x v="13"/>
    <s v="F"/>
    <s v="I0029"/>
    <d v="2026-09-11T06:00:00"/>
    <d v="2026-09-11T06:09:00"/>
    <n v="1"/>
    <n v="9"/>
    <b v="0"/>
    <b v="0"/>
    <b v="0"/>
    <n v="15"/>
    <s v="High"/>
    <d v="2026-09-11T04:28:00"/>
    <b v="0"/>
    <s v="Small Parts"/>
    <x v="1"/>
    <s v="Standard"/>
    <s v="Night"/>
    <s v="Intermediate"/>
    <s v="Bulk Storage"/>
    <s v="Near"/>
    <n v="4"/>
    <s v="Friday"/>
    <s v="Large (11-20)"/>
    <n v="9"/>
  </r>
  <r>
    <x v="352"/>
    <x v="94"/>
    <x v="0"/>
    <s v="C"/>
    <s v="I0030"/>
    <d v="2026-09-11T05:43:00"/>
    <d v="2026-09-11T05:52:00"/>
    <n v="3"/>
    <n v="9"/>
    <b v="0"/>
    <b v="0"/>
    <b v="0"/>
    <n v="15"/>
    <s v="High"/>
    <d v="2026-09-11T04:28:00"/>
    <b v="0"/>
    <s v="Electronics"/>
    <x v="0"/>
    <s v="Fragile"/>
    <s v="Night"/>
    <s v="Beginner"/>
    <s v="Small Parts"/>
    <s v="Medium"/>
    <n v="4"/>
    <s v="Friday"/>
    <s v="Large (11-20)"/>
    <n v="3"/>
  </r>
  <r>
    <x v="353"/>
    <x v="18"/>
    <x v="15"/>
    <s v="C"/>
    <s v="I0061"/>
    <d v="2026-09-08T03:44:00"/>
    <d v="2026-09-08T03:53:00"/>
    <n v="7"/>
    <n v="9"/>
    <b v="0"/>
    <b v="0"/>
    <b v="0"/>
    <n v="6"/>
    <s v="Normal"/>
    <d v="2026-09-08T03:19:00"/>
    <b v="0"/>
    <s v="Home Goods"/>
    <x v="0"/>
    <s v="Climate-Controlled"/>
    <s v="Morning"/>
    <s v="Unknown"/>
    <s v="Small Parts"/>
    <s v="Medium"/>
    <n v="3"/>
    <s v="Tuesday"/>
    <s v="Medium (6-10)"/>
    <n v="1.285714285714286"/>
  </r>
  <r>
    <x v="354"/>
    <x v="18"/>
    <x v="2"/>
    <s v="E"/>
    <s v="I0048"/>
    <d v="2026-09-08T03:57:00"/>
    <d v="2026-09-08T04:06:00"/>
    <n v="6"/>
    <n v="9"/>
    <b v="0"/>
    <b v="0"/>
    <b v="0"/>
    <n v="6"/>
    <s v="Normal"/>
    <d v="2026-09-08T03:19:00"/>
    <b v="0"/>
    <s v="Electronics"/>
    <x v="2"/>
    <s v="Standard"/>
    <s v="Evening"/>
    <s v="Beginner"/>
    <s v="Fast-Moving"/>
    <s v="Medium"/>
    <n v="3"/>
    <s v="Tuesday"/>
    <s v="Medium (6-10)"/>
    <n v="1.5"/>
  </r>
  <r>
    <x v="355"/>
    <x v="95"/>
    <x v="8"/>
    <s v="F"/>
    <s v="I0057"/>
    <d v="2026-09-05T16:42:00"/>
    <d v="2026-09-05T16:51:00"/>
    <n v="3"/>
    <n v="9"/>
    <b v="0"/>
    <b v="0"/>
    <b v="0"/>
    <n v="6"/>
    <s v="Urgent"/>
    <d v="2026-09-05T14:40:00"/>
    <b v="0"/>
    <s v="Apparel"/>
    <x v="1"/>
    <s v="Bulk"/>
    <s v="Evening"/>
    <s v="Unknown"/>
    <s v="Bulk Storage"/>
    <s v="Near"/>
    <n v="14"/>
    <s v="Saturday"/>
    <s v="Medium (6-10)"/>
    <n v="3"/>
  </r>
  <r>
    <x v="356"/>
    <x v="173"/>
    <x v="11"/>
    <s v="B"/>
    <s v="I0055"/>
    <d v="2026-09-10T15:36:00"/>
    <d v="2026-09-10T15:45:00"/>
    <n v="5"/>
    <n v="9"/>
    <b v="0"/>
    <b v="0"/>
    <b v="0"/>
    <n v="6"/>
    <s v="Normal"/>
    <d v="2026-09-10T15:02:00"/>
    <b v="0"/>
    <s v="Fragile Goods"/>
    <x v="1"/>
    <s v="Climate-Controlled"/>
    <s v="Night"/>
    <s v="Intermediate"/>
    <s v="Bulk Storage"/>
    <s v="Far"/>
    <n v="15"/>
    <s v="Thursday"/>
    <s v="Medium (6-10)"/>
    <n v="1.8"/>
  </r>
  <r>
    <x v="357"/>
    <x v="174"/>
    <x v="18"/>
    <s v="B"/>
    <s v="I0011"/>
    <d v="2026-09-23T10:31:00"/>
    <d v="2026-09-23T10:40:00"/>
    <n v="1"/>
    <n v="9"/>
    <b v="0"/>
    <b v="0"/>
    <b v="0"/>
    <n v="5"/>
    <s v="Normal"/>
    <d v="2026-09-23T09:31:00"/>
    <b v="0"/>
    <s v="Fragile Goods"/>
    <x v="1"/>
    <s v="Climate-Controlled"/>
    <s v="Night"/>
    <s v="Intermediate"/>
    <s v="Bulk Storage"/>
    <s v="Far"/>
    <n v="9"/>
    <s v="Wednesday"/>
    <s v="Small (1-5)"/>
    <n v="9"/>
  </r>
  <r>
    <x v="358"/>
    <x v="175"/>
    <x v="2"/>
    <s v="F"/>
    <s v="I0072"/>
    <d v="2026-09-25T01:16:00"/>
    <d v="2026-09-25T01:25:00"/>
    <n v="6"/>
    <n v="9"/>
    <b v="0"/>
    <b v="0"/>
    <b v="0"/>
    <n v="5"/>
    <s v="Normal"/>
    <d v="2026-09-24T22:33:00"/>
    <b v="0"/>
    <s v="Electronics"/>
    <x v="1"/>
    <s v="Climate-Controlled"/>
    <s v="Evening"/>
    <s v="Beginner"/>
    <s v="Bulk Storage"/>
    <s v="Near"/>
    <n v="22"/>
    <s v="Thursday"/>
    <s v="Small (1-5)"/>
    <n v="1.5"/>
  </r>
  <r>
    <x v="359"/>
    <x v="175"/>
    <x v="29"/>
    <s v="D"/>
    <s v="I0019"/>
    <d v="2026-09-24T23:21:00"/>
    <d v="2026-09-24T23:30:00"/>
    <n v="6"/>
    <n v="9"/>
    <b v="0"/>
    <b v="0"/>
    <b v="0"/>
    <n v="5"/>
    <s v="Normal"/>
    <d v="2026-09-24T22:33:00"/>
    <b v="0"/>
    <s v="Fragile Goods"/>
    <x v="1"/>
    <s v="Bulk"/>
    <s v="Morning"/>
    <s v="Experienced"/>
    <s v="Fragile"/>
    <s v="Unknown"/>
    <n v="22"/>
    <s v="Thursday"/>
    <s v="Small (1-5)"/>
    <n v="1.5"/>
  </r>
  <r>
    <x v="360"/>
    <x v="92"/>
    <x v="26"/>
    <s v="D"/>
    <s v="I0060"/>
    <d v="2026-09-23T21:32:00"/>
    <d v="2026-09-23T21:41:00"/>
    <n v="3"/>
    <n v="9"/>
    <b v="0"/>
    <b v="0"/>
    <b v="0"/>
    <n v="6"/>
    <s v="Normal"/>
    <d v="2026-09-23T20:11:00"/>
    <b v="0"/>
    <s v="Small Parts"/>
    <x v="2"/>
    <s v="Climate-Controlled"/>
    <s v="Morning"/>
    <s v="Experienced"/>
    <s v="Fragile"/>
    <s v="Unknown"/>
    <n v="20"/>
    <s v="Wednesday"/>
    <s v="Medium (6-10)"/>
    <n v="3"/>
  </r>
  <r>
    <x v="361"/>
    <x v="176"/>
    <x v="16"/>
    <s v="F"/>
    <s v="I0064"/>
    <d v="2026-09-08T07:34:00"/>
    <d v="2026-09-08T07:43:00"/>
    <n v="4"/>
    <n v="9"/>
    <b v="0"/>
    <b v="0"/>
    <b v="0"/>
    <n v="2"/>
    <s v="Normal"/>
    <d v="2026-09-08T04:48:00"/>
    <b v="0"/>
    <s v="Small Parts"/>
    <x v="0"/>
    <s v="Unknown"/>
    <s v="Night"/>
    <s v="Intermediate"/>
    <s v="Bulk Storage"/>
    <s v="Near"/>
    <n v="4"/>
    <s v="Tuesday"/>
    <s v="Small (1-5)"/>
    <n v="2.25"/>
  </r>
  <r>
    <x v="362"/>
    <x v="177"/>
    <x v="20"/>
    <s v="D"/>
    <s v="I0049"/>
    <d v="2026-09-25T01:38:00"/>
    <d v="2026-09-25T01:47:00"/>
    <n v="2"/>
    <n v="9"/>
    <b v="0"/>
    <b v="0"/>
    <b v="0"/>
    <n v="20"/>
    <s v="Normal"/>
    <d v="2026-09-24T23:08:00"/>
    <b v="0"/>
    <s v="Small Parts"/>
    <x v="1"/>
    <s v="Standard"/>
    <s v="Night"/>
    <s v="Unknown"/>
    <s v="Fragile"/>
    <s v="Unknown"/>
    <n v="23"/>
    <s v="Thursday"/>
    <s v="Large (11-20)"/>
    <n v="4.5"/>
  </r>
  <r>
    <x v="363"/>
    <x v="8"/>
    <x v="29"/>
    <s v="B"/>
    <s v="I0072"/>
    <d v="2026-09-02T22:46:00"/>
    <d v="2026-09-02T22:55:00"/>
    <n v="4"/>
    <n v="9"/>
    <b v="0"/>
    <b v="0"/>
    <b v="0"/>
    <n v="15"/>
    <s v="High"/>
    <d v="2026-09-02T21:30:00"/>
    <b v="0"/>
    <s v="Electronics"/>
    <x v="1"/>
    <s v="Climate-Controlled"/>
    <s v="Morning"/>
    <s v="Experienced"/>
    <s v="Bulk Storage"/>
    <s v="Far"/>
    <n v="21"/>
    <s v="Wednesday"/>
    <s v="Large (11-20)"/>
    <n v="2.25"/>
  </r>
  <r>
    <x v="364"/>
    <x v="91"/>
    <x v="2"/>
    <s v="H"/>
    <s v="I0060"/>
    <d v="2026-09-13T09:32:00"/>
    <d v="2026-09-13T09:41:00"/>
    <n v="5"/>
    <n v="9"/>
    <b v="0"/>
    <b v="0"/>
    <b v="0"/>
    <m/>
    <s v="Normal"/>
    <d v="2026-09-13T08:32:00"/>
    <b v="1"/>
    <s v="Small Parts"/>
    <x v="2"/>
    <s v="Climate-Controlled"/>
    <s v="Evening"/>
    <s v="Beginner"/>
    <s v="Small Parts"/>
    <s v="Near"/>
    <n v="8"/>
    <s v="Sunday"/>
    <m/>
    <n v="1.8"/>
  </r>
  <r>
    <x v="365"/>
    <x v="64"/>
    <x v="31"/>
    <s v="G"/>
    <s v="I0067"/>
    <d v="2026-09-19T16:59:00"/>
    <d v="2026-09-19T17:08:00"/>
    <n v="6"/>
    <n v="9"/>
    <b v="0"/>
    <b v="0"/>
    <b v="0"/>
    <n v="20"/>
    <s v="Low"/>
    <d v="2026-09-19T14:23:00"/>
    <b v="0"/>
    <s v="Bulk Materials"/>
    <x v="0"/>
    <s v="Climate-Controlled"/>
    <s v="Morning"/>
    <s v="Experienced"/>
    <s v="Cold Storage"/>
    <s v="Far"/>
    <n v="14"/>
    <s v="Saturday"/>
    <s v="Large (11-20)"/>
    <n v="1.5"/>
  </r>
  <r>
    <x v="366"/>
    <x v="146"/>
    <x v="11"/>
    <s v="B"/>
    <s v="I0035"/>
    <d v="2026-09-22T13:32:00"/>
    <d v="2026-09-22T13:41:00"/>
    <n v="1"/>
    <n v="9"/>
    <b v="0"/>
    <b v="0"/>
    <b v="0"/>
    <n v="12"/>
    <s v="Normal"/>
    <d v="2026-09-22T10:39:00"/>
    <b v="0"/>
    <s v="Unknown"/>
    <x v="1"/>
    <s v="Fragile"/>
    <s v="Night"/>
    <s v="Intermediate"/>
    <s v="Bulk Storage"/>
    <s v="Far"/>
    <n v="10"/>
    <s v="Tuesday"/>
    <s v="Large (11-20)"/>
    <n v="9"/>
  </r>
  <r>
    <x v="367"/>
    <x v="148"/>
    <x v="23"/>
    <s v="D"/>
    <s v="I0068"/>
    <d v="2026-09-23T19:59:00"/>
    <d v="2026-09-23T20:08:00"/>
    <n v="3"/>
    <n v="9"/>
    <b v="0"/>
    <b v="0"/>
    <b v="0"/>
    <n v="5"/>
    <s v="Normal"/>
    <d v="2026-09-23T19:59:00"/>
    <b v="0"/>
    <s v="Electronics"/>
    <x v="1"/>
    <s v="Climate-Controlled"/>
    <s v="Evening"/>
    <s v="Intermediate"/>
    <s v="Fragile"/>
    <s v="Unknown"/>
    <n v="19"/>
    <s v="Wednesday"/>
    <s v="Small (1-5)"/>
    <n v="3"/>
  </r>
  <r>
    <x v="368"/>
    <x v="56"/>
    <x v="4"/>
    <s v="H"/>
    <s v="I0061"/>
    <d v="2026-09-20T14:04:00"/>
    <d v="2026-09-20T14:13:00"/>
    <n v="7"/>
    <n v="9"/>
    <b v="0"/>
    <b v="0"/>
    <b v="0"/>
    <n v="8"/>
    <s v="Low"/>
    <d v="2026-09-20T11:15:00"/>
    <b v="0"/>
    <s v="Home Goods"/>
    <x v="0"/>
    <s v="Climate-Controlled"/>
    <s v="Night"/>
    <s v="Unknown"/>
    <s v="Small Parts"/>
    <s v="Near"/>
    <n v="11"/>
    <s v="Sunday"/>
    <s v="Medium (6-10)"/>
    <n v="1.285714285714286"/>
  </r>
  <r>
    <x v="369"/>
    <x v="56"/>
    <x v="3"/>
    <s v="G"/>
    <s v="I0006"/>
    <d v="2026-09-20T11:56:00"/>
    <d v="2026-09-20T12:05:00"/>
    <n v="1"/>
    <n v="9"/>
    <b v="0"/>
    <b v="0"/>
    <b v="0"/>
    <n v="8"/>
    <s v="Low"/>
    <d v="2026-09-20T11:15:00"/>
    <b v="0"/>
    <s v="Bulk Materials"/>
    <x v="0"/>
    <s v="Bulk"/>
    <s v="Night"/>
    <s v="Beginner"/>
    <s v="Cold Storage"/>
    <s v="Far"/>
    <n v="11"/>
    <s v="Sunday"/>
    <s v="Medium (6-10)"/>
    <n v="9"/>
  </r>
  <r>
    <x v="370"/>
    <x v="52"/>
    <x v="25"/>
    <s v="D"/>
    <s v="I0059"/>
    <d v="2026-09-17T07:58:00"/>
    <d v="2026-09-17T08:07:00"/>
    <n v="6"/>
    <n v="9"/>
    <b v="0"/>
    <b v="0"/>
    <b v="0"/>
    <n v="20"/>
    <s v="Low"/>
    <d v="2026-09-17T05:14:00"/>
    <b v="0"/>
    <s v="Electronics"/>
    <x v="1"/>
    <s v="Bulk"/>
    <s v="Night"/>
    <s v="Experienced"/>
    <s v="Fragile"/>
    <s v="Unknown"/>
    <n v="5"/>
    <s v="Thursday"/>
    <s v="Large (11-20)"/>
    <n v="1.5"/>
  </r>
  <r>
    <x v="371"/>
    <x v="148"/>
    <x v="19"/>
    <s v="B"/>
    <s v="I0049"/>
    <d v="2026-09-23T20:58:00"/>
    <d v="2026-09-23T21:07:00"/>
    <n v="4"/>
    <n v="9"/>
    <b v="0"/>
    <b v="0"/>
    <b v="0"/>
    <n v="5"/>
    <s v="Normal"/>
    <d v="2026-09-23T19:59:00"/>
    <b v="0"/>
    <s v="Small Parts"/>
    <x v="1"/>
    <s v="Standard"/>
    <s v="Unknown"/>
    <s v="Experienced"/>
    <s v="Bulk Storage"/>
    <s v="Far"/>
    <n v="19"/>
    <s v="Wednesday"/>
    <s v="Small (1-5)"/>
    <n v="2.25"/>
  </r>
  <r>
    <x v="372"/>
    <x v="178"/>
    <x v="17"/>
    <s v="B"/>
    <s v="I0048"/>
    <d v="2026-09-15T17:43:00"/>
    <d v="2026-09-15T17:52:00"/>
    <n v="4"/>
    <n v="9"/>
    <b v="0"/>
    <b v="0"/>
    <b v="0"/>
    <m/>
    <s v="Normal"/>
    <d v="2026-09-15T15:29:00"/>
    <b v="1"/>
    <s v="Electronics"/>
    <x v="2"/>
    <s v="Standard"/>
    <s v="Night"/>
    <s v="Intermediate"/>
    <s v="Bulk Storage"/>
    <s v="Far"/>
    <n v="15"/>
    <s v="Tuesday"/>
    <m/>
    <n v="2.25"/>
  </r>
  <r>
    <x v="373"/>
    <x v="179"/>
    <x v="8"/>
    <s v="C"/>
    <s v="I0035"/>
    <d v="2026-09-07T18:43:00"/>
    <d v="2026-09-07T18:52:00"/>
    <n v="7"/>
    <n v="9"/>
    <b v="0"/>
    <b v="0"/>
    <b v="0"/>
    <n v="2"/>
    <s v="High"/>
    <d v="2026-09-07T18:15:00"/>
    <b v="0"/>
    <s v="Unknown"/>
    <x v="1"/>
    <s v="Fragile"/>
    <s v="Evening"/>
    <s v="Unknown"/>
    <s v="Small Parts"/>
    <s v="Medium"/>
    <n v="18"/>
    <s v="Monday"/>
    <s v="Small (1-5)"/>
    <n v="1.285714285714286"/>
  </r>
  <r>
    <x v="374"/>
    <x v="3"/>
    <x v="17"/>
    <s v="F"/>
    <s v="I0035"/>
    <d v="2026-09-24T04:37:00"/>
    <d v="2026-09-24T04:46:00"/>
    <n v="6"/>
    <n v="9"/>
    <b v="0"/>
    <b v="0"/>
    <b v="0"/>
    <n v="3"/>
    <s v="High"/>
    <d v="2026-09-24T04:06:00"/>
    <b v="0"/>
    <s v="Unknown"/>
    <x v="1"/>
    <s v="Fragile"/>
    <s v="Night"/>
    <s v="Intermediate"/>
    <s v="Bulk Storage"/>
    <s v="Near"/>
    <n v="4"/>
    <s v="Thursday"/>
    <s v="Small (1-5)"/>
    <n v="1.5"/>
  </r>
  <r>
    <x v="375"/>
    <x v="180"/>
    <x v="18"/>
    <s v="A"/>
    <s v="I0074"/>
    <d v="2026-09-05T08:17:00"/>
    <d v="2026-09-05T08:26:00"/>
    <n v="6"/>
    <n v="9"/>
    <b v="0"/>
    <b v="0"/>
    <b v="0"/>
    <n v="10"/>
    <s v="Normal"/>
    <d v="2026-09-05T07:46:00"/>
    <b v="0"/>
    <s v="Fragile Goods"/>
    <x v="1"/>
    <s v="Climate-Controlled"/>
    <s v="Night"/>
    <s v="Intermediate"/>
    <s v="Fast-Moving"/>
    <s v="Near"/>
    <n v="7"/>
    <s v="Saturday"/>
    <s v="Medium (6-10)"/>
    <n v="1.5"/>
  </r>
  <r>
    <x v="376"/>
    <x v="180"/>
    <x v="20"/>
    <s v="C"/>
    <s v="I0034"/>
    <d v="2026-09-05T09:10:00"/>
    <d v="2026-09-05T09:19:00"/>
    <n v="4"/>
    <n v="9"/>
    <b v="0"/>
    <b v="0"/>
    <b v="0"/>
    <n v="10"/>
    <s v="Normal"/>
    <d v="2026-09-05T07:46:00"/>
    <b v="0"/>
    <s v="Bulk Materials"/>
    <x v="0"/>
    <s v="Climate-Controlled"/>
    <s v="Night"/>
    <s v="Unknown"/>
    <s v="Small Parts"/>
    <s v="Medium"/>
    <n v="7"/>
    <s v="Saturday"/>
    <s v="Medium (6-10)"/>
    <n v="2.25"/>
  </r>
  <r>
    <x v="377"/>
    <x v="180"/>
    <x v="16"/>
    <s v="F"/>
    <s v="I0066"/>
    <d v="2026-09-05T08:46:00"/>
    <d v="2026-09-05T08:55:00"/>
    <n v="7"/>
    <n v="9"/>
    <b v="0"/>
    <b v="0"/>
    <b v="0"/>
    <n v="10"/>
    <s v="Normal"/>
    <d v="2026-09-05T07:46:00"/>
    <b v="0"/>
    <s v="Bulk Materials"/>
    <x v="2"/>
    <s v="Bulk"/>
    <s v="Night"/>
    <s v="Intermediate"/>
    <s v="Bulk Storage"/>
    <s v="Near"/>
    <n v="7"/>
    <s v="Saturday"/>
    <s v="Medium (6-10)"/>
    <n v="1.285714285714286"/>
  </r>
  <r>
    <x v="378"/>
    <x v="181"/>
    <x v="7"/>
    <s v="B"/>
    <s v="I0065"/>
    <d v="2026-09-12T15:29:00"/>
    <d v="2026-09-12T15:38:00"/>
    <n v="4"/>
    <n v="9"/>
    <b v="0"/>
    <b v="0"/>
    <b v="0"/>
    <n v="6"/>
    <s v="Low"/>
    <d v="2026-09-12T14:03:00"/>
    <b v="0"/>
    <s v="Small Parts"/>
    <x v="1"/>
    <s v="Fragile"/>
    <s v="Morning"/>
    <s v="Beginner"/>
    <s v="Bulk Storage"/>
    <s v="Far"/>
    <n v="14"/>
    <s v="Saturday"/>
    <s v="Medium (6-10)"/>
    <n v="2.25"/>
  </r>
  <r>
    <x v="379"/>
    <x v="181"/>
    <x v="7"/>
    <s v="A"/>
    <s v="I0015"/>
    <d v="2026-09-12T16:15:00"/>
    <d v="2026-09-12T16:24:00"/>
    <n v="6"/>
    <n v="9"/>
    <b v="0"/>
    <b v="0"/>
    <b v="0"/>
    <n v="6"/>
    <s v="Low"/>
    <d v="2026-09-12T14:03:00"/>
    <b v="0"/>
    <s v="Bulk Materials"/>
    <x v="1"/>
    <s v="Fragile"/>
    <s v="Morning"/>
    <s v="Beginner"/>
    <s v="Fast-Moving"/>
    <s v="Near"/>
    <n v="14"/>
    <s v="Saturday"/>
    <s v="Medium (6-10)"/>
    <n v="1.5"/>
  </r>
  <r>
    <x v="380"/>
    <x v="103"/>
    <x v="24"/>
    <s v="F"/>
    <s v="I0066"/>
    <d v="2026-09-19T23:04:00"/>
    <d v="2026-09-19T23:13:00"/>
    <n v="7"/>
    <n v="9"/>
    <b v="0"/>
    <b v="0"/>
    <b v="0"/>
    <n v="10"/>
    <s v="Normal"/>
    <d v="2026-09-19T22:42:00"/>
    <b v="0"/>
    <s v="Bulk Materials"/>
    <x v="2"/>
    <s v="Bulk"/>
    <s v="Night"/>
    <s v="Experienced"/>
    <s v="Bulk Storage"/>
    <s v="Near"/>
    <n v="22"/>
    <s v="Saturday"/>
    <s v="Medium (6-10)"/>
    <n v="1.285714285714286"/>
  </r>
  <r>
    <x v="381"/>
    <x v="75"/>
    <x v="21"/>
    <s v="G"/>
    <s v="I0069"/>
    <d v="2026-09-01T23:13:00"/>
    <d v="2026-09-01T23:22:00"/>
    <n v="1"/>
    <n v="9"/>
    <b v="0"/>
    <b v="0"/>
    <b v="0"/>
    <n v="20"/>
    <s v="Low"/>
    <d v="2026-09-01T21:36:00"/>
    <b v="0"/>
    <s v="Electronics"/>
    <x v="2"/>
    <s v="Climate-Controlled"/>
    <s v="Morning"/>
    <s v="Intermediate"/>
    <s v="Cold Storage"/>
    <s v="Far"/>
    <n v="21"/>
    <s v="Tuesday"/>
    <s v="Large (11-20)"/>
    <n v="9"/>
  </r>
  <r>
    <x v="382"/>
    <x v="69"/>
    <x v="26"/>
    <s v="G"/>
    <s v="I0032"/>
    <d v="2026-09-03T16:52:00"/>
    <d v="2026-09-03T17:01:00"/>
    <n v="6"/>
    <n v="9"/>
    <b v="0"/>
    <b v="0"/>
    <b v="0"/>
    <n v="20"/>
    <s v="Normal"/>
    <d v="2026-09-03T14:59:00"/>
    <b v="0"/>
    <s v="Bulk Materials"/>
    <x v="2"/>
    <s v="Standard"/>
    <s v="Morning"/>
    <s v="Experienced"/>
    <s v="Cold Storage"/>
    <s v="Far"/>
    <n v="14"/>
    <s v="Thursday"/>
    <s v="Large (11-20)"/>
    <n v="1.5"/>
  </r>
  <r>
    <x v="383"/>
    <x v="34"/>
    <x v="13"/>
    <s v="B"/>
    <s v="I0052"/>
    <d v="2026-09-05T09:54:00"/>
    <d v="2026-09-05T10:03:00"/>
    <n v="2"/>
    <n v="9"/>
    <b v="0"/>
    <b v="0"/>
    <b v="0"/>
    <n v="5"/>
    <s v="Normal"/>
    <d v="2026-09-05T08:50:00"/>
    <b v="0"/>
    <s v="Bulk Materials"/>
    <x v="3"/>
    <s v="Bulk"/>
    <s v="Night"/>
    <s v="Intermediate"/>
    <s v="Bulk Storage"/>
    <s v="Far"/>
    <n v="8"/>
    <s v="Saturday"/>
    <s v="Small (1-5)"/>
    <n v="4.5"/>
  </r>
  <r>
    <x v="384"/>
    <x v="182"/>
    <x v="31"/>
    <s v="F"/>
    <s v="I0053"/>
    <d v="2026-09-10T21:23:00"/>
    <d v="2026-09-10T21:32:00"/>
    <n v="5"/>
    <n v="9"/>
    <b v="0"/>
    <b v="0"/>
    <b v="0"/>
    <n v="2"/>
    <s v="Low"/>
    <d v="2026-09-10T19:42:00"/>
    <b v="0"/>
    <s v="Small Parts"/>
    <x v="3"/>
    <s v="Standard"/>
    <s v="Morning"/>
    <s v="Experienced"/>
    <s v="Bulk Storage"/>
    <s v="Near"/>
    <n v="19"/>
    <s v="Thursday"/>
    <s v="Small (1-5)"/>
    <n v="1.8"/>
  </r>
  <r>
    <x v="385"/>
    <x v="24"/>
    <x v="7"/>
    <s v="H"/>
    <s v="I0014"/>
    <d v="2026-09-22T23:58:00"/>
    <d v="2026-09-23T00:07:00"/>
    <n v="4"/>
    <n v="9"/>
    <b v="0"/>
    <b v="0"/>
    <b v="0"/>
    <n v="20"/>
    <s v="High"/>
    <d v="2026-09-22T21:17:00"/>
    <b v="0"/>
    <s v="Unknown"/>
    <x v="1"/>
    <s v="Standard"/>
    <s v="Morning"/>
    <s v="Beginner"/>
    <s v="Small Parts"/>
    <s v="Near"/>
    <n v="21"/>
    <s v="Tuesday"/>
    <s v="Large (11-20)"/>
    <n v="2.25"/>
  </r>
  <r>
    <x v="386"/>
    <x v="183"/>
    <x v="27"/>
    <s v="B"/>
    <s v="I0025"/>
    <d v="2026-09-15T01:00:00"/>
    <d v="2026-09-15T01:09:00"/>
    <n v="7"/>
    <n v="9"/>
    <b v="0"/>
    <b v="0"/>
    <b v="0"/>
    <n v="2"/>
    <s v="Low"/>
    <d v="2026-09-14T23:19:00"/>
    <b v="0"/>
    <s v="Home Goods"/>
    <x v="0"/>
    <s v="Fragile"/>
    <s v="Night"/>
    <s v="Experienced"/>
    <s v="Bulk Storage"/>
    <s v="Far"/>
    <n v="23"/>
    <s v="Monday"/>
    <s v="Small (1-5)"/>
    <n v="1.285714285714286"/>
  </r>
  <r>
    <x v="387"/>
    <x v="13"/>
    <x v="11"/>
    <s v="F"/>
    <s v="I0017"/>
    <d v="2026-09-10T07:34:00"/>
    <d v="2026-09-10T07:43:00"/>
    <n v="5"/>
    <n v="9"/>
    <b v="0"/>
    <b v="0"/>
    <b v="0"/>
    <n v="4"/>
    <s v="Normal"/>
    <d v="2026-09-10T05:21:00"/>
    <b v="0"/>
    <s v="Bulk Materials"/>
    <x v="1"/>
    <s v="Bulk"/>
    <s v="Night"/>
    <s v="Intermediate"/>
    <s v="Bulk Storage"/>
    <s v="Near"/>
    <n v="5"/>
    <s v="Thursday"/>
    <s v="Small (1-5)"/>
    <n v="1.8"/>
  </r>
  <r>
    <x v="388"/>
    <x v="5"/>
    <x v="3"/>
    <s v="E"/>
    <s v="I0038"/>
    <d v="2026-09-15T08:18:00"/>
    <d v="2026-09-15T08:26:00"/>
    <n v="5"/>
    <n v="8"/>
    <b v="0"/>
    <b v="0"/>
    <b v="0"/>
    <n v="10"/>
    <s v="Urgent"/>
    <d v="2026-09-15T05:21:00"/>
    <b v="0"/>
    <s v="Small Parts"/>
    <x v="0"/>
    <s v="Unknown"/>
    <s v="Night"/>
    <s v="Beginner"/>
    <s v="Fast-Moving"/>
    <s v="Medium"/>
    <n v="5"/>
    <s v="Tuesday"/>
    <s v="Medium (6-10)"/>
    <n v="1.6"/>
  </r>
  <r>
    <x v="389"/>
    <x v="34"/>
    <x v="27"/>
    <s v="C"/>
    <s v="I0005"/>
    <d v="2026-09-05T10:46:00"/>
    <d v="2026-09-05T10:54:00"/>
    <n v="6"/>
    <n v="8"/>
    <b v="0"/>
    <b v="0"/>
    <b v="0"/>
    <n v="5"/>
    <s v="Normal"/>
    <d v="2026-09-05T08:50:00"/>
    <b v="0"/>
    <s v="Apparel"/>
    <x v="0"/>
    <s v="Climate-Controlled"/>
    <s v="Night"/>
    <s v="Experienced"/>
    <s v="Small Parts"/>
    <s v="Medium"/>
    <n v="8"/>
    <s v="Saturday"/>
    <s v="Small (1-5)"/>
    <n v="1.333333333333333"/>
  </r>
  <r>
    <x v="390"/>
    <x v="36"/>
    <x v="14"/>
    <s v="D"/>
    <s v="I0033"/>
    <d v="2026-09-08T10:46:00"/>
    <d v="2026-09-08T10:54:00"/>
    <n v="5"/>
    <n v="8"/>
    <b v="0"/>
    <b v="0"/>
    <b v="0"/>
    <n v="8"/>
    <s v="Normal"/>
    <d v="2026-09-08T10:31:00"/>
    <b v="0"/>
    <s v="Small Parts"/>
    <x v="1"/>
    <s v="Bulk"/>
    <s v="Night"/>
    <s v="Unknown"/>
    <s v="Fragile"/>
    <s v="Unknown"/>
    <n v="10"/>
    <s v="Tuesday"/>
    <s v="Medium (6-10)"/>
    <n v="1.6"/>
  </r>
  <r>
    <x v="391"/>
    <x v="184"/>
    <x v="22"/>
    <s v="H"/>
    <s v="I0049"/>
    <d v="2026-09-05T23:02:00"/>
    <d v="2026-09-05T23:10:00"/>
    <n v="5"/>
    <n v="8"/>
    <b v="0"/>
    <b v="0"/>
    <b v="0"/>
    <n v="6"/>
    <s v="High"/>
    <d v="2026-09-05T23:02:00"/>
    <b v="0"/>
    <s v="Small Parts"/>
    <x v="1"/>
    <s v="Standard"/>
    <s v="Unknown"/>
    <s v="Unknown"/>
    <s v="Small Parts"/>
    <s v="Near"/>
    <n v="23"/>
    <s v="Saturday"/>
    <s v="Medium (6-10)"/>
    <n v="1.6"/>
  </r>
  <r>
    <x v="392"/>
    <x v="24"/>
    <x v="8"/>
    <s v="D"/>
    <s v="I0074"/>
    <d v="2026-09-22T22:42:00"/>
    <d v="2026-09-22T22:50:00"/>
    <n v="2"/>
    <n v="8"/>
    <b v="0"/>
    <b v="0"/>
    <b v="0"/>
    <n v="20"/>
    <s v="High"/>
    <d v="2026-09-22T21:17:00"/>
    <b v="0"/>
    <s v="Fragile Goods"/>
    <x v="1"/>
    <s v="Climate-Controlled"/>
    <s v="Evening"/>
    <s v="Unknown"/>
    <s v="Fragile"/>
    <s v="Unknown"/>
    <n v="21"/>
    <s v="Tuesday"/>
    <s v="Large (11-20)"/>
    <n v="4"/>
  </r>
  <r>
    <x v="393"/>
    <x v="38"/>
    <x v="12"/>
    <s v="A"/>
    <s v="I0036"/>
    <d v="2026-09-09T17:47:00"/>
    <d v="2026-09-09T17:55:00"/>
    <n v="7"/>
    <n v="8"/>
    <b v="0"/>
    <b v="0"/>
    <b v="0"/>
    <n v="10"/>
    <s v="High"/>
    <d v="2026-09-09T16:40:00"/>
    <b v="0"/>
    <s v="Apparel"/>
    <x v="0"/>
    <s v="Unknown"/>
    <s v="Unknown"/>
    <s v="Intermediate"/>
    <s v="Fast-Moving"/>
    <s v="Near"/>
    <n v="16"/>
    <s v="Wednesday"/>
    <s v="Medium (6-10)"/>
    <n v="1.142857142857143"/>
  </r>
  <r>
    <x v="394"/>
    <x v="185"/>
    <x v="27"/>
    <s v="F"/>
    <s v="I0013"/>
    <d v="2026-09-16T13:46:00"/>
    <d v="2026-09-16T13:54:00"/>
    <n v="7"/>
    <n v="8"/>
    <b v="0"/>
    <b v="0"/>
    <b v="0"/>
    <n v="6"/>
    <s v="High"/>
    <m/>
    <b v="0"/>
    <s v="Home Goods"/>
    <x v="1"/>
    <s v="Unknown"/>
    <s v="Night"/>
    <s v="Experienced"/>
    <s v="Bulk Storage"/>
    <s v="Near"/>
    <m/>
    <m/>
    <s v="Medium (6-10)"/>
    <n v="1.142857142857143"/>
  </r>
  <r>
    <x v="395"/>
    <x v="146"/>
    <x v="13"/>
    <s v="F"/>
    <s v="I0018"/>
    <d v="2026-09-22T11:45:00"/>
    <d v="2026-09-22T11:53:00"/>
    <n v="4"/>
    <n v="8"/>
    <b v="0"/>
    <b v="0"/>
    <b v="0"/>
    <n v="12"/>
    <s v="Normal"/>
    <d v="2026-09-22T10:39:00"/>
    <b v="0"/>
    <s v="Bulk Materials"/>
    <x v="0"/>
    <s v="Bulk"/>
    <s v="Night"/>
    <s v="Intermediate"/>
    <s v="Bulk Storage"/>
    <s v="Near"/>
    <n v="10"/>
    <s v="Tuesday"/>
    <s v="Large (11-20)"/>
    <n v="2"/>
  </r>
  <r>
    <x v="396"/>
    <x v="146"/>
    <x v="21"/>
    <s v="E"/>
    <s v="I0020"/>
    <d v="2026-09-22T11:12:00"/>
    <d v="2026-09-22T11:20:00"/>
    <n v="5"/>
    <n v="8"/>
    <b v="0"/>
    <b v="0"/>
    <b v="0"/>
    <n v="12"/>
    <s v="Normal"/>
    <d v="2026-09-22T10:39:00"/>
    <b v="0"/>
    <s v="Apparel"/>
    <x v="0"/>
    <s v="Bulk"/>
    <s v="Morning"/>
    <s v="Intermediate"/>
    <s v="Fast-Moving"/>
    <s v="Medium"/>
    <n v="10"/>
    <s v="Tuesday"/>
    <s v="Large (11-20)"/>
    <n v="1.6"/>
  </r>
  <r>
    <x v="397"/>
    <x v="77"/>
    <x v="29"/>
    <s v="G"/>
    <s v="I0080"/>
    <d v="2026-09-11T22:07:00"/>
    <d v="2026-09-11T22:15:00"/>
    <n v="3"/>
    <n v="8"/>
    <b v="0"/>
    <b v="0"/>
    <b v="0"/>
    <n v="4"/>
    <s v="High"/>
    <d v="2026-09-11T20:47:00"/>
    <b v="0"/>
    <s v="Fragile Goods"/>
    <x v="0"/>
    <s v="Bulk"/>
    <s v="Morning"/>
    <s v="Experienced"/>
    <s v="Cold Storage"/>
    <s v="Far"/>
    <n v="20"/>
    <s v="Friday"/>
    <s v="Small (1-5)"/>
    <n v="2.666666666666667"/>
  </r>
  <r>
    <x v="398"/>
    <x v="74"/>
    <x v="15"/>
    <s v="B"/>
    <s v="I0058"/>
    <d v="2026-09-17T20:26:00"/>
    <d v="2026-09-17T20:34:00"/>
    <n v="3"/>
    <n v="8"/>
    <b v="0"/>
    <b v="0"/>
    <b v="0"/>
    <n v="12"/>
    <s v="Low"/>
    <d v="2026-09-17T19:59:00"/>
    <b v="0"/>
    <s v="Home Goods"/>
    <x v="1"/>
    <s v="Unknown"/>
    <s v="Morning"/>
    <s v="Unknown"/>
    <s v="Bulk Storage"/>
    <s v="Far"/>
    <n v="19"/>
    <s v="Thursday"/>
    <s v="Large (11-20)"/>
    <n v="2.666666666666667"/>
  </r>
  <r>
    <x v="399"/>
    <x v="74"/>
    <x v="22"/>
    <s v="B"/>
    <s v="I0075"/>
    <d v="2026-09-17T21:33:00"/>
    <d v="2026-09-17T21:41:00"/>
    <n v="7"/>
    <n v="8"/>
    <b v="0"/>
    <b v="0"/>
    <b v="0"/>
    <n v="12"/>
    <s v="Low"/>
    <d v="2026-09-17T19:59:00"/>
    <b v="0"/>
    <s v="Fragile Goods"/>
    <x v="0"/>
    <s v="Standard"/>
    <s v="Unknown"/>
    <s v="Unknown"/>
    <s v="Bulk Storage"/>
    <s v="Far"/>
    <n v="19"/>
    <s v="Thursday"/>
    <s v="Large (11-20)"/>
    <n v="1.142857142857143"/>
  </r>
  <r>
    <x v="400"/>
    <x v="74"/>
    <x v="30"/>
    <s v="B"/>
    <s v="I0013"/>
    <d v="2026-09-17T22:40:00"/>
    <d v="2026-09-17T22:48:00"/>
    <n v="5"/>
    <n v="8"/>
    <b v="0"/>
    <b v="0"/>
    <b v="0"/>
    <n v="12"/>
    <s v="Low"/>
    <d v="2026-09-17T19:59:00"/>
    <b v="0"/>
    <s v="Home Goods"/>
    <x v="1"/>
    <s v="Unknown"/>
    <s v="Night"/>
    <s v="Experienced"/>
    <s v="Bulk Storage"/>
    <s v="Far"/>
    <n v="19"/>
    <s v="Thursday"/>
    <s v="Large (11-20)"/>
    <n v="1.6"/>
  </r>
  <r>
    <x v="401"/>
    <x v="76"/>
    <x v="0"/>
    <s v="B"/>
    <s v="I0053"/>
    <d v="2026-09-25T10:56:00"/>
    <d v="2026-09-25T11:04:00"/>
    <n v="6"/>
    <n v="8"/>
    <b v="0"/>
    <b v="0"/>
    <b v="0"/>
    <n v="10"/>
    <s v="Normal"/>
    <d v="2026-09-25T08:13:00"/>
    <b v="0"/>
    <s v="Small Parts"/>
    <x v="3"/>
    <s v="Standard"/>
    <s v="Night"/>
    <s v="Beginner"/>
    <s v="Bulk Storage"/>
    <s v="Far"/>
    <n v="8"/>
    <s v="Friday"/>
    <s v="Medium (6-10)"/>
    <n v="1.333333333333333"/>
  </r>
  <r>
    <x v="402"/>
    <x v="103"/>
    <x v="22"/>
    <s v="F"/>
    <s v="I0039"/>
    <d v="2026-09-19T23:04:00"/>
    <d v="2026-09-19T23:12:00"/>
    <n v="4"/>
    <n v="8"/>
    <b v="0"/>
    <b v="0"/>
    <b v="0"/>
    <n v="10"/>
    <s v="Normal"/>
    <d v="2026-09-19T22:42:00"/>
    <b v="0"/>
    <s v="Apparel"/>
    <x v="0"/>
    <s v="Fragile"/>
    <s v="Unknown"/>
    <s v="Unknown"/>
    <s v="Bulk Storage"/>
    <s v="Near"/>
    <n v="22"/>
    <s v="Saturday"/>
    <s v="Medium (6-10)"/>
    <n v="2"/>
  </r>
  <r>
    <x v="403"/>
    <x v="186"/>
    <x v="31"/>
    <s v="E"/>
    <s v="I0009"/>
    <d v="2026-09-16T07:02:00"/>
    <d v="2026-09-16T07:10:00"/>
    <n v="7"/>
    <n v="8"/>
    <b v="0"/>
    <b v="0"/>
    <b v="0"/>
    <n v="5"/>
    <s v="High"/>
    <d v="2026-09-16T04:04:00"/>
    <b v="0"/>
    <s v="Bulk Materials"/>
    <x v="0"/>
    <s v="Fragile"/>
    <s v="Morning"/>
    <s v="Experienced"/>
    <s v="Fast-Moving"/>
    <s v="Medium"/>
    <n v="4"/>
    <s v="Wednesday"/>
    <s v="Small (1-5)"/>
    <n v="1.142857142857143"/>
  </r>
  <r>
    <x v="404"/>
    <x v="147"/>
    <x v="18"/>
    <s v="H"/>
    <s v="I0036"/>
    <d v="2026-09-17T08:57:00"/>
    <d v="2026-09-17T09:05:00"/>
    <n v="3"/>
    <n v="8"/>
    <b v="0"/>
    <b v="0"/>
    <b v="0"/>
    <n v="6"/>
    <s v="Urgent"/>
    <d v="2026-09-17T08:24:00"/>
    <b v="0"/>
    <s v="Apparel"/>
    <x v="0"/>
    <s v="Unknown"/>
    <s v="Night"/>
    <s v="Intermediate"/>
    <s v="Small Parts"/>
    <s v="Near"/>
    <n v="8"/>
    <s v="Thursday"/>
    <s v="Medium (6-10)"/>
    <n v="2.666666666666667"/>
  </r>
  <r>
    <x v="405"/>
    <x v="46"/>
    <x v="17"/>
    <s v="D"/>
    <s v="I0037"/>
    <d v="2026-09-08T01:19:00"/>
    <d v="2026-09-08T01:27:00"/>
    <n v="5"/>
    <n v="8"/>
    <b v="0"/>
    <b v="0"/>
    <b v="0"/>
    <n v="10"/>
    <s v="Low"/>
    <d v="2026-09-08T01:04:00"/>
    <b v="0"/>
    <s v="Electronics"/>
    <x v="1"/>
    <s v="Climate-Controlled"/>
    <s v="Night"/>
    <s v="Intermediate"/>
    <s v="Fragile"/>
    <s v="Unknown"/>
    <n v="1"/>
    <s v="Tuesday"/>
    <s v="Medium (6-10)"/>
    <n v="1.6"/>
  </r>
  <r>
    <x v="406"/>
    <x v="46"/>
    <x v="27"/>
    <s v="C"/>
    <s v="I0054"/>
    <d v="2026-09-08T02:08:00"/>
    <d v="2026-09-08T02:16:00"/>
    <n v="6"/>
    <n v="8"/>
    <b v="0"/>
    <b v="0"/>
    <b v="0"/>
    <n v="10"/>
    <s v="Low"/>
    <d v="2026-09-08T01:04:00"/>
    <b v="0"/>
    <s v="Small Parts"/>
    <x v="0"/>
    <s v="Bulk"/>
    <s v="Night"/>
    <s v="Experienced"/>
    <s v="Small Parts"/>
    <s v="Medium"/>
    <n v="1"/>
    <s v="Tuesday"/>
    <s v="Medium (6-10)"/>
    <n v="1.333333333333333"/>
  </r>
  <r>
    <x v="407"/>
    <x v="187"/>
    <x v="29"/>
    <s v="G"/>
    <s v="I0026"/>
    <d v="2026-09-18T07:27:00"/>
    <d v="2026-09-18T07:35:00"/>
    <n v="3"/>
    <n v="8"/>
    <b v="0"/>
    <b v="0"/>
    <b v="0"/>
    <n v="20"/>
    <s v="High"/>
    <d v="2026-09-18T07:26:00"/>
    <b v="0"/>
    <s v="Bulk Materials"/>
    <x v="0"/>
    <s v="Climate-Controlled"/>
    <s v="Morning"/>
    <s v="Experienced"/>
    <s v="Cold Storage"/>
    <s v="Far"/>
    <n v="7"/>
    <s v="Friday"/>
    <s v="Large (11-20)"/>
    <n v="2.666666666666667"/>
  </r>
  <r>
    <x v="408"/>
    <x v="120"/>
    <x v="30"/>
    <s v="F"/>
    <s v="I0011"/>
    <d v="2026-09-12T09:36:00"/>
    <d v="2026-09-12T09:44:00"/>
    <n v="6"/>
    <n v="8"/>
    <b v="0"/>
    <b v="0"/>
    <b v="0"/>
    <n v="6"/>
    <s v="High"/>
    <d v="2026-09-12T09:08:00"/>
    <b v="0"/>
    <s v="Fragile Goods"/>
    <x v="1"/>
    <s v="Climate-Controlled"/>
    <s v="Night"/>
    <s v="Experienced"/>
    <s v="Bulk Storage"/>
    <s v="Near"/>
    <n v="9"/>
    <s v="Saturday"/>
    <s v="Medium (6-10)"/>
    <n v="1.333333333333333"/>
  </r>
  <r>
    <x v="409"/>
    <x v="60"/>
    <x v="10"/>
    <s v="D"/>
    <s v="I0057"/>
    <d v="2026-09-05T02:01:00"/>
    <d v="2026-09-05T02:09:00"/>
    <n v="1"/>
    <n v="8"/>
    <b v="0"/>
    <b v="0"/>
    <b v="0"/>
    <n v="4"/>
    <s v="High"/>
    <d v="2026-09-04T23:38:00"/>
    <b v="0"/>
    <s v="Apparel"/>
    <x v="1"/>
    <s v="Bulk"/>
    <s v="Night"/>
    <s v="Unknown"/>
    <s v="Fragile"/>
    <s v="Unknown"/>
    <n v="23"/>
    <s v="Friday"/>
    <s v="Small (1-5)"/>
    <n v="8"/>
  </r>
  <r>
    <x v="410"/>
    <x v="26"/>
    <x v="8"/>
    <s v="F"/>
    <s v="I0044"/>
    <d v="2026-09-21T20:39:00"/>
    <d v="2026-09-21T20:47:00"/>
    <n v="3"/>
    <n v="8"/>
    <b v="0"/>
    <b v="0"/>
    <b v="0"/>
    <n v="10"/>
    <s v="High"/>
    <d v="2026-09-21T19:02:00"/>
    <b v="0"/>
    <s v="Electronics"/>
    <x v="1"/>
    <s v="Bulk"/>
    <s v="Evening"/>
    <s v="Unknown"/>
    <s v="Bulk Storage"/>
    <s v="Near"/>
    <n v="19"/>
    <s v="Monday"/>
    <s v="Medium (6-10)"/>
    <n v="2.666666666666667"/>
  </r>
  <r>
    <x v="411"/>
    <x v="16"/>
    <x v="17"/>
    <s v="B"/>
    <s v="I0054"/>
    <d v="2026-09-28T10:44:00"/>
    <d v="2026-09-28T10:52:00"/>
    <n v="1"/>
    <n v="8"/>
    <b v="0"/>
    <b v="0"/>
    <b v="0"/>
    <n v="4"/>
    <s v="Urgent"/>
    <d v="2026-09-28T10:39:00"/>
    <b v="0"/>
    <s v="Small Parts"/>
    <x v="0"/>
    <s v="Bulk"/>
    <s v="Night"/>
    <s v="Intermediate"/>
    <s v="Bulk Storage"/>
    <s v="Far"/>
    <n v="10"/>
    <s v="Monday"/>
    <s v="Small (1-5)"/>
    <n v="8"/>
  </r>
  <r>
    <x v="412"/>
    <x v="188"/>
    <x v="28"/>
    <s v="H"/>
    <s v="I0058"/>
    <d v="2026-09-27T05:17:00"/>
    <d v="2026-09-27T05:25:00"/>
    <n v="5"/>
    <n v="8"/>
    <b v="0"/>
    <b v="0"/>
    <b v="0"/>
    <n v="2"/>
    <s v="High"/>
    <d v="2026-09-27T05:01:00"/>
    <b v="0"/>
    <s v="Home Goods"/>
    <x v="1"/>
    <s v="Unknown"/>
    <s v="Night"/>
    <s v="Experienced"/>
    <s v="Small Parts"/>
    <s v="Near"/>
    <n v="5"/>
    <s v="Sunday"/>
    <s v="Small (1-5)"/>
    <n v="1.6"/>
  </r>
  <r>
    <x v="413"/>
    <x v="189"/>
    <x v="23"/>
    <s v="D"/>
    <s v="I0011"/>
    <d v="2026-09-24T14:24:00"/>
    <d v="2026-09-24T14:32:00"/>
    <n v="2"/>
    <n v="8"/>
    <b v="0"/>
    <b v="0"/>
    <b v="0"/>
    <n v="3"/>
    <s v="High"/>
    <d v="2026-09-24T12:54:00"/>
    <b v="0"/>
    <s v="Fragile Goods"/>
    <x v="1"/>
    <s v="Climate-Controlled"/>
    <s v="Evening"/>
    <s v="Intermediate"/>
    <s v="Fragile"/>
    <s v="Unknown"/>
    <n v="12"/>
    <s v="Thursday"/>
    <s v="Small (1-5)"/>
    <n v="4"/>
  </r>
  <r>
    <x v="414"/>
    <x v="178"/>
    <x v="3"/>
    <s v="E"/>
    <s v="I0077"/>
    <d v="2026-09-15T16:06:00"/>
    <d v="2026-09-15T16:14:00"/>
    <n v="3"/>
    <n v="8"/>
    <b v="0"/>
    <b v="0"/>
    <b v="0"/>
    <m/>
    <s v="Normal"/>
    <d v="2026-09-15T15:29:00"/>
    <b v="1"/>
    <s v="Bulk Materials"/>
    <x v="0"/>
    <s v="Unknown"/>
    <s v="Night"/>
    <s v="Beginner"/>
    <s v="Fast-Moving"/>
    <s v="Medium"/>
    <n v="15"/>
    <s v="Tuesday"/>
    <m/>
    <n v="2.666666666666667"/>
  </r>
  <r>
    <x v="415"/>
    <x v="190"/>
    <x v="9"/>
    <s v="H"/>
    <s v="I0043"/>
    <d v="2026-09-11T19:31:00"/>
    <d v="2026-09-11T19:39:00"/>
    <n v="6"/>
    <n v="8"/>
    <b v="0"/>
    <b v="0"/>
    <b v="0"/>
    <n v="6"/>
    <s v="Normal"/>
    <d v="2026-09-11T16:40:00"/>
    <b v="0"/>
    <s v="Small Parts"/>
    <x v="0"/>
    <s v="Fragile"/>
    <s v="Unknown"/>
    <s v="Intermediate"/>
    <s v="Small Parts"/>
    <s v="Near"/>
    <n v="16"/>
    <s v="Friday"/>
    <s v="Medium (6-10)"/>
    <n v="1.333333333333333"/>
  </r>
  <r>
    <x v="416"/>
    <x v="191"/>
    <x v="1"/>
    <s v="A"/>
    <s v="I0060"/>
    <d v="2026-09-11T01:36:00"/>
    <d v="2026-09-11T01:44:00"/>
    <n v="7"/>
    <n v="8"/>
    <b v="0"/>
    <b v="0"/>
    <b v="0"/>
    <n v="10"/>
    <s v="Normal"/>
    <d v="2026-09-11T00:02:00"/>
    <b v="0"/>
    <s v="Small Parts"/>
    <x v="2"/>
    <s v="Climate-Controlled"/>
    <s v="Night"/>
    <s v="Beginner"/>
    <s v="Fast-Moving"/>
    <s v="Near"/>
    <n v="0"/>
    <s v="Friday"/>
    <s v="Medium (6-10)"/>
    <n v="1.142857142857143"/>
  </r>
  <r>
    <x v="417"/>
    <x v="46"/>
    <x v="29"/>
    <s v="B"/>
    <s v="I0033"/>
    <d v="2026-09-08T01:23:00"/>
    <d v="2026-09-08T01:31:00"/>
    <n v="1"/>
    <n v="8"/>
    <b v="0"/>
    <b v="0"/>
    <b v="0"/>
    <n v="10"/>
    <s v="Low"/>
    <d v="2026-09-08T01:04:00"/>
    <b v="0"/>
    <s v="Small Parts"/>
    <x v="1"/>
    <s v="Bulk"/>
    <s v="Morning"/>
    <s v="Experienced"/>
    <s v="Bulk Storage"/>
    <s v="Far"/>
    <n v="1"/>
    <s v="Tuesday"/>
    <s v="Medium (6-10)"/>
    <n v="8"/>
  </r>
  <r>
    <x v="418"/>
    <x v="160"/>
    <x v="12"/>
    <s v="F"/>
    <s v="I0043"/>
    <d v="2026-09-07T18:27:00"/>
    <d v="2026-09-07T18:35:00"/>
    <n v="1"/>
    <n v="8"/>
    <b v="0"/>
    <b v="0"/>
    <b v="0"/>
    <n v="8"/>
    <s v="Urgent"/>
    <d v="2026-09-07T16:32:00"/>
    <b v="0"/>
    <s v="Small Parts"/>
    <x v="0"/>
    <s v="Fragile"/>
    <s v="Unknown"/>
    <s v="Intermediate"/>
    <s v="Bulk Storage"/>
    <s v="Near"/>
    <n v="16"/>
    <s v="Monday"/>
    <s v="Medium (6-10)"/>
    <n v="8"/>
  </r>
  <r>
    <x v="419"/>
    <x v="160"/>
    <x v="16"/>
    <s v="F"/>
    <s v="I0048"/>
    <d v="2026-09-07T19:11:00"/>
    <d v="2026-09-07T19:19:00"/>
    <n v="2"/>
    <n v="8"/>
    <b v="0"/>
    <b v="0"/>
    <b v="0"/>
    <n v="8"/>
    <s v="Urgent"/>
    <d v="2026-09-07T16:32:00"/>
    <b v="0"/>
    <s v="Electronics"/>
    <x v="2"/>
    <s v="Standard"/>
    <s v="Night"/>
    <s v="Intermediate"/>
    <s v="Bulk Storage"/>
    <s v="Near"/>
    <n v="16"/>
    <s v="Monday"/>
    <s v="Medium (6-10)"/>
    <n v="4"/>
  </r>
  <r>
    <x v="420"/>
    <x v="111"/>
    <x v="3"/>
    <s v="C"/>
    <s v="I0074"/>
    <d v="2026-09-29T02:01:00"/>
    <d v="2026-09-29T02:09:00"/>
    <n v="3"/>
    <n v="8"/>
    <b v="0"/>
    <b v="0"/>
    <b v="0"/>
    <n v="4"/>
    <s v="High"/>
    <d v="2026-09-28T23:34:00"/>
    <b v="0"/>
    <s v="Fragile Goods"/>
    <x v="1"/>
    <s v="Climate-Controlled"/>
    <s v="Night"/>
    <s v="Beginner"/>
    <s v="Small Parts"/>
    <s v="Medium"/>
    <n v="23"/>
    <s v="Monday"/>
    <s v="Small (1-5)"/>
    <n v="2.666666666666667"/>
  </r>
  <r>
    <x v="421"/>
    <x v="121"/>
    <x v="17"/>
    <s v="E"/>
    <s v="I0026"/>
    <d v="2026-09-26T08:44:00"/>
    <d v="2026-09-26T08:52:00"/>
    <n v="7"/>
    <n v="8"/>
    <b v="0"/>
    <b v="0"/>
    <b v="0"/>
    <n v="8"/>
    <s v="Normal"/>
    <d v="2026-09-26T07:22:00"/>
    <b v="0"/>
    <s v="Bulk Materials"/>
    <x v="0"/>
    <s v="Climate-Controlled"/>
    <s v="Night"/>
    <s v="Intermediate"/>
    <s v="Fast-Moving"/>
    <s v="Medium"/>
    <n v="7"/>
    <s v="Saturday"/>
    <s v="Medium (6-10)"/>
    <n v="1.142857142857143"/>
  </r>
  <r>
    <x v="422"/>
    <x v="57"/>
    <x v="2"/>
    <s v="B"/>
    <s v="I0004"/>
    <d v="2026-09-04T07:37:00"/>
    <d v="2026-09-04T07:45:00"/>
    <n v="3"/>
    <n v="8"/>
    <b v="0"/>
    <b v="0"/>
    <b v="0"/>
    <n v="8"/>
    <s v="Normal"/>
    <d v="2026-09-04T04:38:00"/>
    <b v="0"/>
    <s v="Electronics"/>
    <x v="0"/>
    <s v="Standard"/>
    <s v="Evening"/>
    <s v="Beginner"/>
    <s v="Bulk Storage"/>
    <s v="Far"/>
    <n v="4"/>
    <s v="Friday"/>
    <s v="Medium (6-10)"/>
    <n v="2.666666666666667"/>
  </r>
  <r>
    <x v="423"/>
    <x v="56"/>
    <x v="1"/>
    <s v="H"/>
    <s v="I0070"/>
    <d v="2026-09-20T12:57:00"/>
    <d v="2026-09-20T13:05:00"/>
    <n v="5"/>
    <n v="8"/>
    <b v="0"/>
    <b v="0"/>
    <b v="0"/>
    <n v="8"/>
    <s v="Low"/>
    <d v="2026-09-20T11:15:00"/>
    <b v="0"/>
    <s v="Bulk Materials"/>
    <x v="0"/>
    <s v="Standard"/>
    <s v="Night"/>
    <s v="Beginner"/>
    <s v="Small Parts"/>
    <s v="Near"/>
    <n v="11"/>
    <s v="Sunday"/>
    <s v="Medium (6-10)"/>
    <n v="1.6"/>
  </r>
  <r>
    <x v="424"/>
    <x v="56"/>
    <x v="22"/>
    <s v="C"/>
    <s v="I0034"/>
    <d v="2026-09-20T12:54:00"/>
    <d v="2026-09-20T13:02:00"/>
    <n v="1"/>
    <n v="8"/>
    <b v="0"/>
    <b v="0"/>
    <b v="0"/>
    <n v="8"/>
    <s v="Low"/>
    <d v="2026-09-20T11:15:00"/>
    <b v="0"/>
    <s v="Bulk Materials"/>
    <x v="0"/>
    <s v="Climate-Controlled"/>
    <s v="Unknown"/>
    <s v="Unknown"/>
    <s v="Small Parts"/>
    <s v="Medium"/>
    <n v="11"/>
    <s v="Sunday"/>
    <s v="Medium (6-10)"/>
    <n v="8"/>
  </r>
  <r>
    <x v="425"/>
    <x v="95"/>
    <x v="21"/>
    <s v="F"/>
    <s v="I0032"/>
    <d v="2026-09-05T17:19:00"/>
    <d v="2026-09-05T17:27:00"/>
    <n v="6"/>
    <n v="8"/>
    <b v="0"/>
    <b v="0"/>
    <b v="0"/>
    <n v="6"/>
    <s v="Urgent"/>
    <d v="2026-09-05T14:40:00"/>
    <b v="0"/>
    <s v="Bulk Materials"/>
    <x v="2"/>
    <s v="Standard"/>
    <s v="Morning"/>
    <s v="Intermediate"/>
    <s v="Bulk Storage"/>
    <s v="Near"/>
    <n v="14"/>
    <s v="Saturday"/>
    <s v="Medium (6-10)"/>
    <n v="1.333333333333333"/>
  </r>
  <r>
    <x v="426"/>
    <x v="138"/>
    <x v="18"/>
    <s v="A"/>
    <s v="I0032"/>
    <d v="2026-09-02T07:31:00"/>
    <d v="2026-09-02T07:39:00"/>
    <n v="6"/>
    <n v="8"/>
    <b v="0"/>
    <b v="0"/>
    <b v="0"/>
    <n v="8"/>
    <s v="High"/>
    <d v="2026-09-02T05:13:00"/>
    <b v="0"/>
    <s v="Bulk Materials"/>
    <x v="2"/>
    <s v="Standard"/>
    <s v="Night"/>
    <s v="Intermediate"/>
    <s v="Fast-Moving"/>
    <s v="Near"/>
    <n v="5"/>
    <s v="Wednesday"/>
    <s v="Medium (6-10)"/>
    <n v="1.333333333333333"/>
  </r>
  <r>
    <x v="427"/>
    <x v="192"/>
    <x v="27"/>
    <s v="G"/>
    <s v="I0038"/>
    <d v="2026-09-10T11:17:00"/>
    <d v="2026-09-10T11:25:00"/>
    <n v="1"/>
    <n v="8"/>
    <b v="0"/>
    <b v="0"/>
    <b v="0"/>
    <n v="3"/>
    <s v="Urgent"/>
    <d v="2026-09-10T10:06:00"/>
    <b v="0"/>
    <s v="Small Parts"/>
    <x v="0"/>
    <s v="Unknown"/>
    <s v="Night"/>
    <s v="Experienced"/>
    <s v="Cold Storage"/>
    <s v="Far"/>
    <n v="10"/>
    <s v="Thursday"/>
    <s v="Small (1-5)"/>
    <n v="8"/>
  </r>
  <r>
    <x v="428"/>
    <x v="193"/>
    <x v="24"/>
    <s v="E"/>
    <s v="I0009"/>
    <d v="2026-09-11T00:00:00"/>
    <d v="2026-09-11T00:08:00"/>
    <n v="6"/>
    <n v="8"/>
    <b v="0"/>
    <b v="0"/>
    <b v="0"/>
    <n v="6"/>
    <s v="Urgent"/>
    <d v="2026-09-10T23:11:00"/>
    <b v="0"/>
    <s v="Bulk Materials"/>
    <x v="0"/>
    <s v="Fragile"/>
    <s v="Night"/>
    <s v="Experienced"/>
    <s v="Fast-Moving"/>
    <s v="Medium"/>
    <n v="23"/>
    <s v="Thursday"/>
    <s v="Medium (6-10)"/>
    <n v="1.333333333333333"/>
  </r>
  <r>
    <x v="429"/>
    <x v="193"/>
    <x v="18"/>
    <s v="A"/>
    <s v="I0003"/>
    <d v="2026-09-11T01:08:00"/>
    <d v="2026-09-11T01:16:00"/>
    <n v="4"/>
    <n v="8"/>
    <b v="0"/>
    <b v="0"/>
    <b v="0"/>
    <n v="6"/>
    <s v="Urgent"/>
    <d v="2026-09-10T23:11:00"/>
    <b v="0"/>
    <s v="Unknown"/>
    <x v="0"/>
    <s v="Climate-Controlled"/>
    <s v="Night"/>
    <s v="Intermediate"/>
    <s v="Fast-Moving"/>
    <s v="Near"/>
    <n v="23"/>
    <s v="Thursday"/>
    <s v="Medium (6-10)"/>
    <n v="2"/>
  </r>
  <r>
    <x v="430"/>
    <x v="101"/>
    <x v="16"/>
    <s v="C"/>
    <s v="I0064"/>
    <d v="2026-09-04T09:15:00"/>
    <d v="2026-09-04T09:23:00"/>
    <n v="7"/>
    <n v="8"/>
    <b v="0"/>
    <b v="0"/>
    <b v="0"/>
    <n v="12"/>
    <s v="High"/>
    <d v="2026-09-04T06:58:00"/>
    <b v="0"/>
    <s v="Small Parts"/>
    <x v="0"/>
    <s v="Unknown"/>
    <s v="Night"/>
    <s v="Intermediate"/>
    <s v="Small Parts"/>
    <s v="Medium"/>
    <n v="6"/>
    <s v="Friday"/>
    <s v="Large (11-20)"/>
    <n v="1.142857142857143"/>
  </r>
  <r>
    <x v="431"/>
    <x v="2"/>
    <x v="21"/>
    <s v="C"/>
    <s v="I0077"/>
    <d v="2026-09-04T17:18:00"/>
    <d v="2026-09-04T17:26:00"/>
    <n v="2"/>
    <n v="8"/>
    <b v="0"/>
    <b v="0"/>
    <b v="0"/>
    <n v="15"/>
    <s v="Normal"/>
    <d v="2026-09-04T15:51:00"/>
    <b v="0"/>
    <s v="Bulk Materials"/>
    <x v="0"/>
    <s v="Unknown"/>
    <s v="Morning"/>
    <s v="Intermediate"/>
    <s v="Small Parts"/>
    <s v="Medium"/>
    <n v="15"/>
    <s v="Friday"/>
    <s v="Large (11-20)"/>
    <n v="4"/>
  </r>
  <r>
    <x v="432"/>
    <x v="194"/>
    <x v="21"/>
    <s v="E"/>
    <s v="I0070"/>
    <d v="2026-09-26T09:25:00"/>
    <d v="2026-09-26T09:33:00"/>
    <n v="7"/>
    <n v="8"/>
    <b v="0"/>
    <b v="0"/>
    <b v="0"/>
    <n v="5"/>
    <s v="Normal"/>
    <d v="2026-09-26T06:39:00"/>
    <b v="0"/>
    <s v="Bulk Materials"/>
    <x v="0"/>
    <s v="Standard"/>
    <s v="Morning"/>
    <s v="Intermediate"/>
    <s v="Fast-Moving"/>
    <s v="Medium"/>
    <n v="6"/>
    <s v="Saturday"/>
    <s v="Small (1-5)"/>
    <n v="1.142857142857143"/>
  </r>
  <r>
    <x v="433"/>
    <x v="195"/>
    <x v="26"/>
    <s v="D"/>
    <s v="I0047"/>
    <d v="2026-09-25T09:53:00"/>
    <d v="2026-09-25T10:01:00"/>
    <n v="3"/>
    <n v="8"/>
    <b v="0"/>
    <b v="0"/>
    <b v="0"/>
    <n v="3"/>
    <s v="High"/>
    <d v="2026-09-25T07:35:00"/>
    <b v="0"/>
    <s v="Electronics"/>
    <x v="0"/>
    <s v="Unknown"/>
    <s v="Morning"/>
    <s v="Experienced"/>
    <s v="Fragile"/>
    <s v="Unknown"/>
    <n v="7"/>
    <s v="Friday"/>
    <s v="Small (1-5)"/>
    <n v="2.666666666666667"/>
  </r>
  <r>
    <x v="434"/>
    <x v="195"/>
    <x v="26"/>
    <s v="B"/>
    <s v="I0067"/>
    <d v="2026-09-25T08:48:00"/>
    <d v="2026-09-25T08:56:00"/>
    <n v="4"/>
    <n v="8"/>
    <b v="0"/>
    <b v="0"/>
    <b v="0"/>
    <n v="3"/>
    <s v="High"/>
    <d v="2026-09-25T07:35:00"/>
    <b v="0"/>
    <s v="Bulk Materials"/>
    <x v="0"/>
    <s v="Climate-Controlled"/>
    <s v="Morning"/>
    <s v="Experienced"/>
    <s v="Bulk Storage"/>
    <s v="Far"/>
    <n v="7"/>
    <s v="Friday"/>
    <s v="Small (1-5)"/>
    <n v="2"/>
  </r>
  <r>
    <x v="435"/>
    <x v="33"/>
    <x v="15"/>
    <s v="B"/>
    <s v="I0027"/>
    <d v="2026-09-27T14:39:00"/>
    <d v="2026-09-27T14:47:00"/>
    <n v="5"/>
    <n v="8"/>
    <b v="0"/>
    <b v="0"/>
    <b v="0"/>
    <n v="10"/>
    <s v="High"/>
    <d v="2026-09-27T12:45:00"/>
    <b v="0"/>
    <s v="Unknown"/>
    <x v="2"/>
    <s v="Bulk"/>
    <s v="Morning"/>
    <s v="Unknown"/>
    <s v="Bulk Storage"/>
    <s v="Far"/>
    <n v="12"/>
    <s v="Sunday"/>
    <s v="Medium (6-10)"/>
    <n v="1.6"/>
  </r>
  <r>
    <x v="436"/>
    <x v="196"/>
    <x v="8"/>
    <s v="H"/>
    <s v="I0077"/>
    <d v="2026-09-16T02:01:00"/>
    <d v="2026-09-16T02:09:00"/>
    <n v="2"/>
    <n v="8"/>
    <b v="0"/>
    <b v="0"/>
    <b v="0"/>
    <n v="2"/>
    <s v="Urgent"/>
    <d v="2026-09-16T00:31:00"/>
    <b v="0"/>
    <s v="Bulk Materials"/>
    <x v="0"/>
    <s v="Unknown"/>
    <s v="Evening"/>
    <s v="Unknown"/>
    <s v="Small Parts"/>
    <s v="Near"/>
    <n v="0"/>
    <s v="Wednesday"/>
    <s v="Small (1-5)"/>
    <n v="4"/>
  </r>
  <r>
    <x v="437"/>
    <x v="28"/>
    <x v="26"/>
    <s v="G"/>
    <s v="I0060"/>
    <d v="2026-09-22T01:59:00"/>
    <d v="2026-09-22T02:07:00"/>
    <n v="6"/>
    <n v="8"/>
    <b v="0"/>
    <b v="0"/>
    <b v="0"/>
    <n v="12"/>
    <s v="Unknown"/>
    <d v="2026-09-22T01:56:00"/>
    <b v="0"/>
    <s v="Small Parts"/>
    <x v="2"/>
    <s v="Climate-Controlled"/>
    <s v="Morning"/>
    <s v="Experienced"/>
    <s v="Cold Storage"/>
    <s v="Far"/>
    <n v="1"/>
    <s v="Tuesday"/>
    <s v="Large (11-20)"/>
    <n v="1.333333333333333"/>
  </r>
  <r>
    <x v="438"/>
    <x v="28"/>
    <x v="20"/>
    <s v="G"/>
    <s v="I0002"/>
    <d v="2026-09-22T02:01:00"/>
    <d v="2026-09-22T02:09:00"/>
    <n v="2"/>
    <n v="8"/>
    <b v="0"/>
    <b v="0"/>
    <b v="0"/>
    <n v="12"/>
    <s v="Unknown"/>
    <d v="2026-09-22T01:56:00"/>
    <b v="0"/>
    <s v="Small Parts"/>
    <x v="0"/>
    <s v="Fragile"/>
    <s v="Night"/>
    <s v="Unknown"/>
    <s v="Cold Storage"/>
    <s v="Far"/>
    <n v="1"/>
    <s v="Tuesday"/>
    <s v="Large (11-20)"/>
    <n v="4"/>
  </r>
  <r>
    <x v="439"/>
    <x v="162"/>
    <x v="13"/>
    <s v="C"/>
    <s v="I0052"/>
    <d v="2026-09-24T02:59:00"/>
    <d v="2026-09-24T03:07:00"/>
    <n v="1"/>
    <n v="8"/>
    <b v="0"/>
    <b v="0"/>
    <b v="0"/>
    <n v="12"/>
    <s v="Normal"/>
    <d v="2026-09-24T01:08:00"/>
    <b v="0"/>
    <s v="Bulk Materials"/>
    <x v="3"/>
    <s v="Bulk"/>
    <s v="Night"/>
    <s v="Intermediate"/>
    <s v="Small Parts"/>
    <s v="Medium"/>
    <n v="1"/>
    <s v="Thursday"/>
    <s v="Large (11-20)"/>
    <n v="8"/>
  </r>
  <r>
    <x v="440"/>
    <x v="65"/>
    <x v="4"/>
    <s v="A"/>
    <s v="I0065"/>
    <d v="2026-09-22T11:20:00"/>
    <d v="2026-09-22T11:28:00"/>
    <n v="6"/>
    <n v="8"/>
    <b v="0"/>
    <b v="0"/>
    <b v="0"/>
    <n v="20"/>
    <s v="Normal"/>
    <d v="2026-09-22T09:35:00"/>
    <b v="0"/>
    <s v="Small Parts"/>
    <x v="1"/>
    <s v="Fragile"/>
    <s v="Night"/>
    <s v="Unknown"/>
    <s v="Fast-Moving"/>
    <s v="Near"/>
    <n v="9"/>
    <s v="Tuesday"/>
    <s v="Large (11-20)"/>
    <n v="1.333333333333333"/>
  </r>
  <r>
    <x v="441"/>
    <x v="65"/>
    <x v="27"/>
    <s v="C"/>
    <s v="I0010"/>
    <d v="2026-09-22T12:24:00"/>
    <d v="2026-09-22T12:32:00"/>
    <n v="7"/>
    <n v="8"/>
    <b v="0"/>
    <b v="0"/>
    <b v="0"/>
    <n v="20"/>
    <s v="Normal"/>
    <d v="2026-09-22T09:35:00"/>
    <b v="0"/>
    <s v="Fragile Goods"/>
    <x v="1"/>
    <s v="Standard"/>
    <s v="Night"/>
    <s v="Experienced"/>
    <s v="Small Parts"/>
    <s v="Medium"/>
    <n v="9"/>
    <s v="Tuesday"/>
    <s v="Large (11-20)"/>
    <n v="1.142857142857143"/>
  </r>
  <r>
    <x v="442"/>
    <x v="197"/>
    <x v="13"/>
    <s v="F"/>
    <s v="I0056"/>
    <d v="2026-09-24T13:22:00"/>
    <d v="2026-09-24T13:30:00"/>
    <n v="1"/>
    <n v="8"/>
    <b v="0"/>
    <b v="0"/>
    <b v="0"/>
    <n v="3"/>
    <s v="Normal"/>
    <d v="2026-09-24T12:10:00"/>
    <b v="0"/>
    <s v="Apparel"/>
    <x v="1"/>
    <s v="Fragile"/>
    <s v="Night"/>
    <s v="Intermediate"/>
    <s v="Bulk Storage"/>
    <s v="Near"/>
    <n v="12"/>
    <s v="Thursday"/>
    <s v="Small (1-5)"/>
    <n v="8"/>
  </r>
  <r>
    <x v="443"/>
    <x v="43"/>
    <x v="3"/>
    <s v="A"/>
    <s v="I0069"/>
    <d v="2026-09-08T09:27:00"/>
    <d v="2026-09-08T09:35:00"/>
    <n v="6"/>
    <n v="8"/>
    <b v="0"/>
    <b v="0"/>
    <b v="0"/>
    <n v="3"/>
    <s v="Normal"/>
    <d v="2026-09-08T07:31:00"/>
    <b v="0"/>
    <s v="Electronics"/>
    <x v="2"/>
    <s v="Climate-Controlled"/>
    <s v="Night"/>
    <s v="Beginner"/>
    <s v="Fast-Moving"/>
    <s v="Near"/>
    <n v="7"/>
    <s v="Tuesday"/>
    <s v="Small (1-5)"/>
    <n v="1.333333333333333"/>
  </r>
  <r>
    <x v="444"/>
    <x v="44"/>
    <x v="26"/>
    <s v="G"/>
    <s v="I0004"/>
    <d v="2026-09-27T20:16:00"/>
    <d v="2026-09-27T20:24:00"/>
    <n v="3"/>
    <n v="8"/>
    <b v="0"/>
    <b v="0"/>
    <b v="0"/>
    <n v="12"/>
    <s v="High"/>
    <d v="2026-09-27T19:57:00"/>
    <b v="0"/>
    <s v="Electronics"/>
    <x v="0"/>
    <s v="Standard"/>
    <s v="Morning"/>
    <s v="Experienced"/>
    <s v="Cold Storage"/>
    <s v="Far"/>
    <n v="19"/>
    <s v="Sunday"/>
    <s v="Large (11-20)"/>
    <n v="2.666666666666667"/>
  </r>
  <r>
    <x v="445"/>
    <x v="198"/>
    <x v="23"/>
    <s v="D"/>
    <s v="I0079"/>
    <d v="2026-09-11T09:36:00"/>
    <d v="2026-09-11T09:44:00"/>
    <n v="1"/>
    <n v="8"/>
    <b v="0"/>
    <b v="0"/>
    <b v="0"/>
    <n v="3"/>
    <s v="Normal"/>
    <d v="2026-09-11T07:53:00"/>
    <b v="0"/>
    <s v="Fragile Goods"/>
    <x v="0"/>
    <s v="Bulk"/>
    <s v="Evening"/>
    <s v="Intermediate"/>
    <s v="Fragile"/>
    <s v="Unknown"/>
    <n v="7"/>
    <s v="Friday"/>
    <s v="Small (1-5)"/>
    <n v="8"/>
  </r>
  <r>
    <x v="446"/>
    <x v="92"/>
    <x v="28"/>
    <s v="C"/>
    <s v="I0073"/>
    <d v="2026-09-23T21:58:00"/>
    <d v="2026-09-23T22:06:00"/>
    <n v="4"/>
    <n v="8"/>
    <b v="0"/>
    <b v="0"/>
    <b v="0"/>
    <n v="6"/>
    <s v="Normal"/>
    <d v="2026-09-23T20:11:00"/>
    <b v="0"/>
    <s v="Unknown"/>
    <x v="0"/>
    <s v="Bulk"/>
    <s v="Night"/>
    <s v="Experienced"/>
    <s v="Small Parts"/>
    <s v="Medium"/>
    <n v="20"/>
    <s v="Wednesday"/>
    <s v="Medium (6-10)"/>
    <n v="2"/>
  </r>
  <r>
    <x v="447"/>
    <x v="199"/>
    <x v="16"/>
    <s v="F"/>
    <s v="I0046"/>
    <d v="2026-09-07T15:06:00"/>
    <d v="2026-09-07T15:14:00"/>
    <n v="4"/>
    <n v="8"/>
    <b v="0"/>
    <b v="0"/>
    <b v="0"/>
    <n v="3"/>
    <s v="High"/>
    <d v="2026-09-07T14:40:00"/>
    <b v="0"/>
    <s v="Small Parts"/>
    <x v="2"/>
    <s v="Standard"/>
    <s v="Night"/>
    <s v="Intermediate"/>
    <s v="Bulk Storage"/>
    <s v="Near"/>
    <n v="14"/>
    <s v="Monday"/>
    <s v="Small (1-5)"/>
    <n v="2"/>
  </r>
  <r>
    <x v="448"/>
    <x v="200"/>
    <x v="10"/>
    <s v="H"/>
    <s v="I0026"/>
    <d v="2026-09-13T14:04:00"/>
    <d v="2026-09-13T14:12:00"/>
    <n v="2"/>
    <n v="8"/>
    <b v="0"/>
    <b v="0"/>
    <b v="0"/>
    <n v="4"/>
    <s v="Normal"/>
    <d v="2026-09-13T11:45:00"/>
    <b v="0"/>
    <s v="Bulk Materials"/>
    <x v="0"/>
    <s v="Climate-Controlled"/>
    <s v="Night"/>
    <s v="Unknown"/>
    <s v="Small Parts"/>
    <s v="Near"/>
    <n v="11"/>
    <s v="Sunday"/>
    <s v="Small (1-5)"/>
    <n v="4"/>
  </r>
  <r>
    <x v="449"/>
    <x v="200"/>
    <x v="7"/>
    <s v="E"/>
    <s v="I0015"/>
    <d v="2026-09-13T11:57:00"/>
    <d v="2026-09-13T12:05:00"/>
    <n v="3"/>
    <n v="8"/>
    <b v="0"/>
    <b v="0"/>
    <b v="0"/>
    <n v="4"/>
    <s v="Normal"/>
    <d v="2026-09-13T11:45:00"/>
    <b v="0"/>
    <s v="Bulk Materials"/>
    <x v="1"/>
    <s v="Fragile"/>
    <s v="Morning"/>
    <s v="Beginner"/>
    <s v="Fast-Moving"/>
    <s v="Medium"/>
    <n v="11"/>
    <s v="Sunday"/>
    <s v="Small (1-5)"/>
    <n v="2.666666666666667"/>
  </r>
  <r>
    <x v="450"/>
    <x v="25"/>
    <x v="24"/>
    <s v="G"/>
    <s v="I0002"/>
    <d v="2026-09-24T05:39:00"/>
    <d v="2026-09-24T05:47:00"/>
    <n v="3"/>
    <n v="8"/>
    <b v="0"/>
    <b v="0"/>
    <b v="0"/>
    <n v="6"/>
    <s v="Low"/>
    <d v="2026-09-24T05:19:00"/>
    <b v="0"/>
    <s v="Small Parts"/>
    <x v="0"/>
    <s v="Fragile"/>
    <s v="Night"/>
    <s v="Experienced"/>
    <s v="Cold Storage"/>
    <s v="Far"/>
    <n v="5"/>
    <s v="Thursday"/>
    <s v="Medium (6-10)"/>
    <n v="2.666666666666667"/>
  </r>
  <r>
    <x v="451"/>
    <x v="2"/>
    <x v="20"/>
    <s v="E"/>
    <s v="I0047"/>
    <d v="2026-09-04T17:52:00"/>
    <d v="2026-09-04T18:00:00"/>
    <n v="4"/>
    <n v="8"/>
    <b v="0"/>
    <b v="0"/>
    <b v="0"/>
    <n v="15"/>
    <s v="Normal"/>
    <d v="2026-09-04T15:51:00"/>
    <b v="0"/>
    <s v="Electronics"/>
    <x v="0"/>
    <s v="Unknown"/>
    <s v="Night"/>
    <s v="Unknown"/>
    <s v="Fast-Moving"/>
    <s v="Medium"/>
    <n v="15"/>
    <s v="Friday"/>
    <s v="Large (11-20)"/>
    <n v="2"/>
  </r>
  <r>
    <x v="452"/>
    <x v="80"/>
    <x v="5"/>
    <s v="C"/>
    <s v="I0034"/>
    <d v="2026-09-06T14:04:00"/>
    <d v="2026-09-06T14:12:00"/>
    <n v="1"/>
    <n v="8"/>
    <b v="0"/>
    <b v="0"/>
    <b v="0"/>
    <n v="8"/>
    <s v="Urgent"/>
    <d v="2026-09-06T12:13:00"/>
    <b v="0"/>
    <s v="Bulk Materials"/>
    <x v="0"/>
    <s v="Climate-Controlled"/>
    <s v="Unknown"/>
    <s v="Beginner"/>
    <s v="Small Parts"/>
    <s v="Medium"/>
    <n v="12"/>
    <s v="Sunday"/>
    <s v="Medium (6-10)"/>
    <n v="8"/>
  </r>
  <r>
    <x v="453"/>
    <x v="73"/>
    <x v="5"/>
    <s v="E"/>
    <s v="I0079"/>
    <d v="2026-09-25T08:29:00"/>
    <d v="2026-09-25T08:37:00"/>
    <n v="3"/>
    <n v="8"/>
    <b v="0"/>
    <b v="0"/>
    <b v="0"/>
    <n v="15"/>
    <s v="Normal"/>
    <d v="2026-09-25T07:16:00"/>
    <b v="0"/>
    <s v="Fragile Goods"/>
    <x v="0"/>
    <s v="Bulk"/>
    <s v="Unknown"/>
    <s v="Beginner"/>
    <s v="Fast-Moving"/>
    <s v="Medium"/>
    <n v="7"/>
    <s v="Friday"/>
    <s v="Large (11-20)"/>
    <n v="2.666666666666667"/>
  </r>
  <r>
    <x v="454"/>
    <x v="72"/>
    <x v="1"/>
    <s v="A"/>
    <s v="I0055"/>
    <d v="2026-09-17T14:04:00"/>
    <d v="2026-09-17T14:12:00"/>
    <n v="7"/>
    <n v="8"/>
    <b v="0"/>
    <b v="0"/>
    <b v="0"/>
    <n v="20"/>
    <s v="High"/>
    <d v="2026-09-17T12:47:00"/>
    <b v="0"/>
    <s v="Fragile Goods"/>
    <x v="1"/>
    <s v="Climate-Controlled"/>
    <s v="Night"/>
    <s v="Beginner"/>
    <s v="Fast-Moving"/>
    <s v="Near"/>
    <n v="12"/>
    <s v="Thursday"/>
    <s v="Large (11-20)"/>
    <n v="1.142857142857143"/>
  </r>
  <r>
    <x v="455"/>
    <x v="107"/>
    <x v="5"/>
    <s v="H"/>
    <s v="I0005"/>
    <d v="2026-09-23T07:08:00"/>
    <d v="2026-09-23T07:16:00"/>
    <n v="4"/>
    <n v="8"/>
    <b v="0"/>
    <b v="0"/>
    <b v="0"/>
    <n v="5"/>
    <s v="Normal"/>
    <d v="2026-09-23T06:18:00"/>
    <b v="0"/>
    <s v="Apparel"/>
    <x v="0"/>
    <s v="Climate-Controlled"/>
    <s v="Unknown"/>
    <s v="Beginner"/>
    <s v="Small Parts"/>
    <s v="Near"/>
    <n v="6"/>
    <s v="Wednesday"/>
    <s v="Small (1-5)"/>
    <n v="2"/>
  </r>
  <r>
    <x v="456"/>
    <x v="96"/>
    <x v="28"/>
    <s v="D"/>
    <s v="I0062"/>
    <d v="2026-09-27T04:25:00"/>
    <d v="2026-09-27T04:33:00"/>
    <n v="6"/>
    <n v="8"/>
    <b v="0"/>
    <b v="0"/>
    <b v="0"/>
    <n v="6"/>
    <s v="High"/>
    <d v="2026-09-27T03:37:00"/>
    <b v="0"/>
    <s v="Home Goods"/>
    <x v="1"/>
    <s v="Bulk"/>
    <s v="Night"/>
    <s v="Experienced"/>
    <s v="Fragile"/>
    <s v="Unknown"/>
    <n v="3"/>
    <s v="Sunday"/>
    <s v="Medium (6-10)"/>
    <n v="1.333333333333333"/>
  </r>
  <r>
    <x v="457"/>
    <x v="201"/>
    <x v="8"/>
    <s v="H"/>
    <s v="I0014"/>
    <d v="2026-09-21T10:03:00"/>
    <d v="2026-09-21T10:11:00"/>
    <n v="7"/>
    <n v="8"/>
    <b v="0"/>
    <b v="0"/>
    <b v="0"/>
    <n v="3"/>
    <s v="Low"/>
    <d v="2026-09-21T07:52:00"/>
    <b v="0"/>
    <s v="Unknown"/>
    <x v="1"/>
    <s v="Standard"/>
    <s v="Evening"/>
    <s v="Unknown"/>
    <s v="Small Parts"/>
    <s v="Near"/>
    <n v="7"/>
    <s v="Monday"/>
    <s v="Small (1-5)"/>
    <n v="1.142857142857143"/>
  </r>
  <r>
    <x v="458"/>
    <x v="202"/>
    <x v="26"/>
    <s v="F"/>
    <s v="I0079"/>
    <d v="2026-09-23T02:15:00"/>
    <d v="2026-09-23T02:23:00"/>
    <n v="7"/>
    <n v="8"/>
    <b v="0"/>
    <b v="0"/>
    <b v="0"/>
    <n v="5"/>
    <s v="Low"/>
    <d v="2026-09-23T01:52:00"/>
    <b v="0"/>
    <s v="Fragile Goods"/>
    <x v="0"/>
    <s v="Bulk"/>
    <s v="Morning"/>
    <s v="Experienced"/>
    <s v="Bulk Storage"/>
    <s v="Near"/>
    <n v="1"/>
    <s v="Wednesday"/>
    <s v="Small (1-5)"/>
    <n v="1.142857142857143"/>
  </r>
  <r>
    <x v="459"/>
    <x v="143"/>
    <x v="11"/>
    <s v="F"/>
    <s v="I0014"/>
    <d v="2026-09-26T02:52:00"/>
    <d v="2026-09-26T03:00:00"/>
    <n v="3"/>
    <n v="8"/>
    <b v="0"/>
    <b v="0"/>
    <b v="0"/>
    <n v="3"/>
    <s v="High"/>
    <d v="2026-09-26T02:45:00"/>
    <b v="0"/>
    <s v="Unknown"/>
    <x v="1"/>
    <s v="Standard"/>
    <s v="Night"/>
    <s v="Intermediate"/>
    <s v="Bulk Storage"/>
    <s v="Near"/>
    <n v="2"/>
    <s v="Saturday"/>
    <s v="Small (1-5)"/>
    <n v="2.666666666666667"/>
  </r>
  <r>
    <x v="460"/>
    <x v="31"/>
    <x v="9"/>
    <s v="F"/>
    <s v="I0013"/>
    <d v="2026-09-04T12:52:00"/>
    <d v="2026-09-04T13:00:00"/>
    <n v="5"/>
    <n v="8"/>
    <b v="0"/>
    <b v="0"/>
    <b v="0"/>
    <n v="12"/>
    <s v="Normal"/>
    <d v="2026-09-04T12:31:00"/>
    <b v="0"/>
    <s v="Home Goods"/>
    <x v="1"/>
    <s v="Unknown"/>
    <s v="Unknown"/>
    <s v="Intermediate"/>
    <s v="Bulk Storage"/>
    <s v="Near"/>
    <n v="12"/>
    <s v="Friday"/>
    <s v="Large (11-20)"/>
    <n v="1.6"/>
  </r>
  <r>
    <x v="461"/>
    <x v="31"/>
    <x v="13"/>
    <s v="E"/>
    <s v="I0044"/>
    <d v="2026-09-04T13:09:00"/>
    <d v="2026-09-04T13:17:00"/>
    <n v="7"/>
    <n v="8"/>
    <b v="0"/>
    <b v="0"/>
    <b v="0"/>
    <n v="12"/>
    <s v="Normal"/>
    <d v="2026-09-04T12:31:00"/>
    <b v="0"/>
    <s v="Electronics"/>
    <x v="1"/>
    <s v="Bulk"/>
    <s v="Night"/>
    <s v="Intermediate"/>
    <s v="Fast-Moving"/>
    <s v="Medium"/>
    <n v="12"/>
    <s v="Friday"/>
    <s v="Large (11-20)"/>
    <n v="1.142857142857143"/>
  </r>
  <r>
    <x v="462"/>
    <x v="201"/>
    <x v="19"/>
    <s v="C"/>
    <s v="I0030"/>
    <d v="2026-09-21T10:50:00"/>
    <d v="2026-09-21T10:58:00"/>
    <n v="3"/>
    <n v="8"/>
    <b v="0"/>
    <b v="0"/>
    <b v="0"/>
    <n v="3"/>
    <s v="Low"/>
    <d v="2026-09-21T07:52:00"/>
    <b v="0"/>
    <s v="Electronics"/>
    <x v="0"/>
    <s v="Fragile"/>
    <s v="Unknown"/>
    <s v="Experienced"/>
    <s v="Small Parts"/>
    <s v="Medium"/>
    <n v="7"/>
    <s v="Monday"/>
    <s v="Small (1-5)"/>
    <n v="2.666666666666667"/>
  </r>
  <r>
    <x v="463"/>
    <x v="93"/>
    <x v="26"/>
    <s v="F"/>
    <s v="I0009"/>
    <d v="2026-09-28T22:38:00"/>
    <d v="2026-09-28T22:46:00"/>
    <n v="3"/>
    <n v="8"/>
    <b v="0"/>
    <b v="0"/>
    <b v="0"/>
    <n v="8"/>
    <s v="High"/>
    <d v="2026-09-28T19:48:00"/>
    <b v="0"/>
    <s v="Bulk Materials"/>
    <x v="0"/>
    <s v="Fragile"/>
    <s v="Morning"/>
    <s v="Experienced"/>
    <s v="Bulk Storage"/>
    <s v="Near"/>
    <n v="19"/>
    <s v="Monday"/>
    <s v="Medium (6-10)"/>
    <n v="2.666666666666667"/>
  </r>
  <r>
    <x v="464"/>
    <x v="93"/>
    <x v="6"/>
    <s v="H"/>
    <s v="I0047"/>
    <d v="2026-09-28T20:18:00"/>
    <d v="2026-09-28T20:26:00"/>
    <n v="3"/>
    <n v="8"/>
    <b v="0"/>
    <b v="0"/>
    <b v="0"/>
    <n v="8"/>
    <s v="High"/>
    <d v="2026-09-28T19:48:00"/>
    <b v="0"/>
    <s v="Electronics"/>
    <x v="0"/>
    <s v="Unknown"/>
    <s v="Night"/>
    <s v="Intermediate"/>
    <s v="Small Parts"/>
    <s v="Near"/>
    <n v="19"/>
    <s v="Monday"/>
    <s v="Medium (6-10)"/>
    <n v="2.666666666666667"/>
  </r>
  <r>
    <x v="465"/>
    <x v="203"/>
    <x v="15"/>
    <s v="E"/>
    <s v="I0059"/>
    <d v="2026-09-28T21:36:00"/>
    <d v="2026-09-28T21:44:00"/>
    <n v="7"/>
    <n v="8"/>
    <b v="0"/>
    <b v="0"/>
    <b v="0"/>
    <n v="5"/>
    <s v="High"/>
    <d v="2026-09-28T19:31:00"/>
    <b v="0"/>
    <s v="Electronics"/>
    <x v="1"/>
    <s v="Bulk"/>
    <s v="Morning"/>
    <s v="Unknown"/>
    <s v="Fast-Moving"/>
    <s v="Medium"/>
    <n v="19"/>
    <s v="Monday"/>
    <s v="Small (1-5)"/>
    <n v="1.142857142857143"/>
  </r>
  <r>
    <x v="466"/>
    <x v="204"/>
    <x v="13"/>
    <s v="B"/>
    <s v="I0074"/>
    <d v="2026-09-01T15:25:00"/>
    <d v="2026-09-01T15:33:00"/>
    <n v="2"/>
    <n v="8"/>
    <b v="0"/>
    <b v="0"/>
    <b v="0"/>
    <n v="4"/>
    <s v="Low"/>
    <d v="2026-09-01T12:30:00"/>
    <b v="0"/>
    <s v="Fragile Goods"/>
    <x v="1"/>
    <s v="Climate-Controlled"/>
    <s v="Night"/>
    <s v="Intermediate"/>
    <s v="Bulk Storage"/>
    <s v="Far"/>
    <n v="12"/>
    <s v="Tuesday"/>
    <s v="Small (1-5)"/>
    <n v="4"/>
  </r>
  <r>
    <x v="467"/>
    <x v="204"/>
    <x v="19"/>
    <s v="D"/>
    <s v="I0077"/>
    <d v="2026-09-01T14:36:00"/>
    <d v="2026-09-01T14:44:00"/>
    <n v="3"/>
    <n v="8"/>
    <b v="0"/>
    <b v="0"/>
    <b v="0"/>
    <n v="4"/>
    <s v="Low"/>
    <d v="2026-09-01T12:30:00"/>
    <b v="0"/>
    <s v="Bulk Materials"/>
    <x v="0"/>
    <s v="Unknown"/>
    <s v="Unknown"/>
    <s v="Experienced"/>
    <s v="Fragile"/>
    <s v="Unknown"/>
    <n v="12"/>
    <s v="Tuesday"/>
    <s v="Small (1-5)"/>
    <n v="2.666666666666667"/>
  </r>
  <r>
    <x v="468"/>
    <x v="205"/>
    <x v="0"/>
    <s v="F"/>
    <s v="I0034"/>
    <d v="2026-09-13T10:27:00"/>
    <d v="2026-09-13T10:35:00"/>
    <n v="5"/>
    <n v="8"/>
    <b v="0"/>
    <b v="0"/>
    <b v="0"/>
    <n v="4"/>
    <s v="High"/>
    <d v="2026-09-13T08:50:00"/>
    <b v="0"/>
    <s v="Bulk Materials"/>
    <x v="0"/>
    <s v="Climate-Controlled"/>
    <s v="Night"/>
    <s v="Beginner"/>
    <s v="Bulk Storage"/>
    <s v="Near"/>
    <n v="8"/>
    <s v="Sunday"/>
    <s v="Small (1-5)"/>
    <n v="1.6"/>
  </r>
  <r>
    <x v="469"/>
    <x v="167"/>
    <x v="10"/>
    <s v="A"/>
    <s v="I0070"/>
    <d v="2026-09-15T01:36:00"/>
    <d v="2026-09-15T01:44:00"/>
    <n v="5"/>
    <n v="8"/>
    <b v="0"/>
    <b v="0"/>
    <b v="0"/>
    <n v="15"/>
    <s v="High"/>
    <d v="2026-09-14T23:39:00"/>
    <b v="0"/>
    <s v="Bulk Materials"/>
    <x v="0"/>
    <s v="Standard"/>
    <s v="Night"/>
    <s v="Unknown"/>
    <s v="Fast-Moving"/>
    <s v="Near"/>
    <n v="23"/>
    <s v="Monday"/>
    <s v="Large (11-20)"/>
    <n v="1.6"/>
  </r>
  <r>
    <x v="470"/>
    <x v="17"/>
    <x v="0"/>
    <s v="H"/>
    <s v="I0075"/>
    <d v="2026-09-09T17:02:00"/>
    <d v="2026-09-09T17:10:00"/>
    <n v="4"/>
    <n v="8"/>
    <b v="0"/>
    <b v="0"/>
    <b v="0"/>
    <n v="10"/>
    <s v="Normal"/>
    <d v="2026-09-09T15:39:00"/>
    <b v="0"/>
    <s v="Fragile Goods"/>
    <x v="0"/>
    <s v="Standard"/>
    <s v="Night"/>
    <s v="Beginner"/>
    <s v="Small Parts"/>
    <s v="Near"/>
    <n v="15"/>
    <s v="Wednesday"/>
    <s v="Medium (6-10)"/>
    <n v="2"/>
  </r>
  <r>
    <x v="471"/>
    <x v="83"/>
    <x v="13"/>
    <s v="C"/>
    <s v="I0009"/>
    <d v="2026-09-25T18:21:00"/>
    <d v="2026-09-25T18:29:00"/>
    <n v="1"/>
    <n v="8"/>
    <b v="0"/>
    <b v="0"/>
    <b v="0"/>
    <n v="5"/>
    <s v="Urgent"/>
    <d v="2026-09-25T16:48:00"/>
    <b v="0"/>
    <s v="Bulk Materials"/>
    <x v="0"/>
    <s v="Fragile"/>
    <s v="Night"/>
    <s v="Intermediate"/>
    <s v="Small Parts"/>
    <s v="Medium"/>
    <n v="16"/>
    <s v="Friday"/>
    <s v="Small (1-5)"/>
    <n v="8"/>
  </r>
  <r>
    <x v="472"/>
    <x v="19"/>
    <x v="22"/>
    <s v="C"/>
    <s v="I0021"/>
    <d v="2026-09-19T02:03:00"/>
    <d v="2026-09-19T02:11:00"/>
    <n v="5"/>
    <n v="8"/>
    <b v="0"/>
    <b v="0"/>
    <b v="0"/>
    <n v="12"/>
    <s v="High"/>
    <d v="2026-09-19T01:42:00"/>
    <b v="0"/>
    <s v="Apparel"/>
    <x v="0"/>
    <s v="Standard"/>
    <s v="Unknown"/>
    <s v="Unknown"/>
    <s v="Small Parts"/>
    <s v="Medium"/>
    <n v="1"/>
    <s v="Saturday"/>
    <s v="Large (11-20)"/>
    <n v="1.6"/>
  </r>
  <r>
    <x v="473"/>
    <x v="79"/>
    <x v="12"/>
    <s v="B"/>
    <s v="I0030"/>
    <d v="2026-09-25T01:37:00"/>
    <d v="2026-09-25T01:45:00"/>
    <n v="4"/>
    <n v="8"/>
    <b v="0"/>
    <b v="0"/>
    <b v="0"/>
    <n v="15"/>
    <s v="Urgent"/>
    <d v="2026-09-24T23:31:00"/>
    <b v="0"/>
    <s v="Electronics"/>
    <x v="0"/>
    <s v="Fragile"/>
    <s v="Unknown"/>
    <s v="Intermediate"/>
    <s v="Bulk Storage"/>
    <s v="Far"/>
    <n v="23"/>
    <s v="Thursday"/>
    <s v="Large (11-20)"/>
    <n v="2"/>
  </r>
  <r>
    <x v="474"/>
    <x v="206"/>
    <x v="12"/>
    <s v="G"/>
    <s v="I0061"/>
    <d v="2026-09-15T21:15:00"/>
    <d v="2026-09-15T21:23:00"/>
    <n v="1"/>
    <n v="8"/>
    <b v="0"/>
    <b v="0"/>
    <b v="0"/>
    <n v="8"/>
    <s v="Urgent"/>
    <d v="2026-09-15T19:26:00"/>
    <b v="0"/>
    <s v="Home Goods"/>
    <x v="0"/>
    <s v="Climate-Controlled"/>
    <s v="Unknown"/>
    <s v="Intermediate"/>
    <s v="Cold Storage"/>
    <s v="Far"/>
    <n v="19"/>
    <s v="Tuesday"/>
    <s v="Medium (6-10)"/>
    <n v="8"/>
  </r>
  <r>
    <x v="475"/>
    <x v="206"/>
    <x v="9"/>
    <s v="C"/>
    <s v="I0065"/>
    <d v="2026-09-15T20:54:00"/>
    <d v="2026-09-15T21:02:00"/>
    <n v="5"/>
    <n v="8"/>
    <b v="0"/>
    <b v="0"/>
    <b v="0"/>
    <n v="8"/>
    <s v="Urgent"/>
    <d v="2026-09-15T19:26:00"/>
    <b v="0"/>
    <s v="Small Parts"/>
    <x v="1"/>
    <s v="Fragile"/>
    <s v="Unknown"/>
    <s v="Intermediate"/>
    <s v="Small Parts"/>
    <s v="Medium"/>
    <n v="19"/>
    <s v="Tuesday"/>
    <s v="Medium (6-10)"/>
    <n v="1.6"/>
  </r>
  <r>
    <x v="476"/>
    <x v="70"/>
    <x v="15"/>
    <s v="H"/>
    <s v="I0054"/>
    <d v="2026-09-26T22:29:00"/>
    <d v="2026-09-26T22:37:00"/>
    <n v="4"/>
    <n v="8"/>
    <b v="0"/>
    <b v="0"/>
    <b v="0"/>
    <n v="12"/>
    <s v="High"/>
    <d v="2026-09-26T21:43:00"/>
    <b v="0"/>
    <s v="Small Parts"/>
    <x v="0"/>
    <s v="Bulk"/>
    <s v="Morning"/>
    <s v="Unknown"/>
    <s v="Small Parts"/>
    <s v="Near"/>
    <n v="21"/>
    <s v="Saturday"/>
    <s v="Large (11-20)"/>
    <n v="2"/>
  </r>
  <r>
    <x v="477"/>
    <x v="171"/>
    <x v="9"/>
    <s v="D"/>
    <s v="I0016"/>
    <d v="2026-09-21T09:39:00"/>
    <d v="2026-09-21T09:47:00"/>
    <n v="4"/>
    <n v="8"/>
    <b v="0"/>
    <b v="0"/>
    <b v="0"/>
    <n v="8"/>
    <s v="High"/>
    <d v="2026-09-21T07:18:00"/>
    <b v="0"/>
    <s v="Unknown"/>
    <x v="0"/>
    <s v="Bulk"/>
    <s v="Unknown"/>
    <s v="Intermediate"/>
    <s v="Fragile"/>
    <s v="Unknown"/>
    <n v="7"/>
    <s v="Monday"/>
    <s v="Medium (6-10)"/>
    <n v="2"/>
  </r>
  <r>
    <x v="478"/>
    <x v="100"/>
    <x v="11"/>
    <s v="F"/>
    <s v="I0018"/>
    <d v="2026-09-05T19:36:00"/>
    <d v="2026-09-05T19:44:00"/>
    <n v="7"/>
    <n v="8"/>
    <b v="0"/>
    <b v="0"/>
    <b v="0"/>
    <n v="20"/>
    <s v="High"/>
    <d v="2026-09-05T19:30:00"/>
    <b v="0"/>
    <s v="Bulk Materials"/>
    <x v="0"/>
    <s v="Bulk"/>
    <s v="Night"/>
    <s v="Intermediate"/>
    <s v="Bulk Storage"/>
    <s v="Near"/>
    <n v="19"/>
    <s v="Saturday"/>
    <s v="Large (11-20)"/>
    <n v="1.142857142857143"/>
  </r>
  <r>
    <x v="479"/>
    <x v="169"/>
    <x v="17"/>
    <s v="F"/>
    <s v="I0049"/>
    <d v="2026-09-28T03:23:00"/>
    <d v="2026-09-28T03:31:00"/>
    <n v="4"/>
    <n v="8"/>
    <b v="0"/>
    <b v="0"/>
    <b v="0"/>
    <n v="4"/>
    <s v="High"/>
    <d v="2026-09-28T00:56:00"/>
    <b v="0"/>
    <s v="Small Parts"/>
    <x v="1"/>
    <s v="Standard"/>
    <s v="Night"/>
    <s v="Intermediate"/>
    <s v="Bulk Storage"/>
    <s v="Near"/>
    <n v="0"/>
    <s v="Monday"/>
    <s v="Small (1-5)"/>
    <n v="2"/>
  </r>
  <r>
    <x v="480"/>
    <x v="132"/>
    <x v="30"/>
    <s v="G"/>
    <s v="I0023"/>
    <d v="2026-09-23T21:53:00"/>
    <d v="2026-09-23T22:01:00"/>
    <n v="1"/>
    <n v="8"/>
    <b v="0"/>
    <b v="0"/>
    <b v="0"/>
    <n v="20"/>
    <s v="High"/>
    <d v="2026-09-23T18:56:00"/>
    <b v="0"/>
    <s v="Home Goods"/>
    <x v="1"/>
    <s v="Bulk"/>
    <s v="Night"/>
    <s v="Experienced"/>
    <s v="Cold Storage"/>
    <s v="Far"/>
    <n v="18"/>
    <s v="Wednesday"/>
    <s v="Large (11-20)"/>
    <n v="8"/>
  </r>
  <r>
    <x v="481"/>
    <x v="132"/>
    <x v="12"/>
    <s v="G"/>
    <s v="I0040"/>
    <d v="2026-09-23T20:26:00"/>
    <d v="2026-09-23T20:34:00"/>
    <n v="1"/>
    <n v="8"/>
    <b v="0"/>
    <b v="0"/>
    <b v="0"/>
    <n v="20"/>
    <s v="High"/>
    <d v="2026-09-23T18:56:00"/>
    <b v="0"/>
    <s v="Unknown"/>
    <x v="1"/>
    <s v="Standard"/>
    <s v="Unknown"/>
    <s v="Intermediate"/>
    <s v="Cold Storage"/>
    <s v="Far"/>
    <n v="18"/>
    <s v="Wednesday"/>
    <s v="Large (11-20)"/>
    <n v="8"/>
  </r>
  <r>
    <x v="482"/>
    <x v="207"/>
    <x v="12"/>
    <s v="D"/>
    <s v="I0006"/>
    <d v="2026-09-20T14:00:00"/>
    <d v="2026-09-20T14:08:00"/>
    <n v="6"/>
    <n v="8"/>
    <b v="0"/>
    <b v="0"/>
    <b v="0"/>
    <n v="4"/>
    <s v="High"/>
    <d v="2026-09-20T11:21:00"/>
    <b v="0"/>
    <s v="Bulk Materials"/>
    <x v="0"/>
    <s v="Bulk"/>
    <s v="Unknown"/>
    <s v="Intermediate"/>
    <s v="Fragile"/>
    <s v="Unknown"/>
    <n v="11"/>
    <s v="Sunday"/>
    <s v="Small (1-5)"/>
    <n v="1.333333333333333"/>
  </r>
  <r>
    <x v="483"/>
    <x v="59"/>
    <x v="11"/>
    <s v="H"/>
    <s v="I0044"/>
    <d v="2026-09-22T14:11:00"/>
    <d v="2026-09-22T14:19:00"/>
    <n v="7"/>
    <n v="8"/>
    <b v="0"/>
    <b v="0"/>
    <b v="0"/>
    <n v="10"/>
    <s v="Normal"/>
    <d v="2026-09-22T11:34:00"/>
    <b v="0"/>
    <s v="Electronics"/>
    <x v="1"/>
    <s v="Bulk"/>
    <s v="Night"/>
    <s v="Intermediate"/>
    <s v="Small Parts"/>
    <s v="Near"/>
    <n v="11"/>
    <s v="Tuesday"/>
    <s v="Medium (6-10)"/>
    <n v="1.142857142857143"/>
  </r>
  <r>
    <x v="484"/>
    <x v="123"/>
    <x v="1"/>
    <s v="H"/>
    <s v="I0031"/>
    <d v="2026-09-19T23:47:00"/>
    <d v="2026-09-19T23:55:00"/>
    <n v="2"/>
    <n v="8"/>
    <b v="0"/>
    <b v="0"/>
    <b v="0"/>
    <n v="8"/>
    <s v="Low"/>
    <d v="2026-09-19T22:46:00"/>
    <b v="0"/>
    <s v="Unknown"/>
    <x v="2"/>
    <s v="Fragile"/>
    <s v="Night"/>
    <s v="Beginner"/>
    <s v="Small Parts"/>
    <s v="Near"/>
    <n v="22"/>
    <s v="Saturday"/>
    <s v="Medium (6-10)"/>
    <n v="4"/>
  </r>
  <r>
    <x v="485"/>
    <x v="208"/>
    <x v="17"/>
    <s v="H"/>
    <s v="I0007"/>
    <d v="2026-09-01T12:31:00"/>
    <d v="2026-09-01T12:39:00"/>
    <n v="4"/>
    <n v="8"/>
    <b v="0"/>
    <b v="0"/>
    <b v="0"/>
    <n v="5"/>
    <s v="Normal"/>
    <d v="2026-09-01T10:12:00"/>
    <b v="0"/>
    <s v="Small Parts"/>
    <x v="1"/>
    <s v="Fragile"/>
    <s v="Night"/>
    <s v="Intermediate"/>
    <s v="Small Parts"/>
    <s v="Near"/>
    <n v="10"/>
    <s v="Tuesday"/>
    <s v="Small (1-5)"/>
    <n v="2"/>
  </r>
  <r>
    <x v="486"/>
    <x v="208"/>
    <x v="20"/>
    <s v="G"/>
    <s v="I0072"/>
    <d v="2026-09-01T12:55:00"/>
    <d v="2026-09-01T13:03:00"/>
    <n v="3"/>
    <n v="8"/>
    <b v="0"/>
    <b v="0"/>
    <b v="0"/>
    <n v="5"/>
    <s v="Normal"/>
    <d v="2026-09-01T10:12:00"/>
    <b v="0"/>
    <s v="Electronics"/>
    <x v="1"/>
    <s v="Climate-Controlled"/>
    <s v="Night"/>
    <s v="Unknown"/>
    <s v="Cold Storage"/>
    <s v="Far"/>
    <n v="10"/>
    <s v="Tuesday"/>
    <s v="Small (1-5)"/>
    <n v="2.666666666666667"/>
  </r>
  <r>
    <x v="487"/>
    <x v="41"/>
    <x v="6"/>
    <s v="G"/>
    <s v="I0068"/>
    <d v="2026-09-05T20:37:00"/>
    <d v="2026-09-05T20:45:00"/>
    <n v="5"/>
    <n v="8"/>
    <b v="0"/>
    <b v="0"/>
    <b v="0"/>
    <n v="4"/>
    <s v="Normal"/>
    <d v="2026-09-05T18:39:00"/>
    <b v="0"/>
    <s v="Electronics"/>
    <x v="1"/>
    <s v="Climate-Controlled"/>
    <s v="Night"/>
    <s v="Intermediate"/>
    <s v="Cold Storage"/>
    <s v="Far"/>
    <n v="18"/>
    <s v="Saturday"/>
    <s v="Small (1-5)"/>
    <n v="1.6"/>
  </r>
  <r>
    <x v="488"/>
    <x v="14"/>
    <x v="29"/>
    <s v="G"/>
    <s v="I0065"/>
    <d v="2026-09-25T11:07:00"/>
    <d v="2026-09-25T11:15:00"/>
    <n v="2"/>
    <n v="8"/>
    <b v="0"/>
    <b v="0"/>
    <b v="0"/>
    <n v="20"/>
    <s v="Low"/>
    <d v="2026-09-25T09:29:00"/>
    <b v="0"/>
    <s v="Small Parts"/>
    <x v="1"/>
    <s v="Fragile"/>
    <s v="Morning"/>
    <s v="Experienced"/>
    <s v="Cold Storage"/>
    <s v="Far"/>
    <n v="9"/>
    <s v="Friday"/>
    <s v="Large (11-20)"/>
    <n v="4"/>
  </r>
  <r>
    <x v="489"/>
    <x v="208"/>
    <x v="5"/>
    <s v="C"/>
    <s v="I0036"/>
    <d v="2026-09-01T11:44:00"/>
    <d v="2026-09-01T11:52:00"/>
    <n v="1"/>
    <n v="8"/>
    <b v="0"/>
    <b v="0"/>
    <b v="0"/>
    <n v="5"/>
    <s v="Normal"/>
    <d v="2026-09-01T10:12:00"/>
    <b v="0"/>
    <s v="Apparel"/>
    <x v="0"/>
    <s v="Unknown"/>
    <s v="Unknown"/>
    <s v="Beginner"/>
    <s v="Small Parts"/>
    <s v="Medium"/>
    <n v="10"/>
    <s v="Tuesday"/>
    <s v="Small (1-5)"/>
    <n v="8"/>
  </r>
  <r>
    <x v="490"/>
    <x v="100"/>
    <x v="3"/>
    <s v="C"/>
    <s v="I0014"/>
    <d v="2026-09-05T20:56:00"/>
    <d v="2026-09-05T21:04:00"/>
    <n v="5"/>
    <n v="8"/>
    <b v="0"/>
    <b v="0"/>
    <b v="0"/>
    <n v="20"/>
    <s v="High"/>
    <d v="2026-09-05T19:30:00"/>
    <b v="0"/>
    <s v="Unknown"/>
    <x v="1"/>
    <s v="Standard"/>
    <s v="Night"/>
    <s v="Beginner"/>
    <s v="Small Parts"/>
    <s v="Medium"/>
    <n v="19"/>
    <s v="Saturday"/>
    <s v="Large (11-20)"/>
    <n v="1.6"/>
  </r>
  <r>
    <x v="491"/>
    <x v="40"/>
    <x v="6"/>
    <s v="F"/>
    <s v="I0076"/>
    <d v="2026-09-15T20:27:00"/>
    <d v="2026-09-15T20:35:00"/>
    <n v="2"/>
    <n v="8"/>
    <b v="0"/>
    <b v="0"/>
    <b v="0"/>
    <n v="8"/>
    <s v="Normal"/>
    <d v="2026-09-15T19:05:00"/>
    <b v="0"/>
    <s v="Fragile Goods"/>
    <x v="3"/>
    <s v="Climate-Controlled"/>
    <s v="Night"/>
    <s v="Intermediate"/>
    <s v="Bulk Storage"/>
    <s v="Near"/>
    <n v="19"/>
    <s v="Tuesday"/>
    <s v="Medium (6-10)"/>
    <n v="4"/>
  </r>
  <r>
    <x v="492"/>
    <x v="99"/>
    <x v="27"/>
    <s v="D"/>
    <s v="I0034"/>
    <d v="2026-09-04T16:57:00"/>
    <d v="2026-09-04T17:05:00"/>
    <n v="5"/>
    <n v="8"/>
    <b v="0"/>
    <b v="0"/>
    <b v="0"/>
    <n v="3"/>
    <s v="High"/>
    <d v="2026-09-04T15:42:00"/>
    <b v="0"/>
    <s v="Bulk Materials"/>
    <x v="0"/>
    <s v="Climate-Controlled"/>
    <s v="Night"/>
    <s v="Experienced"/>
    <s v="Fragile"/>
    <s v="Unknown"/>
    <n v="15"/>
    <s v="Friday"/>
    <s v="Small (1-5)"/>
    <n v="1.6"/>
  </r>
  <r>
    <x v="493"/>
    <x v="98"/>
    <x v="9"/>
    <s v="B"/>
    <s v="I0059"/>
    <d v="2026-09-10T13:04:00"/>
    <d v="2026-09-10T13:12:00"/>
    <n v="2"/>
    <n v="8"/>
    <b v="0"/>
    <b v="0"/>
    <b v="0"/>
    <m/>
    <s v="Urgent"/>
    <d v="2026-09-10T12:36:00"/>
    <b v="1"/>
    <s v="Electronics"/>
    <x v="1"/>
    <s v="Bulk"/>
    <s v="Unknown"/>
    <s v="Intermediate"/>
    <s v="Bulk Storage"/>
    <s v="Far"/>
    <n v="12"/>
    <s v="Thursday"/>
    <m/>
    <n v="4"/>
  </r>
  <r>
    <x v="494"/>
    <x v="9"/>
    <x v="11"/>
    <s v="F"/>
    <s v="I0064"/>
    <d v="2026-09-01T14:32:00"/>
    <d v="2026-09-01T14:40:00"/>
    <n v="5"/>
    <n v="8"/>
    <b v="0"/>
    <b v="0"/>
    <b v="0"/>
    <n v="12"/>
    <s v="High"/>
    <d v="2026-09-01T13:09:00"/>
    <b v="0"/>
    <s v="Small Parts"/>
    <x v="0"/>
    <s v="Unknown"/>
    <s v="Night"/>
    <s v="Intermediate"/>
    <s v="Bulk Storage"/>
    <s v="Near"/>
    <n v="13"/>
    <s v="Tuesday"/>
    <s v="Large (11-20)"/>
    <n v="1.6"/>
  </r>
  <r>
    <x v="495"/>
    <x v="15"/>
    <x v="5"/>
    <s v="C"/>
    <s v="I0068"/>
    <d v="2026-09-18T17:46:00"/>
    <d v="2026-09-18T17:54:00"/>
    <n v="5"/>
    <n v="8"/>
    <b v="0"/>
    <b v="0"/>
    <b v="0"/>
    <n v="20"/>
    <s v="Low"/>
    <d v="2026-09-18T17:39:00"/>
    <b v="0"/>
    <s v="Electronics"/>
    <x v="1"/>
    <s v="Climate-Controlled"/>
    <s v="Unknown"/>
    <s v="Beginner"/>
    <s v="Small Parts"/>
    <s v="Medium"/>
    <n v="17"/>
    <s v="Friday"/>
    <s v="Large (11-20)"/>
    <n v="1.6"/>
  </r>
  <r>
    <x v="496"/>
    <x v="15"/>
    <x v="13"/>
    <s v="C"/>
    <s v="I0001"/>
    <d v="2026-09-18T18:36:00"/>
    <d v="2026-09-18T18:44:00"/>
    <n v="3"/>
    <n v="8"/>
    <b v="0"/>
    <b v="0"/>
    <b v="0"/>
    <n v="20"/>
    <s v="Low"/>
    <d v="2026-09-18T17:39:00"/>
    <b v="0"/>
    <s v="Fragile Goods"/>
    <x v="0"/>
    <s v="Standard"/>
    <s v="Night"/>
    <s v="Intermediate"/>
    <s v="Small Parts"/>
    <s v="Medium"/>
    <n v="17"/>
    <s v="Friday"/>
    <s v="Large (11-20)"/>
    <n v="2.666666666666667"/>
  </r>
  <r>
    <x v="497"/>
    <x v="9"/>
    <x v="18"/>
    <s v="E"/>
    <s v="I0008"/>
    <d v="2026-09-01T15:30:00"/>
    <d v="2026-09-01T15:38:00"/>
    <n v="7"/>
    <n v="8"/>
    <b v="0"/>
    <b v="0"/>
    <b v="0"/>
    <n v="12"/>
    <s v="High"/>
    <d v="2026-09-01T13:09:00"/>
    <b v="0"/>
    <s v="Bulk Materials"/>
    <x v="0"/>
    <s v="Unknown"/>
    <s v="Night"/>
    <s v="Intermediate"/>
    <s v="Fast-Moving"/>
    <s v="Medium"/>
    <n v="13"/>
    <s v="Tuesday"/>
    <s v="Large (11-20)"/>
    <n v="1.142857142857143"/>
  </r>
  <r>
    <x v="498"/>
    <x v="122"/>
    <x v="0"/>
    <s v="F"/>
    <s v="I0011"/>
    <d v="2026-09-21T22:10:00"/>
    <d v="2026-09-21T22:18:00"/>
    <n v="2"/>
    <n v="8"/>
    <b v="0"/>
    <b v="0"/>
    <b v="0"/>
    <n v="8"/>
    <s v="Normal"/>
    <d v="2026-09-21T21:12:00"/>
    <b v="0"/>
    <s v="Fragile Goods"/>
    <x v="1"/>
    <s v="Climate-Controlled"/>
    <s v="Night"/>
    <s v="Beginner"/>
    <s v="Bulk Storage"/>
    <s v="Near"/>
    <n v="21"/>
    <s v="Monday"/>
    <s v="Medium (6-10)"/>
    <n v="4"/>
  </r>
  <r>
    <x v="499"/>
    <x v="42"/>
    <x v="25"/>
    <s v="C"/>
    <s v="I0010"/>
    <d v="2026-09-17T00:46:00"/>
    <d v="2026-09-17T00:54:00"/>
    <n v="6"/>
    <n v="8"/>
    <b v="0"/>
    <b v="0"/>
    <b v="0"/>
    <n v="12"/>
    <s v="High"/>
    <m/>
    <b v="0"/>
    <s v="Fragile Goods"/>
    <x v="1"/>
    <s v="Standard"/>
    <s v="Night"/>
    <s v="Experienced"/>
    <s v="Small Parts"/>
    <s v="Medium"/>
    <m/>
    <m/>
    <s v="Large (11-20)"/>
    <n v="1.333333333333333"/>
  </r>
  <r>
    <x v="500"/>
    <x v="42"/>
    <x v="29"/>
    <s v="F"/>
    <s v="I0047"/>
    <d v="2026-09-16T22:50:00"/>
    <d v="2026-09-16T22:58:00"/>
    <n v="5"/>
    <n v="8"/>
    <b v="0"/>
    <b v="0"/>
    <b v="0"/>
    <n v="12"/>
    <s v="High"/>
    <m/>
    <b v="0"/>
    <s v="Electronics"/>
    <x v="0"/>
    <s v="Unknown"/>
    <s v="Morning"/>
    <s v="Experienced"/>
    <s v="Bulk Storage"/>
    <s v="Near"/>
    <m/>
    <m/>
    <s v="Large (11-20)"/>
    <n v="1.6"/>
  </r>
  <r>
    <x v="501"/>
    <x v="0"/>
    <x v="23"/>
    <s v="C"/>
    <s v="I0059"/>
    <d v="2026-09-29T05:19:00"/>
    <d v="2026-09-29T05:27:00"/>
    <n v="5"/>
    <n v="8"/>
    <b v="0"/>
    <b v="0"/>
    <b v="0"/>
    <n v="15"/>
    <s v="Normal"/>
    <d v="2026-09-29T05:12:00"/>
    <b v="0"/>
    <s v="Electronics"/>
    <x v="1"/>
    <s v="Bulk"/>
    <s v="Evening"/>
    <s v="Intermediate"/>
    <s v="Small Parts"/>
    <s v="Medium"/>
    <n v="5"/>
    <s v="Tuesday"/>
    <s v="Large (11-20)"/>
    <n v="1.6"/>
  </r>
  <r>
    <x v="502"/>
    <x v="0"/>
    <x v="20"/>
    <s v="F"/>
    <s v="I0020"/>
    <d v="2026-09-29T05:31:00"/>
    <d v="2026-09-29T05:39:00"/>
    <n v="6"/>
    <n v="8"/>
    <b v="0"/>
    <b v="0"/>
    <b v="0"/>
    <n v="15"/>
    <s v="Normal"/>
    <d v="2026-09-29T05:12:00"/>
    <b v="0"/>
    <s v="Apparel"/>
    <x v="0"/>
    <s v="Bulk"/>
    <s v="Night"/>
    <s v="Unknown"/>
    <s v="Bulk Storage"/>
    <s v="Near"/>
    <n v="5"/>
    <s v="Tuesday"/>
    <s v="Large (11-20)"/>
    <n v="1.333333333333333"/>
  </r>
  <r>
    <x v="503"/>
    <x v="209"/>
    <x v="20"/>
    <s v="F"/>
    <s v="I0039"/>
    <d v="2026-09-26T00:04:00"/>
    <d v="2026-09-26T00:12:00"/>
    <n v="5"/>
    <n v="8"/>
    <b v="0"/>
    <b v="0"/>
    <b v="0"/>
    <n v="6"/>
    <s v="Urgent"/>
    <d v="2026-09-25T23:48:00"/>
    <b v="0"/>
    <s v="Apparel"/>
    <x v="0"/>
    <s v="Fragile"/>
    <s v="Night"/>
    <s v="Unknown"/>
    <s v="Bulk Storage"/>
    <s v="Near"/>
    <n v="23"/>
    <s v="Friday"/>
    <s v="Medium (6-10)"/>
    <n v="1.6"/>
  </r>
  <r>
    <x v="504"/>
    <x v="130"/>
    <x v="10"/>
    <s v="F"/>
    <s v="I0057"/>
    <d v="2026-09-11T21:10:00"/>
    <d v="2026-09-11T21:18:00"/>
    <n v="1"/>
    <n v="8"/>
    <b v="0"/>
    <b v="0"/>
    <b v="0"/>
    <n v="12"/>
    <s v="Normal"/>
    <d v="2026-09-11T19:25:00"/>
    <b v="0"/>
    <s v="Apparel"/>
    <x v="1"/>
    <s v="Bulk"/>
    <s v="Night"/>
    <s v="Unknown"/>
    <s v="Bulk Storage"/>
    <s v="Near"/>
    <n v="19"/>
    <s v="Friday"/>
    <s v="Large (11-20)"/>
    <n v="8"/>
  </r>
  <r>
    <x v="505"/>
    <x v="210"/>
    <x v="21"/>
    <s v="H"/>
    <s v="I0037"/>
    <d v="2026-09-26T23:33:00"/>
    <d v="2026-09-26T23:41:00"/>
    <n v="7"/>
    <n v="8"/>
    <b v="0"/>
    <b v="0"/>
    <b v="0"/>
    <n v="6"/>
    <s v="Normal"/>
    <d v="2026-09-26T20:35:00"/>
    <b v="0"/>
    <s v="Electronics"/>
    <x v="1"/>
    <s v="Climate-Controlled"/>
    <s v="Morning"/>
    <s v="Intermediate"/>
    <s v="Small Parts"/>
    <s v="Near"/>
    <n v="20"/>
    <s v="Saturday"/>
    <s v="Medium (6-10)"/>
    <n v="1.142857142857143"/>
  </r>
  <r>
    <x v="506"/>
    <x v="26"/>
    <x v="23"/>
    <s v="E"/>
    <s v="I0005"/>
    <d v="2026-09-21T20:03:00"/>
    <d v="2026-09-21T20:11:00"/>
    <n v="7"/>
    <n v="8"/>
    <b v="0"/>
    <b v="0"/>
    <b v="0"/>
    <n v="10"/>
    <s v="High"/>
    <d v="2026-09-21T19:02:00"/>
    <b v="0"/>
    <s v="Apparel"/>
    <x v="0"/>
    <s v="Climate-Controlled"/>
    <s v="Evening"/>
    <s v="Intermediate"/>
    <s v="Fast-Moving"/>
    <s v="Medium"/>
    <n v="19"/>
    <s v="Monday"/>
    <s v="Medium (6-10)"/>
    <n v="1.142857142857143"/>
  </r>
  <r>
    <x v="507"/>
    <x v="108"/>
    <x v="31"/>
    <s v="G"/>
    <s v="I0024"/>
    <d v="2026-09-05T02:21:00"/>
    <d v="2026-09-05T02:29:00"/>
    <n v="5"/>
    <n v="8"/>
    <b v="0"/>
    <b v="0"/>
    <b v="0"/>
    <m/>
    <s v="Normal"/>
    <d v="2026-09-05T00:52:00"/>
    <b v="1"/>
    <s v="Fragile Goods"/>
    <x v="0"/>
    <s v="Fragile"/>
    <s v="Morning"/>
    <s v="Experienced"/>
    <s v="Cold Storage"/>
    <s v="Far"/>
    <n v="0"/>
    <s v="Saturday"/>
    <m/>
    <n v="1.6"/>
  </r>
  <r>
    <x v="508"/>
    <x v="115"/>
    <x v="19"/>
    <s v="G"/>
    <s v="I0008"/>
    <d v="2026-09-01T12:37:00"/>
    <d v="2026-09-01T12:45:00"/>
    <n v="1"/>
    <n v="8"/>
    <b v="0"/>
    <b v="0"/>
    <b v="0"/>
    <n v="20"/>
    <s v="High"/>
    <d v="2026-09-01T11:00:00"/>
    <b v="0"/>
    <s v="Bulk Materials"/>
    <x v="0"/>
    <s v="Unknown"/>
    <s v="Unknown"/>
    <s v="Experienced"/>
    <s v="Cold Storage"/>
    <s v="Far"/>
    <n v="11"/>
    <s v="Tuesday"/>
    <s v="Large (11-20)"/>
    <n v="8"/>
  </r>
  <r>
    <x v="509"/>
    <x v="115"/>
    <x v="1"/>
    <s v="A"/>
    <s v="I0066"/>
    <d v="2026-09-01T13:08:00"/>
    <d v="2026-09-01T13:16:00"/>
    <n v="6"/>
    <n v="8"/>
    <b v="0"/>
    <b v="0"/>
    <b v="0"/>
    <n v="20"/>
    <s v="High"/>
    <d v="2026-09-01T11:00:00"/>
    <b v="0"/>
    <s v="Bulk Materials"/>
    <x v="2"/>
    <s v="Bulk"/>
    <s v="Night"/>
    <s v="Beginner"/>
    <s v="Fast-Moving"/>
    <s v="Near"/>
    <n v="11"/>
    <s v="Tuesday"/>
    <s v="Large (11-20)"/>
    <n v="1.333333333333333"/>
  </r>
  <r>
    <x v="510"/>
    <x v="115"/>
    <x v="22"/>
    <s v="F"/>
    <s v="I0021"/>
    <d v="2026-09-01T13:16:00"/>
    <d v="2026-09-01T13:24:00"/>
    <n v="1"/>
    <n v="8"/>
    <b v="0"/>
    <b v="0"/>
    <b v="0"/>
    <n v="20"/>
    <s v="High"/>
    <d v="2026-09-01T11:00:00"/>
    <b v="0"/>
    <s v="Apparel"/>
    <x v="0"/>
    <s v="Standard"/>
    <s v="Unknown"/>
    <s v="Unknown"/>
    <s v="Bulk Storage"/>
    <s v="Near"/>
    <n v="11"/>
    <s v="Tuesday"/>
    <s v="Large (11-20)"/>
    <n v="8"/>
  </r>
  <r>
    <x v="511"/>
    <x v="106"/>
    <x v="4"/>
    <s v="D"/>
    <s v="I0035"/>
    <d v="2026-09-25T19:57:00"/>
    <d v="2026-09-25T20:05:00"/>
    <n v="1"/>
    <n v="8"/>
    <b v="0"/>
    <b v="0"/>
    <b v="0"/>
    <n v="20"/>
    <s v="Normal"/>
    <d v="2026-09-25T19:21:00"/>
    <b v="0"/>
    <s v="Unknown"/>
    <x v="1"/>
    <s v="Fragile"/>
    <s v="Night"/>
    <s v="Unknown"/>
    <s v="Fragile"/>
    <s v="Unknown"/>
    <n v="19"/>
    <s v="Friday"/>
    <s v="Large (11-20)"/>
    <n v="8"/>
  </r>
  <r>
    <x v="512"/>
    <x v="159"/>
    <x v="25"/>
    <s v="G"/>
    <s v="I0072"/>
    <d v="2026-09-26T06:48:00"/>
    <d v="2026-09-26T06:56:00"/>
    <n v="6"/>
    <n v="8"/>
    <b v="0"/>
    <b v="0"/>
    <b v="0"/>
    <n v="10"/>
    <s v="Normal"/>
    <d v="2026-09-26T05:21:00"/>
    <b v="0"/>
    <s v="Electronics"/>
    <x v="1"/>
    <s v="Climate-Controlled"/>
    <s v="Night"/>
    <s v="Experienced"/>
    <s v="Cold Storage"/>
    <s v="Far"/>
    <n v="5"/>
    <s v="Saturday"/>
    <s v="Medium (6-10)"/>
    <n v="1.333333333333333"/>
  </r>
  <r>
    <x v="513"/>
    <x v="36"/>
    <x v="27"/>
    <s v="D"/>
    <s v="I0052"/>
    <d v="2026-09-08T11:08:00"/>
    <d v="2026-09-08T11:15:00"/>
    <n v="2"/>
    <n v="7"/>
    <b v="0"/>
    <b v="0"/>
    <b v="0"/>
    <n v="8"/>
    <s v="Normal"/>
    <d v="2026-09-08T10:31:00"/>
    <b v="0"/>
    <s v="Bulk Materials"/>
    <x v="3"/>
    <s v="Bulk"/>
    <s v="Night"/>
    <s v="Experienced"/>
    <s v="Fragile"/>
    <s v="Unknown"/>
    <n v="10"/>
    <s v="Tuesday"/>
    <s v="Medium (6-10)"/>
    <n v="3.5"/>
  </r>
  <r>
    <x v="514"/>
    <x v="159"/>
    <x v="31"/>
    <s v="F"/>
    <s v="I0054"/>
    <d v="2026-09-26T07:06:00"/>
    <d v="2026-09-26T07:13:00"/>
    <n v="4"/>
    <n v="7"/>
    <b v="0"/>
    <b v="0"/>
    <b v="0"/>
    <n v="10"/>
    <s v="Normal"/>
    <d v="2026-09-26T05:21:00"/>
    <b v="0"/>
    <s v="Small Parts"/>
    <x v="0"/>
    <s v="Bulk"/>
    <s v="Morning"/>
    <s v="Experienced"/>
    <s v="Bulk Storage"/>
    <s v="Near"/>
    <n v="5"/>
    <s v="Saturday"/>
    <s v="Medium (6-10)"/>
    <n v="1.75"/>
  </r>
  <r>
    <x v="515"/>
    <x v="134"/>
    <x v="16"/>
    <s v="D"/>
    <s v="I0002"/>
    <d v="2026-09-15T04:38:00"/>
    <d v="2026-09-15T04:45:00"/>
    <n v="1"/>
    <n v="7"/>
    <b v="0"/>
    <b v="0"/>
    <b v="0"/>
    <n v="6"/>
    <s v="Low"/>
    <d v="2026-09-15T01:53:00"/>
    <b v="0"/>
    <s v="Small Parts"/>
    <x v="0"/>
    <s v="Fragile"/>
    <s v="Night"/>
    <s v="Intermediate"/>
    <s v="Fragile"/>
    <s v="Unknown"/>
    <n v="1"/>
    <s v="Tuesday"/>
    <s v="Medium (6-10)"/>
    <n v="7"/>
  </r>
  <r>
    <x v="516"/>
    <x v="106"/>
    <x v="8"/>
    <s v="H"/>
    <s v="I0076"/>
    <d v="2026-09-25T19:31:00"/>
    <d v="2026-09-25T19:38:00"/>
    <n v="7"/>
    <n v="7"/>
    <b v="0"/>
    <b v="0"/>
    <b v="0"/>
    <n v="20"/>
    <s v="Normal"/>
    <d v="2026-09-25T19:21:00"/>
    <b v="0"/>
    <s v="Fragile Goods"/>
    <x v="3"/>
    <s v="Climate-Controlled"/>
    <s v="Evening"/>
    <s v="Unknown"/>
    <s v="Small Parts"/>
    <s v="Near"/>
    <n v="19"/>
    <s v="Friday"/>
    <s v="Large (11-20)"/>
    <n v="1"/>
  </r>
  <r>
    <x v="517"/>
    <x v="115"/>
    <x v="10"/>
    <s v="F"/>
    <s v="I0016"/>
    <d v="2026-09-01T12:23:00"/>
    <d v="2026-09-01T12:30:00"/>
    <n v="3"/>
    <n v="7"/>
    <b v="0"/>
    <b v="0"/>
    <b v="0"/>
    <n v="20"/>
    <s v="High"/>
    <d v="2026-09-01T11:00:00"/>
    <b v="0"/>
    <s v="Unknown"/>
    <x v="0"/>
    <s v="Bulk"/>
    <s v="Night"/>
    <s v="Unknown"/>
    <s v="Bulk Storage"/>
    <s v="Near"/>
    <n v="11"/>
    <s v="Tuesday"/>
    <s v="Large (11-20)"/>
    <n v="2.333333333333333"/>
  </r>
  <r>
    <x v="518"/>
    <x v="153"/>
    <x v="31"/>
    <s v="D"/>
    <s v="I0078"/>
    <d v="2026-09-14T19:22:00"/>
    <d v="2026-09-14T19:29:00"/>
    <n v="2"/>
    <n v="7"/>
    <b v="0"/>
    <b v="0"/>
    <b v="0"/>
    <n v="12"/>
    <s v="Normal"/>
    <d v="2026-09-14T17:22:00"/>
    <b v="0"/>
    <s v="Apparel"/>
    <x v="1"/>
    <s v="Climate-Controlled"/>
    <s v="Morning"/>
    <s v="Experienced"/>
    <s v="Fragile"/>
    <s v="Unknown"/>
    <n v="17"/>
    <s v="Monday"/>
    <s v="Large (11-20)"/>
    <n v="3.5"/>
  </r>
  <r>
    <x v="519"/>
    <x v="116"/>
    <x v="5"/>
    <s v="F"/>
    <s v="I0023"/>
    <d v="2026-09-12T09:16:00"/>
    <d v="2026-09-12T09:23:00"/>
    <n v="1"/>
    <n v="7"/>
    <b v="0"/>
    <b v="0"/>
    <b v="0"/>
    <n v="6"/>
    <s v="Normal"/>
    <d v="2026-09-12T08:40:00"/>
    <b v="0"/>
    <s v="Home Goods"/>
    <x v="1"/>
    <s v="Bulk"/>
    <s v="Unknown"/>
    <s v="Beginner"/>
    <s v="Bulk Storage"/>
    <s v="Near"/>
    <n v="8"/>
    <s v="Saturday"/>
    <s v="Medium (6-10)"/>
    <n v="7"/>
  </r>
  <r>
    <x v="520"/>
    <x v="211"/>
    <x v="8"/>
    <s v="C"/>
    <s v="I0055"/>
    <d v="2026-09-17T09:08:00"/>
    <d v="2026-09-17T09:15:00"/>
    <n v="5"/>
    <n v="7"/>
    <b v="0"/>
    <b v="0"/>
    <b v="0"/>
    <n v="1"/>
    <s v="Low"/>
    <d v="2026-09-17T06:54:00"/>
    <b v="0"/>
    <s v="Fragile Goods"/>
    <x v="1"/>
    <s v="Climate-Controlled"/>
    <s v="Evening"/>
    <s v="Unknown"/>
    <s v="Small Parts"/>
    <s v="Medium"/>
    <n v="6"/>
    <s v="Thursday"/>
    <s v="Small (1-5)"/>
    <n v="1.4"/>
  </r>
  <r>
    <x v="521"/>
    <x v="148"/>
    <x v="9"/>
    <s v="F"/>
    <s v="I0051"/>
    <d v="2026-09-23T20:23:00"/>
    <d v="2026-09-23T20:30:00"/>
    <n v="4"/>
    <n v="7"/>
    <b v="0"/>
    <b v="0"/>
    <b v="0"/>
    <n v="5"/>
    <s v="Normal"/>
    <d v="2026-09-23T19:59:00"/>
    <b v="0"/>
    <s v="Home Goods"/>
    <x v="1"/>
    <s v="Fragile"/>
    <s v="Unknown"/>
    <s v="Intermediate"/>
    <s v="Bulk Storage"/>
    <s v="Near"/>
    <n v="19"/>
    <s v="Wednesday"/>
    <s v="Small (1-5)"/>
    <n v="1.75"/>
  </r>
  <r>
    <x v="522"/>
    <x v="148"/>
    <x v="24"/>
    <s v="A"/>
    <s v="I0033"/>
    <d v="2026-09-23T20:25:00"/>
    <d v="2026-09-23T20:32:00"/>
    <n v="5"/>
    <n v="7"/>
    <b v="0"/>
    <b v="0"/>
    <b v="0"/>
    <n v="5"/>
    <s v="Normal"/>
    <d v="2026-09-23T19:59:00"/>
    <b v="0"/>
    <s v="Small Parts"/>
    <x v="1"/>
    <s v="Bulk"/>
    <s v="Night"/>
    <s v="Experienced"/>
    <s v="Fast-Moving"/>
    <s v="Near"/>
    <n v="19"/>
    <s v="Wednesday"/>
    <s v="Small (1-5)"/>
    <n v="1.4"/>
  </r>
  <r>
    <x v="523"/>
    <x v="75"/>
    <x v="30"/>
    <s v="C"/>
    <s v="I0027"/>
    <d v="2026-09-02T00:23:00"/>
    <d v="2026-09-02T00:30:00"/>
    <n v="5"/>
    <n v="7"/>
    <b v="0"/>
    <b v="0"/>
    <b v="0"/>
    <n v="20"/>
    <s v="Low"/>
    <d v="2026-09-01T21:36:00"/>
    <b v="0"/>
    <s v="Unknown"/>
    <x v="2"/>
    <s v="Bulk"/>
    <s v="Night"/>
    <s v="Experienced"/>
    <s v="Small Parts"/>
    <s v="Medium"/>
    <n v="21"/>
    <s v="Tuesday"/>
    <s v="Large (11-20)"/>
    <n v="1.4"/>
  </r>
  <r>
    <x v="524"/>
    <x v="75"/>
    <x v="28"/>
    <s v="B"/>
    <s v="I0042"/>
    <d v="2026-09-01T22:25:00"/>
    <d v="2026-09-01T22:32:00"/>
    <n v="2"/>
    <n v="7"/>
    <b v="0"/>
    <b v="0"/>
    <b v="0"/>
    <n v="20"/>
    <s v="Low"/>
    <d v="2026-09-01T21:36:00"/>
    <b v="0"/>
    <s v="Electronics"/>
    <x v="1"/>
    <s v="Standard"/>
    <s v="Night"/>
    <s v="Experienced"/>
    <s v="Bulk Storage"/>
    <s v="Far"/>
    <n v="21"/>
    <s v="Tuesday"/>
    <s v="Large (11-20)"/>
    <n v="3.5"/>
  </r>
  <r>
    <x v="525"/>
    <x v="185"/>
    <x v="0"/>
    <s v="C"/>
    <s v="I0031"/>
    <d v="2026-09-16T12:33:00"/>
    <d v="2026-09-16T12:40:00"/>
    <n v="3"/>
    <n v="7"/>
    <b v="0"/>
    <b v="0"/>
    <b v="0"/>
    <n v="6"/>
    <s v="High"/>
    <m/>
    <b v="0"/>
    <s v="Unknown"/>
    <x v="2"/>
    <s v="Fragile"/>
    <s v="Night"/>
    <s v="Beginner"/>
    <s v="Small Parts"/>
    <s v="Medium"/>
    <m/>
    <m/>
    <s v="Medium (6-10)"/>
    <n v="2.333333333333333"/>
  </r>
  <r>
    <x v="526"/>
    <x v="13"/>
    <x v="11"/>
    <s v="H"/>
    <s v="I0040"/>
    <d v="2026-09-10T08:18:00"/>
    <d v="2026-09-10T08:25:00"/>
    <n v="7"/>
    <n v="7"/>
    <b v="0"/>
    <b v="0"/>
    <b v="0"/>
    <n v="4"/>
    <s v="Normal"/>
    <d v="2026-09-10T05:21:00"/>
    <b v="0"/>
    <s v="Unknown"/>
    <x v="1"/>
    <s v="Standard"/>
    <s v="Night"/>
    <s v="Intermediate"/>
    <s v="Small Parts"/>
    <s v="Near"/>
    <n v="5"/>
    <s v="Thursday"/>
    <s v="Small (1-5)"/>
    <n v="1"/>
  </r>
  <r>
    <x v="527"/>
    <x v="212"/>
    <x v="1"/>
    <s v="E"/>
    <s v="I0013"/>
    <d v="2026-09-29T04:15:00"/>
    <d v="2026-09-29T04:22:00"/>
    <n v="5"/>
    <n v="7"/>
    <b v="0"/>
    <b v="0"/>
    <b v="0"/>
    <n v="5"/>
    <s v="Normal"/>
    <d v="2026-09-29T03:15:00"/>
    <b v="0"/>
    <s v="Home Goods"/>
    <x v="1"/>
    <s v="Unknown"/>
    <s v="Night"/>
    <s v="Beginner"/>
    <s v="Fast-Moving"/>
    <s v="Medium"/>
    <n v="3"/>
    <s v="Tuesday"/>
    <s v="Small (1-5)"/>
    <n v="1.4"/>
  </r>
  <r>
    <x v="528"/>
    <x v="126"/>
    <x v="31"/>
    <s v="C"/>
    <s v="I0080"/>
    <d v="2026-09-09T06:14:00"/>
    <d v="2026-09-09T06:21:00"/>
    <n v="7"/>
    <n v="7"/>
    <b v="0"/>
    <b v="0"/>
    <b v="0"/>
    <n v="4"/>
    <s v="Normal"/>
    <d v="2026-09-09T05:01:00"/>
    <b v="0"/>
    <s v="Fragile Goods"/>
    <x v="0"/>
    <s v="Bulk"/>
    <s v="Morning"/>
    <s v="Experienced"/>
    <s v="Small Parts"/>
    <s v="Medium"/>
    <n v="5"/>
    <s v="Wednesday"/>
    <s v="Small (1-5)"/>
    <n v="1"/>
  </r>
  <r>
    <x v="529"/>
    <x v="213"/>
    <x v="28"/>
    <s v="F"/>
    <s v="I0057"/>
    <d v="2026-09-28T03:42:00"/>
    <d v="2026-09-28T03:49:00"/>
    <n v="3"/>
    <n v="7"/>
    <b v="0"/>
    <b v="0"/>
    <b v="0"/>
    <n v="6"/>
    <s v="High"/>
    <d v="2026-09-28T02:52:00"/>
    <b v="0"/>
    <s v="Apparel"/>
    <x v="1"/>
    <s v="Bulk"/>
    <s v="Night"/>
    <s v="Experienced"/>
    <s v="Bulk Storage"/>
    <s v="Near"/>
    <n v="2"/>
    <s v="Monday"/>
    <s v="Medium (6-10)"/>
    <n v="2.333333333333333"/>
  </r>
  <r>
    <x v="530"/>
    <x v="81"/>
    <x v="3"/>
    <s v="E"/>
    <s v="I0035"/>
    <d v="2026-09-04T19:28:00"/>
    <d v="2026-09-04T19:35:00"/>
    <n v="3"/>
    <n v="7"/>
    <b v="0"/>
    <b v="0"/>
    <b v="0"/>
    <n v="8"/>
    <s v="Urgent"/>
    <d v="2026-09-04T17:27:00"/>
    <b v="0"/>
    <s v="Unknown"/>
    <x v="1"/>
    <s v="Fragile"/>
    <s v="Night"/>
    <s v="Beginner"/>
    <s v="Fast-Moving"/>
    <s v="Medium"/>
    <n v="17"/>
    <s v="Friday"/>
    <s v="Medium (6-10)"/>
    <n v="2.333333333333333"/>
  </r>
  <r>
    <x v="531"/>
    <x v="24"/>
    <x v="10"/>
    <s v="F"/>
    <s v="I0077"/>
    <d v="2026-09-22T23:58:00"/>
    <d v="2026-09-23T00:05:00"/>
    <n v="7"/>
    <n v="7"/>
    <b v="0"/>
    <b v="0"/>
    <b v="0"/>
    <n v="20"/>
    <s v="High"/>
    <d v="2026-09-22T21:17:00"/>
    <b v="0"/>
    <s v="Bulk Materials"/>
    <x v="0"/>
    <s v="Unknown"/>
    <s v="Night"/>
    <s v="Unknown"/>
    <s v="Bulk Storage"/>
    <s v="Near"/>
    <n v="21"/>
    <s v="Tuesday"/>
    <s v="Large (11-20)"/>
    <n v="1"/>
  </r>
  <r>
    <x v="532"/>
    <x v="125"/>
    <x v="12"/>
    <s v="E"/>
    <s v="I0018"/>
    <d v="2026-09-02T22:36:00"/>
    <d v="2026-09-02T22:43:00"/>
    <n v="5"/>
    <n v="7"/>
    <b v="0"/>
    <b v="0"/>
    <b v="0"/>
    <n v="6"/>
    <s v="High"/>
    <d v="2026-09-02T20:57:00"/>
    <b v="0"/>
    <s v="Bulk Materials"/>
    <x v="0"/>
    <s v="Bulk"/>
    <s v="Unknown"/>
    <s v="Intermediate"/>
    <s v="Fast-Moving"/>
    <s v="Medium"/>
    <n v="20"/>
    <s v="Wednesday"/>
    <s v="Medium (6-10)"/>
    <n v="1.4"/>
  </r>
  <r>
    <x v="533"/>
    <x v="9"/>
    <x v="15"/>
    <s v="H"/>
    <s v="I0051"/>
    <d v="2026-09-01T14:49:00"/>
    <d v="2026-09-01T14:56:00"/>
    <n v="4"/>
    <n v="7"/>
    <b v="0"/>
    <b v="0"/>
    <b v="0"/>
    <n v="12"/>
    <s v="High"/>
    <d v="2026-09-01T13:09:00"/>
    <b v="0"/>
    <s v="Home Goods"/>
    <x v="1"/>
    <s v="Fragile"/>
    <s v="Morning"/>
    <s v="Unknown"/>
    <s v="Small Parts"/>
    <s v="Near"/>
    <n v="13"/>
    <s v="Tuesday"/>
    <s v="Large (11-20)"/>
    <n v="1.75"/>
  </r>
  <r>
    <x v="534"/>
    <x v="9"/>
    <x v="9"/>
    <s v="E"/>
    <s v="I0047"/>
    <d v="2026-09-01T13:27:00"/>
    <d v="2026-09-01T13:34:00"/>
    <n v="4"/>
    <n v="7"/>
    <b v="0"/>
    <b v="0"/>
    <b v="0"/>
    <n v="12"/>
    <s v="High"/>
    <d v="2026-09-01T13:09:00"/>
    <b v="0"/>
    <s v="Electronics"/>
    <x v="0"/>
    <s v="Unknown"/>
    <s v="Unknown"/>
    <s v="Intermediate"/>
    <s v="Fast-Moving"/>
    <s v="Medium"/>
    <n v="13"/>
    <s v="Tuesday"/>
    <s v="Large (11-20)"/>
    <n v="1.75"/>
  </r>
  <r>
    <x v="535"/>
    <x v="15"/>
    <x v="13"/>
    <s v="H"/>
    <s v="I0010"/>
    <d v="2026-09-18T19:30:00"/>
    <d v="2026-09-18T19:37:00"/>
    <n v="5"/>
    <n v="7"/>
    <b v="0"/>
    <b v="0"/>
    <b v="0"/>
    <n v="20"/>
    <s v="Low"/>
    <d v="2026-09-18T17:39:00"/>
    <b v="0"/>
    <s v="Fragile Goods"/>
    <x v="1"/>
    <s v="Standard"/>
    <s v="Night"/>
    <s v="Intermediate"/>
    <s v="Small Parts"/>
    <s v="Near"/>
    <n v="17"/>
    <s v="Friday"/>
    <s v="Large (11-20)"/>
    <n v="1.4"/>
  </r>
  <r>
    <x v="536"/>
    <x v="166"/>
    <x v="21"/>
    <s v="H"/>
    <s v="I0041"/>
    <d v="2026-09-20T07:46:00"/>
    <d v="2026-09-20T07:53:00"/>
    <n v="5"/>
    <n v="7"/>
    <b v="0"/>
    <b v="0"/>
    <b v="0"/>
    <n v="4"/>
    <s v="Normal"/>
    <d v="2026-09-20T06:42:00"/>
    <b v="0"/>
    <s v="Bulk Materials"/>
    <x v="2"/>
    <s v="Bulk"/>
    <s v="Morning"/>
    <s v="Intermediate"/>
    <s v="Small Parts"/>
    <s v="Near"/>
    <n v="6"/>
    <s v="Sunday"/>
    <s v="Small (1-5)"/>
    <n v="1.4"/>
  </r>
  <r>
    <x v="537"/>
    <x v="166"/>
    <x v="6"/>
    <s v="F"/>
    <s v="I0070"/>
    <d v="2026-09-20T08:18:00"/>
    <d v="2026-09-20T08:25:00"/>
    <n v="5"/>
    <n v="7"/>
    <b v="0"/>
    <b v="0"/>
    <b v="0"/>
    <n v="4"/>
    <s v="Normal"/>
    <d v="2026-09-20T06:42:00"/>
    <b v="0"/>
    <s v="Bulk Materials"/>
    <x v="0"/>
    <s v="Standard"/>
    <s v="Night"/>
    <s v="Intermediate"/>
    <s v="Bulk Storage"/>
    <s v="Near"/>
    <n v="6"/>
    <s v="Sunday"/>
    <s v="Small (1-5)"/>
    <n v="1.4"/>
  </r>
  <r>
    <x v="538"/>
    <x v="137"/>
    <x v="29"/>
    <s v="B"/>
    <s v="I0068"/>
    <d v="2026-09-14T06:19:00"/>
    <d v="2026-09-14T06:26:00"/>
    <n v="2"/>
    <n v="7"/>
    <b v="0"/>
    <b v="0"/>
    <b v="0"/>
    <n v="12"/>
    <s v="High"/>
    <d v="2026-09-14T04:06:00"/>
    <b v="0"/>
    <s v="Electronics"/>
    <x v="1"/>
    <s v="Climate-Controlled"/>
    <s v="Morning"/>
    <s v="Experienced"/>
    <s v="Bulk Storage"/>
    <s v="Far"/>
    <n v="4"/>
    <s v="Monday"/>
    <s v="Large (11-20)"/>
    <n v="3.5"/>
  </r>
  <r>
    <x v="539"/>
    <x v="137"/>
    <x v="0"/>
    <s v="E"/>
    <s v="I0022"/>
    <d v="2026-09-14T05:47:00"/>
    <d v="2026-09-14T05:54:00"/>
    <n v="4"/>
    <n v="7"/>
    <b v="0"/>
    <b v="0"/>
    <b v="0"/>
    <n v="12"/>
    <s v="High"/>
    <d v="2026-09-14T04:06:00"/>
    <b v="0"/>
    <s v="Unknown"/>
    <x v="0"/>
    <s v="Standard"/>
    <s v="Night"/>
    <s v="Beginner"/>
    <s v="Fast-Moving"/>
    <s v="Medium"/>
    <n v="4"/>
    <s v="Monday"/>
    <s v="Large (11-20)"/>
    <n v="1.75"/>
  </r>
  <r>
    <x v="540"/>
    <x v="40"/>
    <x v="16"/>
    <s v="F"/>
    <s v="I0040"/>
    <d v="2026-09-15T21:38:00"/>
    <d v="2026-09-15T21:45:00"/>
    <n v="2"/>
    <n v="7"/>
    <b v="0"/>
    <b v="0"/>
    <b v="0"/>
    <n v="8"/>
    <s v="Normal"/>
    <d v="2026-09-15T19:05:00"/>
    <b v="0"/>
    <s v="Unknown"/>
    <x v="1"/>
    <s v="Standard"/>
    <s v="Night"/>
    <s v="Intermediate"/>
    <s v="Bulk Storage"/>
    <s v="Near"/>
    <n v="19"/>
    <s v="Tuesday"/>
    <s v="Medium (6-10)"/>
    <n v="3.5"/>
  </r>
  <r>
    <x v="541"/>
    <x v="66"/>
    <x v="18"/>
    <s v="A"/>
    <s v="I0067"/>
    <d v="2026-09-12T13:42:00"/>
    <d v="2026-09-12T13:49:00"/>
    <n v="7"/>
    <n v="7"/>
    <b v="0"/>
    <b v="0"/>
    <b v="0"/>
    <n v="6"/>
    <s v="Normal"/>
    <d v="2026-09-12T11:01:00"/>
    <b v="0"/>
    <s v="Bulk Materials"/>
    <x v="0"/>
    <s v="Climate-Controlled"/>
    <s v="Night"/>
    <s v="Intermediate"/>
    <s v="Fast-Moving"/>
    <s v="Near"/>
    <n v="11"/>
    <s v="Saturday"/>
    <s v="Medium (6-10)"/>
    <n v="1"/>
  </r>
  <r>
    <x v="542"/>
    <x v="66"/>
    <x v="22"/>
    <s v="C"/>
    <s v="I0060"/>
    <d v="2026-09-12T12:05:00"/>
    <d v="2026-09-12T12:12:00"/>
    <n v="3"/>
    <n v="7"/>
    <b v="0"/>
    <b v="0"/>
    <b v="0"/>
    <n v="6"/>
    <s v="Normal"/>
    <d v="2026-09-12T11:01:00"/>
    <b v="0"/>
    <s v="Small Parts"/>
    <x v="2"/>
    <s v="Climate-Controlled"/>
    <s v="Unknown"/>
    <s v="Unknown"/>
    <s v="Small Parts"/>
    <s v="Medium"/>
    <n v="11"/>
    <s v="Saturday"/>
    <s v="Medium (6-10)"/>
    <n v="2.333333333333333"/>
  </r>
  <r>
    <x v="543"/>
    <x v="100"/>
    <x v="24"/>
    <s v="G"/>
    <s v="I0013"/>
    <d v="2026-09-05T21:09:00"/>
    <d v="2026-09-05T21:16:00"/>
    <n v="3"/>
    <n v="7"/>
    <b v="0"/>
    <b v="0"/>
    <b v="0"/>
    <n v="20"/>
    <s v="High"/>
    <d v="2026-09-05T19:30:00"/>
    <b v="0"/>
    <s v="Home Goods"/>
    <x v="1"/>
    <s v="Unknown"/>
    <s v="Night"/>
    <s v="Experienced"/>
    <s v="Cold Storage"/>
    <s v="Far"/>
    <n v="19"/>
    <s v="Saturday"/>
    <s v="Large (11-20)"/>
    <n v="2.333333333333333"/>
  </r>
  <r>
    <x v="544"/>
    <x v="82"/>
    <x v="21"/>
    <s v="D"/>
    <s v="I0046"/>
    <d v="2026-09-20T13:17:00"/>
    <d v="2026-09-20T13:24:00"/>
    <n v="3"/>
    <n v="7"/>
    <b v="0"/>
    <b v="0"/>
    <b v="0"/>
    <n v="10"/>
    <s v="Normal"/>
    <d v="2026-09-20T12:23:00"/>
    <b v="0"/>
    <s v="Small Parts"/>
    <x v="2"/>
    <s v="Standard"/>
    <s v="Morning"/>
    <s v="Intermediate"/>
    <s v="Fragile"/>
    <s v="Unknown"/>
    <n v="12"/>
    <s v="Sunday"/>
    <s v="Medium (6-10)"/>
    <n v="2.333333333333333"/>
  </r>
  <r>
    <x v="545"/>
    <x v="82"/>
    <x v="30"/>
    <s v="D"/>
    <s v="I0028"/>
    <d v="2026-09-20T13:37:00"/>
    <d v="2026-09-20T13:44:00"/>
    <n v="4"/>
    <n v="7"/>
    <b v="0"/>
    <b v="0"/>
    <b v="0"/>
    <n v="10"/>
    <s v="Normal"/>
    <d v="2026-09-20T12:23:00"/>
    <b v="0"/>
    <s v="Fragile Goods"/>
    <x v="1"/>
    <s v="Standard"/>
    <s v="Night"/>
    <s v="Experienced"/>
    <s v="Fragile"/>
    <s v="Unknown"/>
    <n v="12"/>
    <s v="Sunday"/>
    <s v="Medium (6-10)"/>
    <n v="1.75"/>
  </r>
  <r>
    <x v="546"/>
    <x v="14"/>
    <x v="2"/>
    <s v="C"/>
    <s v="I0051"/>
    <d v="2026-09-25T10:42:00"/>
    <d v="2026-09-25T10:49:00"/>
    <n v="3"/>
    <n v="7"/>
    <b v="0"/>
    <b v="0"/>
    <b v="0"/>
    <n v="20"/>
    <s v="Low"/>
    <d v="2026-09-25T09:29:00"/>
    <b v="0"/>
    <s v="Home Goods"/>
    <x v="1"/>
    <s v="Fragile"/>
    <s v="Evening"/>
    <s v="Beginner"/>
    <s v="Small Parts"/>
    <s v="Medium"/>
    <n v="9"/>
    <s v="Friday"/>
    <s v="Large (11-20)"/>
    <n v="2.333333333333333"/>
  </r>
  <r>
    <x v="547"/>
    <x v="214"/>
    <x v="29"/>
    <s v="D"/>
    <s v="I0041"/>
    <d v="2026-09-07T06:08:00"/>
    <d v="2026-09-07T06:15:00"/>
    <n v="5"/>
    <n v="7"/>
    <b v="0"/>
    <b v="0"/>
    <b v="0"/>
    <n v="4"/>
    <s v="Normal"/>
    <d v="2026-09-07T05:38:00"/>
    <b v="0"/>
    <s v="Bulk Materials"/>
    <x v="2"/>
    <s v="Bulk"/>
    <s v="Morning"/>
    <s v="Experienced"/>
    <s v="Fragile"/>
    <s v="Unknown"/>
    <n v="5"/>
    <s v="Monday"/>
    <s v="Small (1-5)"/>
    <n v="1.4"/>
  </r>
  <r>
    <x v="548"/>
    <x v="71"/>
    <x v="30"/>
    <s v="B"/>
    <s v="I0068"/>
    <d v="2026-09-09T08:15:00"/>
    <d v="2026-09-09T08:22:00"/>
    <n v="2"/>
    <n v="7"/>
    <b v="0"/>
    <b v="0"/>
    <b v="0"/>
    <n v="12"/>
    <s v="Normal"/>
    <d v="2026-09-09T07:12:00"/>
    <b v="0"/>
    <s v="Electronics"/>
    <x v="1"/>
    <s v="Climate-Controlled"/>
    <s v="Night"/>
    <s v="Experienced"/>
    <s v="Bulk Storage"/>
    <s v="Far"/>
    <n v="7"/>
    <s v="Wednesday"/>
    <s v="Large (11-20)"/>
    <n v="3.5"/>
  </r>
  <r>
    <x v="549"/>
    <x v="123"/>
    <x v="2"/>
    <s v="H"/>
    <s v="I0017"/>
    <d v="2026-09-19T23:06:00"/>
    <d v="2026-09-19T23:13:00"/>
    <n v="7"/>
    <n v="7"/>
    <b v="0"/>
    <b v="0"/>
    <b v="0"/>
    <n v="8"/>
    <s v="Low"/>
    <d v="2026-09-19T22:46:00"/>
    <b v="0"/>
    <s v="Bulk Materials"/>
    <x v="1"/>
    <s v="Bulk"/>
    <s v="Evening"/>
    <s v="Beginner"/>
    <s v="Small Parts"/>
    <s v="Near"/>
    <n v="22"/>
    <s v="Saturday"/>
    <s v="Medium (6-10)"/>
    <n v="1"/>
  </r>
  <r>
    <x v="550"/>
    <x v="59"/>
    <x v="15"/>
    <s v="E"/>
    <s v="I0045"/>
    <d v="2026-09-22T13:11:00"/>
    <d v="2026-09-22T13:18:00"/>
    <n v="5"/>
    <n v="7"/>
    <b v="0"/>
    <b v="0"/>
    <b v="0"/>
    <n v="10"/>
    <s v="Normal"/>
    <d v="2026-09-22T11:34:00"/>
    <b v="0"/>
    <s v="Apparel"/>
    <x v="2"/>
    <s v="Climate-Controlled"/>
    <s v="Morning"/>
    <s v="Unknown"/>
    <s v="Fast-Moving"/>
    <s v="Medium"/>
    <n v="11"/>
    <s v="Tuesday"/>
    <s v="Medium (6-10)"/>
    <n v="1.4"/>
  </r>
  <r>
    <x v="551"/>
    <x v="207"/>
    <x v="6"/>
    <s v="H"/>
    <s v="I0050"/>
    <d v="2026-09-20T11:34:00"/>
    <d v="2026-09-20T11:41:00"/>
    <n v="1"/>
    <n v="7"/>
    <b v="0"/>
    <b v="0"/>
    <b v="0"/>
    <n v="4"/>
    <s v="High"/>
    <d v="2026-09-20T11:21:00"/>
    <b v="0"/>
    <s v="Home Goods"/>
    <x v="1"/>
    <s v="Bulk"/>
    <s v="Night"/>
    <s v="Intermediate"/>
    <s v="Small Parts"/>
    <s v="Near"/>
    <n v="11"/>
    <s v="Sunday"/>
    <s v="Small (1-5)"/>
    <n v="7"/>
  </r>
  <r>
    <x v="552"/>
    <x v="132"/>
    <x v="21"/>
    <s v="A"/>
    <s v="I0043"/>
    <d v="2026-09-23T21:35:00"/>
    <d v="2026-09-23T21:42:00"/>
    <n v="4"/>
    <n v="7"/>
    <b v="0"/>
    <b v="0"/>
    <b v="0"/>
    <n v="20"/>
    <s v="High"/>
    <d v="2026-09-23T18:56:00"/>
    <b v="0"/>
    <s v="Small Parts"/>
    <x v="0"/>
    <s v="Fragile"/>
    <s v="Morning"/>
    <s v="Intermediate"/>
    <s v="Fast-Moving"/>
    <s v="Near"/>
    <n v="18"/>
    <s v="Wednesday"/>
    <s v="Large (11-20)"/>
    <n v="1.75"/>
  </r>
  <r>
    <x v="553"/>
    <x v="132"/>
    <x v="14"/>
    <s v="D"/>
    <s v="I0044"/>
    <d v="2026-09-23T20:11:00"/>
    <d v="2026-09-23T20:18:00"/>
    <n v="2"/>
    <n v="7"/>
    <b v="0"/>
    <b v="0"/>
    <b v="0"/>
    <n v="20"/>
    <s v="High"/>
    <d v="2026-09-23T18:56:00"/>
    <b v="0"/>
    <s v="Electronics"/>
    <x v="1"/>
    <s v="Bulk"/>
    <s v="Night"/>
    <s v="Unknown"/>
    <s v="Fragile"/>
    <s v="Unknown"/>
    <n v="18"/>
    <s v="Wednesday"/>
    <s v="Large (11-20)"/>
    <n v="3.5"/>
  </r>
  <r>
    <x v="554"/>
    <x v="132"/>
    <x v="27"/>
    <s v="H"/>
    <s v="I0059"/>
    <d v="2026-09-23T20:58:00"/>
    <d v="2026-09-23T21:05:00"/>
    <n v="4"/>
    <n v="7"/>
    <b v="0"/>
    <b v="0"/>
    <b v="0"/>
    <n v="20"/>
    <s v="High"/>
    <d v="2026-09-23T18:56:00"/>
    <b v="0"/>
    <s v="Electronics"/>
    <x v="1"/>
    <s v="Bulk"/>
    <s v="Night"/>
    <s v="Experienced"/>
    <s v="Small Parts"/>
    <s v="Near"/>
    <n v="18"/>
    <s v="Wednesday"/>
    <s v="Large (11-20)"/>
    <n v="1.75"/>
  </r>
  <r>
    <x v="555"/>
    <x v="50"/>
    <x v="8"/>
    <s v="H"/>
    <s v="I0073"/>
    <d v="2026-09-23T21:32:00"/>
    <d v="2026-09-23T21:39:00"/>
    <n v="1"/>
    <n v="7"/>
    <b v="0"/>
    <b v="0"/>
    <b v="0"/>
    <n v="10"/>
    <s v="Normal"/>
    <d v="2026-09-23T19:24:00"/>
    <b v="0"/>
    <s v="Unknown"/>
    <x v="0"/>
    <s v="Bulk"/>
    <s v="Evening"/>
    <s v="Unknown"/>
    <s v="Small Parts"/>
    <s v="Near"/>
    <n v="19"/>
    <s v="Wednesday"/>
    <s v="Medium (6-10)"/>
    <n v="7"/>
  </r>
  <r>
    <x v="556"/>
    <x v="50"/>
    <x v="11"/>
    <s v="E"/>
    <s v="I0041"/>
    <d v="2026-09-23T19:25:00"/>
    <d v="2026-09-23T19:32:00"/>
    <n v="3"/>
    <n v="7"/>
    <b v="0"/>
    <b v="0"/>
    <b v="0"/>
    <n v="10"/>
    <s v="Normal"/>
    <d v="2026-09-23T19:24:00"/>
    <b v="0"/>
    <s v="Bulk Materials"/>
    <x v="2"/>
    <s v="Bulk"/>
    <s v="Night"/>
    <s v="Intermediate"/>
    <s v="Fast-Moving"/>
    <s v="Medium"/>
    <n v="19"/>
    <s v="Wednesday"/>
    <s v="Medium (6-10)"/>
    <n v="2.333333333333333"/>
  </r>
  <r>
    <x v="557"/>
    <x v="11"/>
    <x v="28"/>
    <s v="D"/>
    <s v="I0077"/>
    <d v="2026-09-12T02:33:00"/>
    <d v="2026-09-12T02:40:00"/>
    <n v="4"/>
    <n v="7"/>
    <b v="0"/>
    <b v="0"/>
    <b v="0"/>
    <n v="20"/>
    <s v="Normal"/>
    <d v="2026-09-12T00:55:00"/>
    <b v="0"/>
    <s v="Bulk Materials"/>
    <x v="0"/>
    <s v="Unknown"/>
    <s v="Night"/>
    <s v="Experienced"/>
    <s v="Fragile"/>
    <s v="Unknown"/>
    <n v="0"/>
    <s v="Saturday"/>
    <s v="Large (11-20)"/>
    <n v="1.75"/>
  </r>
  <r>
    <x v="558"/>
    <x v="171"/>
    <x v="27"/>
    <s v="B"/>
    <s v="I0054"/>
    <d v="2026-09-21T09:59:00"/>
    <d v="2026-09-21T10:06:00"/>
    <n v="7"/>
    <n v="7"/>
    <b v="0"/>
    <b v="0"/>
    <b v="0"/>
    <n v="8"/>
    <s v="High"/>
    <d v="2026-09-21T07:18:00"/>
    <b v="0"/>
    <s v="Small Parts"/>
    <x v="0"/>
    <s v="Bulk"/>
    <s v="Night"/>
    <s v="Experienced"/>
    <s v="Bulk Storage"/>
    <s v="Far"/>
    <n v="7"/>
    <s v="Monday"/>
    <s v="Medium (6-10)"/>
    <n v="1"/>
  </r>
  <r>
    <x v="559"/>
    <x v="10"/>
    <x v="17"/>
    <s v="H"/>
    <s v="I0012"/>
    <d v="2026-09-08T11:36:00"/>
    <d v="2026-09-08T11:43:00"/>
    <n v="6"/>
    <n v="7"/>
    <b v="0"/>
    <b v="0"/>
    <b v="0"/>
    <n v="10"/>
    <s v="Low"/>
    <d v="2026-09-08T11:10:00"/>
    <b v="0"/>
    <s v="Unknown"/>
    <x v="2"/>
    <s v="Bulk"/>
    <s v="Night"/>
    <s v="Intermediate"/>
    <s v="Small Parts"/>
    <s v="Near"/>
    <n v="11"/>
    <s v="Tuesday"/>
    <s v="Medium (6-10)"/>
    <n v="1.166666666666667"/>
  </r>
  <r>
    <x v="560"/>
    <x v="85"/>
    <x v="13"/>
    <s v="E"/>
    <s v="I0068"/>
    <d v="2026-09-23T17:03:00"/>
    <d v="2026-09-23T17:10:00"/>
    <n v="5"/>
    <n v="7"/>
    <b v="0"/>
    <b v="0"/>
    <b v="0"/>
    <n v="5"/>
    <s v="Normal"/>
    <d v="2026-09-23T16:26:00"/>
    <b v="0"/>
    <s v="Electronics"/>
    <x v="1"/>
    <s v="Climate-Controlled"/>
    <s v="Night"/>
    <s v="Intermediate"/>
    <s v="Fast-Moving"/>
    <s v="Medium"/>
    <n v="16"/>
    <s v="Wednesday"/>
    <s v="Small (1-5)"/>
    <n v="1.4"/>
  </r>
  <r>
    <x v="561"/>
    <x v="79"/>
    <x v="24"/>
    <s v="F"/>
    <s v="I0024"/>
    <d v="2026-09-25T00:58:00"/>
    <d v="2026-09-25T01:05:00"/>
    <n v="3"/>
    <n v="7"/>
    <b v="0"/>
    <b v="0"/>
    <b v="0"/>
    <n v="15"/>
    <s v="Urgent"/>
    <d v="2026-09-24T23:31:00"/>
    <b v="0"/>
    <s v="Fragile Goods"/>
    <x v="0"/>
    <s v="Fragile"/>
    <s v="Night"/>
    <s v="Experienced"/>
    <s v="Bulk Storage"/>
    <s v="Near"/>
    <n v="23"/>
    <s v="Thursday"/>
    <s v="Large (11-20)"/>
    <n v="2.333333333333333"/>
  </r>
  <r>
    <x v="562"/>
    <x v="170"/>
    <x v="24"/>
    <s v="F"/>
    <s v="I0023"/>
    <d v="2026-09-24T17:01:00"/>
    <d v="2026-09-24T17:08:00"/>
    <n v="4"/>
    <n v="7"/>
    <b v="0"/>
    <b v="0"/>
    <b v="0"/>
    <n v="4"/>
    <s v="Low"/>
    <d v="2026-09-24T16:13:00"/>
    <b v="0"/>
    <s v="Home Goods"/>
    <x v="1"/>
    <s v="Bulk"/>
    <s v="Night"/>
    <s v="Experienced"/>
    <s v="Bulk Storage"/>
    <s v="Near"/>
    <n v="16"/>
    <s v="Thursday"/>
    <s v="Small (1-5)"/>
    <n v="1.75"/>
  </r>
  <r>
    <x v="563"/>
    <x v="83"/>
    <x v="0"/>
    <s v="C"/>
    <s v="I0024"/>
    <d v="2026-09-25T16:58:00"/>
    <d v="2026-09-25T17:05:00"/>
    <n v="1"/>
    <n v="7"/>
    <b v="0"/>
    <b v="0"/>
    <b v="0"/>
    <n v="5"/>
    <s v="Urgent"/>
    <d v="2026-09-25T16:48:00"/>
    <b v="0"/>
    <s v="Fragile Goods"/>
    <x v="0"/>
    <s v="Fragile"/>
    <s v="Night"/>
    <s v="Beginner"/>
    <s v="Small Parts"/>
    <s v="Medium"/>
    <n v="16"/>
    <s v="Friday"/>
    <s v="Small (1-5)"/>
    <n v="7"/>
  </r>
  <r>
    <x v="564"/>
    <x v="42"/>
    <x v="0"/>
    <s v="E"/>
    <s v="I0068"/>
    <d v="2026-09-16T23:47:00"/>
    <d v="2026-09-16T23:54:00"/>
    <n v="4"/>
    <n v="7"/>
    <b v="0"/>
    <b v="0"/>
    <b v="0"/>
    <n v="12"/>
    <s v="High"/>
    <m/>
    <b v="0"/>
    <s v="Electronics"/>
    <x v="1"/>
    <s v="Climate-Controlled"/>
    <s v="Night"/>
    <s v="Beginner"/>
    <s v="Fast-Moving"/>
    <s v="Medium"/>
    <m/>
    <m/>
    <s v="Large (11-20)"/>
    <n v="1.75"/>
  </r>
  <r>
    <x v="565"/>
    <x v="215"/>
    <x v="14"/>
    <s v="A"/>
    <s v="I0014"/>
    <d v="2026-09-22T12:26:00"/>
    <d v="2026-09-22T12:33:00"/>
    <n v="4"/>
    <n v="7"/>
    <b v="0"/>
    <b v="0"/>
    <b v="0"/>
    <n v="4"/>
    <s v="High"/>
    <d v="2026-09-22T10:19:00"/>
    <b v="0"/>
    <s v="Unknown"/>
    <x v="1"/>
    <s v="Standard"/>
    <s v="Night"/>
    <s v="Unknown"/>
    <s v="Fast-Moving"/>
    <s v="Near"/>
    <n v="10"/>
    <s v="Tuesday"/>
    <s v="Small (1-5)"/>
    <n v="1.75"/>
  </r>
  <r>
    <x v="566"/>
    <x v="89"/>
    <x v="0"/>
    <s v="F"/>
    <s v="I0047"/>
    <d v="2026-09-25T20:39:00"/>
    <d v="2026-09-25T20:46:00"/>
    <n v="4"/>
    <n v="7"/>
    <b v="0"/>
    <b v="0"/>
    <b v="0"/>
    <n v="4"/>
    <s v="High"/>
    <d v="2026-09-25T19:11:00"/>
    <b v="0"/>
    <s v="Electronics"/>
    <x v="0"/>
    <s v="Unknown"/>
    <s v="Night"/>
    <s v="Beginner"/>
    <s v="Bulk Storage"/>
    <s v="Near"/>
    <n v="19"/>
    <s v="Friday"/>
    <s v="Small (1-5)"/>
    <n v="1.75"/>
  </r>
  <r>
    <x v="567"/>
    <x v="12"/>
    <x v="20"/>
    <s v="E"/>
    <s v="I0071"/>
    <d v="2026-09-23T03:33:00"/>
    <d v="2026-09-23T03:40:00"/>
    <n v="3"/>
    <n v="7"/>
    <b v="0"/>
    <b v="0"/>
    <b v="0"/>
    <n v="4"/>
    <s v="Normal"/>
    <d v="2026-09-23T00:48:00"/>
    <b v="0"/>
    <s v="Bulk Materials"/>
    <x v="2"/>
    <s v="Bulk"/>
    <s v="Night"/>
    <s v="Unknown"/>
    <s v="Fast-Moving"/>
    <s v="Medium"/>
    <n v="0"/>
    <s v="Wednesday"/>
    <s v="Small (1-5)"/>
    <n v="2.333333333333333"/>
  </r>
  <r>
    <x v="568"/>
    <x v="12"/>
    <x v="30"/>
    <s v="B"/>
    <s v="I0047"/>
    <d v="2026-09-23T02:59:00"/>
    <d v="2026-09-23T03:06:00"/>
    <n v="3"/>
    <n v="7"/>
    <b v="0"/>
    <b v="0"/>
    <b v="0"/>
    <n v="4"/>
    <s v="Normal"/>
    <d v="2026-09-23T00:48:00"/>
    <b v="0"/>
    <s v="Electronics"/>
    <x v="0"/>
    <s v="Unknown"/>
    <s v="Night"/>
    <s v="Experienced"/>
    <s v="Bulk Storage"/>
    <s v="Far"/>
    <n v="0"/>
    <s v="Wednesday"/>
    <s v="Small (1-5)"/>
    <n v="2.333333333333333"/>
  </r>
  <r>
    <x v="569"/>
    <x v="167"/>
    <x v="24"/>
    <s v="G"/>
    <s v="I0050"/>
    <d v="2026-09-14T23:51:00"/>
    <d v="2026-09-14T23:58:00"/>
    <n v="2"/>
    <n v="7"/>
    <b v="0"/>
    <b v="0"/>
    <b v="0"/>
    <n v="15"/>
    <s v="High"/>
    <d v="2026-09-14T23:39:00"/>
    <b v="0"/>
    <s v="Home Goods"/>
    <x v="1"/>
    <s v="Bulk"/>
    <s v="Night"/>
    <s v="Experienced"/>
    <s v="Cold Storage"/>
    <s v="Far"/>
    <n v="23"/>
    <s v="Monday"/>
    <s v="Large (11-20)"/>
    <n v="3.5"/>
  </r>
  <r>
    <x v="570"/>
    <x v="20"/>
    <x v="18"/>
    <s v="C"/>
    <s v="I0005"/>
    <d v="2026-09-02T11:10:00"/>
    <d v="2026-09-02T11:17:00"/>
    <n v="4"/>
    <n v="7"/>
    <b v="0"/>
    <b v="0"/>
    <b v="0"/>
    <n v="12"/>
    <s v="High"/>
    <d v="2026-09-02T09:01:00"/>
    <b v="0"/>
    <s v="Apparel"/>
    <x v="0"/>
    <s v="Climate-Controlled"/>
    <s v="Night"/>
    <s v="Intermediate"/>
    <s v="Small Parts"/>
    <s v="Medium"/>
    <n v="9"/>
    <s v="Wednesday"/>
    <s v="Large (11-20)"/>
    <n v="1.75"/>
  </r>
  <r>
    <x v="571"/>
    <x v="20"/>
    <x v="26"/>
    <s v="H"/>
    <s v="I0061"/>
    <d v="2026-09-02T10:18:00"/>
    <d v="2026-09-02T10:25:00"/>
    <n v="2"/>
    <n v="7"/>
    <b v="0"/>
    <b v="0"/>
    <b v="0"/>
    <n v="12"/>
    <s v="High"/>
    <d v="2026-09-02T09:01:00"/>
    <b v="0"/>
    <s v="Home Goods"/>
    <x v="0"/>
    <s v="Climate-Controlled"/>
    <s v="Morning"/>
    <s v="Experienced"/>
    <s v="Small Parts"/>
    <s v="Near"/>
    <n v="9"/>
    <s v="Wednesday"/>
    <s v="Large (11-20)"/>
    <n v="3.5"/>
  </r>
  <r>
    <x v="572"/>
    <x v="20"/>
    <x v="4"/>
    <s v="F"/>
    <s v="I0031"/>
    <d v="2026-09-02T11:30:00"/>
    <d v="2026-09-02T11:37:00"/>
    <n v="3"/>
    <n v="7"/>
    <b v="0"/>
    <b v="0"/>
    <b v="0"/>
    <n v="12"/>
    <s v="High"/>
    <d v="2026-09-02T09:01:00"/>
    <b v="0"/>
    <s v="Unknown"/>
    <x v="2"/>
    <s v="Fragile"/>
    <s v="Night"/>
    <s v="Unknown"/>
    <s v="Bulk Storage"/>
    <s v="Near"/>
    <n v="9"/>
    <s v="Wednesday"/>
    <s v="Large (11-20)"/>
    <n v="2.333333333333333"/>
  </r>
  <r>
    <x v="573"/>
    <x v="21"/>
    <x v="21"/>
    <s v="H"/>
    <s v="I0021"/>
    <d v="2026-09-18T12:55:00"/>
    <d v="2026-09-18T13:02:00"/>
    <n v="7"/>
    <n v="7"/>
    <b v="0"/>
    <b v="0"/>
    <b v="0"/>
    <n v="6"/>
    <s v="Urgent"/>
    <d v="2026-09-18T11:01:00"/>
    <b v="0"/>
    <s v="Apparel"/>
    <x v="0"/>
    <s v="Standard"/>
    <s v="Morning"/>
    <s v="Intermediate"/>
    <s v="Small Parts"/>
    <s v="Near"/>
    <n v="11"/>
    <s v="Friday"/>
    <s v="Medium (6-10)"/>
    <n v="1"/>
  </r>
  <r>
    <x v="574"/>
    <x v="93"/>
    <x v="4"/>
    <s v="A"/>
    <s v="I0025"/>
    <d v="2026-09-28T22:04:00"/>
    <d v="2026-09-28T22:11:00"/>
    <n v="5"/>
    <n v="7"/>
    <b v="0"/>
    <b v="0"/>
    <b v="0"/>
    <n v="8"/>
    <s v="High"/>
    <d v="2026-09-28T19:48:00"/>
    <b v="0"/>
    <s v="Home Goods"/>
    <x v="0"/>
    <s v="Fragile"/>
    <s v="Night"/>
    <s v="Unknown"/>
    <s v="Fast-Moving"/>
    <s v="Near"/>
    <n v="19"/>
    <s v="Monday"/>
    <s v="Medium (6-10)"/>
    <n v="1.4"/>
  </r>
  <r>
    <x v="575"/>
    <x v="140"/>
    <x v="13"/>
    <s v="E"/>
    <s v="I0001"/>
    <d v="2026-09-25T01:59:00"/>
    <d v="2026-09-25T02:06:00"/>
    <n v="5"/>
    <n v="7"/>
    <b v="0"/>
    <b v="0"/>
    <b v="0"/>
    <n v="3"/>
    <s v="High"/>
    <d v="2026-09-25T01:34:00"/>
    <b v="0"/>
    <s v="Fragile Goods"/>
    <x v="0"/>
    <s v="Standard"/>
    <s v="Night"/>
    <s v="Intermediate"/>
    <s v="Fast-Moving"/>
    <s v="Medium"/>
    <n v="1"/>
    <s v="Friday"/>
    <s v="Small (1-5)"/>
    <n v="1.4"/>
  </r>
  <r>
    <x v="576"/>
    <x v="216"/>
    <x v="0"/>
    <s v="A"/>
    <s v="I0045"/>
    <d v="2026-09-19T13:31:00"/>
    <d v="2026-09-19T13:38:00"/>
    <n v="6"/>
    <n v="7"/>
    <b v="0"/>
    <b v="0"/>
    <b v="0"/>
    <n v="3"/>
    <s v="Normal"/>
    <d v="2026-09-19T13:21:00"/>
    <b v="0"/>
    <s v="Apparel"/>
    <x v="2"/>
    <s v="Climate-Controlled"/>
    <s v="Night"/>
    <s v="Beginner"/>
    <s v="Fast-Moving"/>
    <s v="Near"/>
    <n v="13"/>
    <s v="Saturday"/>
    <s v="Small (1-5)"/>
    <n v="1.166666666666667"/>
  </r>
  <r>
    <x v="577"/>
    <x v="216"/>
    <x v="7"/>
    <s v="A"/>
    <s v="I0034"/>
    <d v="2026-09-19T13:34:00"/>
    <d v="2026-09-19T13:41:00"/>
    <n v="2"/>
    <n v="7"/>
    <b v="0"/>
    <b v="0"/>
    <b v="0"/>
    <n v="3"/>
    <s v="Normal"/>
    <d v="2026-09-19T13:21:00"/>
    <b v="0"/>
    <s v="Bulk Materials"/>
    <x v="0"/>
    <s v="Climate-Controlled"/>
    <s v="Morning"/>
    <s v="Beginner"/>
    <s v="Fast-Moving"/>
    <s v="Near"/>
    <n v="13"/>
    <s v="Saturday"/>
    <s v="Small (1-5)"/>
    <n v="3.5"/>
  </r>
  <r>
    <x v="578"/>
    <x v="31"/>
    <x v="19"/>
    <s v="G"/>
    <s v="I0041"/>
    <d v="2026-09-04T13:36:00"/>
    <d v="2026-09-04T13:43:00"/>
    <n v="4"/>
    <n v="7"/>
    <b v="0"/>
    <b v="0"/>
    <b v="0"/>
    <n v="12"/>
    <s v="Normal"/>
    <d v="2026-09-04T12:31:00"/>
    <b v="0"/>
    <s v="Bulk Materials"/>
    <x v="2"/>
    <s v="Bulk"/>
    <s v="Unknown"/>
    <s v="Experienced"/>
    <s v="Cold Storage"/>
    <s v="Far"/>
    <n v="12"/>
    <s v="Friday"/>
    <s v="Large (11-20)"/>
    <n v="1.75"/>
  </r>
  <r>
    <x v="579"/>
    <x v="54"/>
    <x v="28"/>
    <s v="H"/>
    <s v="I0076"/>
    <d v="2026-09-12T15:13:00"/>
    <d v="2026-09-12T15:20:00"/>
    <n v="6"/>
    <n v="7"/>
    <b v="0"/>
    <b v="0"/>
    <b v="0"/>
    <m/>
    <s v="High"/>
    <d v="2026-09-12T13:21:00"/>
    <b v="1"/>
    <s v="Fragile Goods"/>
    <x v="3"/>
    <s v="Climate-Controlled"/>
    <s v="Night"/>
    <s v="Experienced"/>
    <s v="Small Parts"/>
    <s v="Near"/>
    <n v="13"/>
    <s v="Saturday"/>
    <m/>
    <n v="1.166666666666667"/>
  </r>
  <r>
    <x v="580"/>
    <x v="96"/>
    <x v="11"/>
    <s v="B"/>
    <s v="I0010"/>
    <d v="2026-09-27T06:20:00"/>
    <d v="2026-09-27T06:27:00"/>
    <n v="1"/>
    <n v="7"/>
    <b v="0"/>
    <b v="0"/>
    <b v="0"/>
    <n v="6"/>
    <s v="High"/>
    <d v="2026-09-27T03:37:00"/>
    <b v="0"/>
    <s v="Fragile Goods"/>
    <x v="1"/>
    <s v="Standard"/>
    <s v="Night"/>
    <s v="Intermediate"/>
    <s v="Bulk Storage"/>
    <s v="Far"/>
    <n v="3"/>
    <s v="Sunday"/>
    <s v="Medium (6-10)"/>
    <n v="7"/>
  </r>
  <r>
    <x v="581"/>
    <x v="80"/>
    <x v="20"/>
    <s v="C"/>
    <s v="I0055"/>
    <d v="2026-09-06T14:06:00"/>
    <d v="2026-09-06T14:13:00"/>
    <n v="1"/>
    <n v="7"/>
    <b v="0"/>
    <b v="0"/>
    <b v="0"/>
    <n v="8"/>
    <s v="Urgent"/>
    <d v="2026-09-06T12:13:00"/>
    <b v="0"/>
    <s v="Fragile Goods"/>
    <x v="1"/>
    <s v="Climate-Controlled"/>
    <s v="Night"/>
    <s v="Unknown"/>
    <s v="Small Parts"/>
    <s v="Medium"/>
    <n v="12"/>
    <s v="Sunday"/>
    <s v="Medium (6-10)"/>
    <n v="7"/>
  </r>
  <r>
    <x v="582"/>
    <x v="67"/>
    <x v="0"/>
    <s v="F"/>
    <s v="I0034"/>
    <d v="2026-09-05T18:19:00"/>
    <d v="2026-09-05T18:26:00"/>
    <n v="6"/>
    <n v="7"/>
    <b v="0"/>
    <b v="0"/>
    <b v="0"/>
    <n v="6"/>
    <s v="High"/>
    <m/>
    <b v="0"/>
    <s v="Bulk Materials"/>
    <x v="0"/>
    <s v="Climate-Controlled"/>
    <s v="Night"/>
    <s v="Beginner"/>
    <s v="Bulk Storage"/>
    <s v="Near"/>
    <m/>
    <m/>
    <s v="Medium (6-10)"/>
    <n v="1.166666666666667"/>
  </r>
  <r>
    <x v="583"/>
    <x v="217"/>
    <x v="23"/>
    <s v="C"/>
    <s v="I0075"/>
    <d v="2026-09-22T14:19:00"/>
    <d v="2026-09-22T14:26:00"/>
    <n v="7"/>
    <n v="7"/>
    <b v="0"/>
    <b v="0"/>
    <b v="0"/>
    <n v="5"/>
    <s v="Normal"/>
    <d v="2026-09-22T12:15:00"/>
    <b v="0"/>
    <s v="Fragile Goods"/>
    <x v="0"/>
    <s v="Standard"/>
    <s v="Evening"/>
    <s v="Intermediate"/>
    <s v="Small Parts"/>
    <s v="Medium"/>
    <n v="12"/>
    <s v="Tuesday"/>
    <s v="Small (1-5)"/>
    <n v="1"/>
  </r>
  <r>
    <x v="584"/>
    <x v="72"/>
    <x v="23"/>
    <s v="A"/>
    <s v="I0028"/>
    <d v="2026-09-17T14:02:00"/>
    <d v="2026-09-17T14:09:00"/>
    <n v="7"/>
    <n v="7"/>
    <b v="0"/>
    <b v="0"/>
    <b v="0"/>
    <n v="20"/>
    <s v="High"/>
    <d v="2026-09-17T12:47:00"/>
    <b v="0"/>
    <s v="Fragile Goods"/>
    <x v="1"/>
    <s v="Standard"/>
    <s v="Evening"/>
    <s v="Intermediate"/>
    <s v="Fast-Moving"/>
    <s v="Near"/>
    <n v="12"/>
    <s v="Thursday"/>
    <s v="Large (11-20)"/>
    <n v="1"/>
  </r>
  <r>
    <x v="585"/>
    <x v="88"/>
    <x v="11"/>
    <s v="H"/>
    <s v="I0075"/>
    <d v="2026-09-22T15:42:00"/>
    <d v="2026-09-22T15:49:00"/>
    <n v="7"/>
    <n v="7"/>
    <b v="0"/>
    <b v="0"/>
    <b v="0"/>
    <n v="6"/>
    <s v="Normal"/>
    <d v="2026-09-22T13:03:00"/>
    <b v="0"/>
    <s v="Fragile Goods"/>
    <x v="0"/>
    <s v="Standard"/>
    <s v="Night"/>
    <s v="Intermediate"/>
    <s v="Small Parts"/>
    <s v="Near"/>
    <n v="13"/>
    <s v="Tuesday"/>
    <s v="Medium (6-10)"/>
    <n v="1"/>
  </r>
  <r>
    <x v="586"/>
    <x v="131"/>
    <x v="16"/>
    <s v="H"/>
    <s v="I0047"/>
    <d v="2026-09-13T11:58:00"/>
    <d v="2026-09-13T12:05:00"/>
    <n v="4"/>
    <n v="7"/>
    <b v="0"/>
    <b v="0"/>
    <b v="0"/>
    <n v="15"/>
    <s v="Urgent"/>
    <d v="2026-09-13T09:26:00"/>
    <b v="0"/>
    <s v="Electronics"/>
    <x v="0"/>
    <s v="Unknown"/>
    <s v="Night"/>
    <s v="Intermediate"/>
    <s v="Small Parts"/>
    <s v="Near"/>
    <n v="9"/>
    <s v="Sunday"/>
    <s v="Large (11-20)"/>
    <n v="1.75"/>
  </r>
  <r>
    <x v="587"/>
    <x v="73"/>
    <x v="25"/>
    <s v="C"/>
    <s v="I0059"/>
    <d v="2026-09-25T09:03:00"/>
    <d v="2026-09-25T09:10:00"/>
    <n v="4"/>
    <n v="7"/>
    <b v="0"/>
    <b v="0"/>
    <b v="0"/>
    <n v="15"/>
    <s v="Normal"/>
    <d v="2026-09-25T07:16:00"/>
    <b v="0"/>
    <s v="Electronics"/>
    <x v="1"/>
    <s v="Bulk"/>
    <s v="Night"/>
    <s v="Experienced"/>
    <s v="Small Parts"/>
    <s v="Medium"/>
    <n v="7"/>
    <s v="Friday"/>
    <s v="Large (11-20)"/>
    <n v="1.75"/>
  </r>
  <r>
    <x v="588"/>
    <x v="218"/>
    <x v="0"/>
    <s v="H"/>
    <s v="I0069"/>
    <d v="2026-09-15T07:03:00"/>
    <d v="2026-09-15T07:10:00"/>
    <n v="1"/>
    <n v="7"/>
    <b v="0"/>
    <b v="0"/>
    <b v="0"/>
    <n v="4"/>
    <s v="Normal"/>
    <d v="2026-09-15T04:17:00"/>
    <b v="0"/>
    <s v="Electronics"/>
    <x v="2"/>
    <s v="Climate-Controlled"/>
    <s v="Night"/>
    <s v="Beginner"/>
    <s v="Small Parts"/>
    <s v="Near"/>
    <n v="4"/>
    <s v="Tuesday"/>
    <s v="Small (1-5)"/>
    <n v="7"/>
  </r>
  <r>
    <x v="589"/>
    <x v="61"/>
    <x v="10"/>
    <s v="E"/>
    <s v="I0079"/>
    <d v="2026-09-19T01:25:00"/>
    <d v="2026-09-19T01:32:00"/>
    <n v="5"/>
    <n v="7"/>
    <b v="0"/>
    <b v="0"/>
    <b v="0"/>
    <n v="8"/>
    <s v="Normal"/>
    <d v="2026-09-18T22:53:00"/>
    <b v="0"/>
    <s v="Fragile Goods"/>
    <x v="0"/>
    <s v="Bulk"/>
    <s v="Night"/>
    <s v="Unknown"/>
    <s v="Fast-Moving"/>
    <s v="Medium"/>
    <n v="22"/>
    <s v="Friday"/>
    <s v="Medium (6-10)"/>
    <n v="1.4"/>
  </r>
  <r>
    <x v="590"/>
    <x v="61"/>
    <x v="16"/>
    <s v="G"/>
    <s v="I0002"/>
    <d v="2026-09-19T00:10:00"/>
    <d v="2026-09-19T00:17:00"/>
    <n v="1"/>
    <n v="7"/>
    <b v="0"/>
    <b v="0"/>
    <b v="0"/>
    <n v="8"/>
    <s v="Normal"/>
    <d v="2026-09-18T22:53:00"/>
    <b v="0"/>
    <s v="Small Parts"/>
    <x v="0"/>
    <s v="Fragile"/>
    <s v="Night"/>
    <s v="Intermediate"/>
    <s v="Cold Storage"/>
    <s v="Far"/>
    <n v="22"/>
    <s v="Friday"/>
    <s v="Medium (6-10)"/>
    <n v="7"/>
  </r>
  <r>
    <x v="591"/>
    <x v="2"/>
    <x v="27"/>
    <s v="G"/>
    <s v="I0026"/>
    <d v="2026-09-04T16:21:00"/>
    <d v="2026-09-04T16:28:00"/>
    <n v="5"/>
    <n v="7"/>
    <b v="0"/>
    <b v="0"/>
    <b v="0"/>
    <n v="15"/>
    <s v="Normal"/>
    <d v="2026-09-04T15:51:00"/>
    <b v="0"/>
    <s v="Bulk Materials"/>
    <x v="0"/>
    <s v="Climate-Controlled"/>
    <s v="Night"/>
    <s v="Experienced"/>
    <s v="Cold Storage"/>
    <s v="Far"/>
    <n v="15"/>
    <s v="Friday"/>
    <s v="Large (11-20)"/>
    <n v="1.4"/>
  </r>
  <r>
    <x v="592"/>
    <x v="202"/>
    <x v="17"/>
    <s v="H"/>
    <s v="I0023"/>
    <d v="2026-09-23T02:26:00"/>
    <d v="2026-09-23T02:33:00"/>
    <n v="5"/>
    <n v="7"/>
    <b v="0"/>
    <b v="0"/>
    <b v="0"/>
    <n v="5"/>
    <s v="Low"/>
    <d v="2026-09-23T01:52:00"/>
    <b v="0"/>
    <s v="Home Goods"/>
    <x v="1"/>
    <s v="Bulk"/>
    <s v="Night"/>
    <s v="Intermediate"/>
    <s v="Small Parts"/>
    <s v="Near"/>
    <n v="1"/>
    <s v="Wednesday"/>
    <s v="Small (1-5)"/>
    <n v="1.4"/>
  </r>
  <r>
    <x v="593"/>
    <x v="1"/>
    <x v="4"/>
    <s v="C"/>
    <s v="I0060"/>
    <d v="2026-09-20T20:29:00"/>
    <d v="2026-09-20T20:36:00"/>
    <n v="1"/>
    <n v="7"/>
    <b v="0"/>
    <b v="0"/>
    <b v="0"/>
    <n v="6"/>
    <s v="High"/>
    <d v="2026-09-20T18:02:00"/>
    <b v="0"/>
    <s v="Small Parts"/>
    <x v="2"/>
    <s v="Climate-Controlled"/>
    <s v="Night"/>
    <s v="Unknown"/>
    <s v="Small Parts"/>
    <s v="Medium"/>
    <n v="18"/>
    <s v="Sunday"/>
    <s v="Medium (6-10)"/>
    <n v="7"/>
  </r>
  <r>
    <x v="594"/>
    <x v="118"/>
    <x v="12"/>
    <s v="E"/>
    <s v="I0078"/>
    <d v="2026-09-12T07:39:00"/>
    <d v="2026-09-12T07:46:00"/>
    <n v="6"/>
    <n v="7"/>
    <b v="0"/>
    <b v="0"/>
    <b v="0"/>
    <n v="8"/>
    <s v="High"/>
    <d v="2026-09-12T04:59:00"/>
    <b v="0"/>
    <s v="Apparel"/>
    <x v="1"/>
    <s v="Climate-Controlled"/>
    <s v="Unknown"/>
    <s v="Intermediate"/>
    <s v="Fast-Moving"/>
    <s v="Medium"/>
    <n v="4"/>
    <s v="Saturday"/>
    <s v="Medium (6-10)"/>
    <n v="1.166666666666667"/>
  </r>
  <r>
    <x v="595"/>
    <x v="118"/>
    <x v="5"/>
    <s v="C"/>
    <s v="I0040"/>
    <d v="2026-09-12T05:03:00"/>
    <d v="2026-09-12T05:10:00"/>
    <n v="4"/>
    <n v="7"/>
    <b v="0"/>
    <b v="0"/>
    <b v="0"/>
    <n v="8"/>
    <s v="High"/>
    <d v="2026-09-12T04:59:00"/>
    <b v="0"/>
    <s v="Unknown"/>
    <x v="1"/>
    <s v="Standard"/>
    <s v="Unknown"/>
    <s v="Beginner"/>
    <s v="Small Parts"/>
    <s v="Medium"/>
    <n v="4"/>
    <s v="Saturday"/>
    <s v="Medium (6-10)"/>
    <n v="1.75"/>
  </r>
  <r>
    <x v="596"/>
    <x v="162"/>
    <x v="25"/>
    <s v="F"/>
    <s v="I0014"/>
    <d v="2026-09-24T01:23:00"/>
    <d v="2026-09-24T01:30:00"/>
    <n v="1"/>
    <n v="7"/>
    <b v="0"/>
    <b v="0"/>
    <b v="0"/>
    <n v="12"/>
    <s v="Normal"/>
    <d v="2026-09-24T01:08:00"/>
    <b v="0"/>
    <s v="Unknown"/>
    <x v="1"/>
    <s v="Standard"/>
    <s v="Night"/>
    <s v="Experienced"/>
    <s v="Bulk Storage"/>
    <s v="Near"/>
    <n v="1"/>
    <s v="Thursday"/>
    <s v="Large (11-20)"/>
    <n v="7"/>
  </r>
  <r>
    <x v="597"/>
    <x v="7"/>
    <x v="29"/>
    <s v="B"/>
    <s v="I0019"/>
    <d v="2026-09-09T13:13:00"/>
    <d v="2026-09-09T13:20:00"/>
    <n v="4"/>
    <n v="7"/>
    <b v="0"/>
    <b v="0"/>
    <b v="0"/>
    <n v="10"/>
    <s v="Urgent"/>
    <d v="2026-09-09T12:46:00"/>
    <b v="0"/>
    <s v="Fragile Goods"/>
    <x v="1"/>
    <s v="Bulk"/>
    <s v="Morning"/>
    <s v="Experienced"/>
    <s v="Bulk Storage"/>
    <s v="Far"/>
    <n v="12"/>
    <s v="Wednesday"/>
    <s v="Medium (6-10)"/>
    <n v="1.75"/>
  </r>
  <r>
    <x v="598"/>
    <x v="7"/>
    <x v="17"/>
    <s v="C"/>
    <s v="I0059"/>
    <d v="2026-09-09T13:46:00"/>
    <d v="2026-09-09T13:53:00"/>
    <n v="1"/>
    <n v="7"/>
    <b v="0"/>
    <b v="0"/>
    <b v="0"/>
    <n v="10"/>
    <s v="Urgent"/>
    <d v="2026-09-09T12:46:00"/>
    <b v="0"/>
    <s v="Electronics"/>
    <x v="1"/>
    <s v="Bulk"/>
    <s v="Night"/>
    <s v="Intermediate"/>
    <s v="Small Parts"/>
    <s v="Medium"/>
    <n v="12"/>
    <s v="Wednesday"/>
    <s v="Medium (6-10)"/>
    <n v="7"/>
  </r>
  <r>
    <x v="599"/>
    <x v="199"/>
    <x v="22"/>
    <s v="C"/>
    <s v="I0079"/>
    <d v="2026-09-07T17:23:00"/>
    <d v="2026-09-07T17:30:00"/>
    <n v="3"/>
    <n v="7"/>
    <b v="0"/>
    <b v="0"/>
    <b v="0"/>
    <n v="3"/>
    <s v="High"/>
    <d v="2026-09-07T14:40:00"/>
    <b v="0"/>
    <s v="Fragile Goods"/>
    <x v="0"/>
    <s v="Bulk"/>
    <s v="Unknown"/>
    <s v="Unknown"/>
    <s v="Small Parts"/>
    <s v="Medium"/>
    <n v="14"/>
    <s v="Monday"/>
    <s v="Small (1-5)"/>
    <n v="2.333333333333333"/>
  </r>
  <r>
    <x v="600"/>
    <x v="219"/>
    <x v="13"/>
    <s v="H"/>
    <s v="I0020"/>
    <d v="2026-09-12T16:46:00"/>
    <d v="2026-09-12T16:53:00"/>
    <n v="6"/>
    <n v="7"/>
    <b v="0"/>
    <b v="0"/>
    <b v="0"/>
    <n v="1"/>
    <s v="Normal"/>
    <d v="2026-09-12T15:17:00"/>
    <b v="0"/>
    <s v="Apparel"/>
    <x v="0"/>
    <s v="Bulk"/>
    <s v="Night"/>
    <s v="Intermediate"/>
    <s v="Small Parts"/>
    <s v="Near"/>
    <n v="15"/>
    <s v="Saturday"/>
    <s v="Small (1-5)"/>
    <n v="1.166666666666667"/>
  </r>
  <r>
    <x v="601"/>
    <x v="187"/>
    <x v="9"/>
    <s v="H"/>
    <s v="I0056"/>
    <d v="2026-09-18T07:48:00"/>
    <d v="2026-09-18T07:55:00"/>
    <n v="6"/>
    <n v="7"/>
    <b v="0"/>
    <b v="0"/>
    <b v="0"/>
    <n v="20"/>
    <s v="High"/>
    <d v="2026-09-18T07:26:00"/>
    <b v="0"/>
    <s v="Apparel"/>
    <x v="1"/>
    <s v="Fragile"/>
    <s v="Unknown"/>
    <s v="Intermediate"/>
    <s v="Small Parts"/>
    <s v="Near"/>
    <n v="7"/>
    <s v="Friday"/>
    <s v="Large (11-20)"/>
    <n v="1.166666666666667"/>
  </r>
  <r>
    <x v="602"/>
    <x v="92"/>
    <x v="13"/>
    <s v="C"/>
    <s v="I0061"/>
    <d v="2026-09-23T22:39:00"/>
    <d v="2026-09-23T22:46:00"/>
    <n v="5"/>
    <n v="7"/>
    <b v="0"/>
    <b v="0"/>
    <b v="0"/>
    <n v="6"/>
    <s v="Normal"/>
    <d v="2026-09-23T20:11:00"/>
    <b v="0"/>
    <s v="Home Goods"/>
    <x v="0"/>
    <s v="Climate-Controlled"/>
    <s v="Night"/>
    <s v="Intermediate"/>
    <s v="Small Parts"/>
    <s v="Medium"/>
    <n v="20"/>
    <s v="Wednesday"/>
    <s v="Medium (6-10)"/>
    <n v="1.4"/>
  </r>
  <r>
    <x v="603"/>
    <x v="220"/>
    <x v="10"/>
    <s v="C"/>
    <s v="I0005"/>
    <d v="2026-09-13T17:47:00"/>
    <d v="2026-09-13T17:54:00"/>
    <n v="2"/>
    <n v="7"/>
    <b v="0"/>
    <b v="0"/>
    <b v="0"/>
    <n v="1"/>
    <s v="Low"/>
    <m/>
    <b v="0"/>
    <s v="Apparel"/>
    <x v="0"/>
    <s v="Climate-Controlled"/>
    <s v="Night"/>
    <s v="Unknown"/>
    <s v="Small Parts"/>
    <s v="Medium"/>
    <m/>
    <m/>
    <s v="Small (1-5)"/>
    <n v="3.5"/>
  </r>
  <r>
    <x v="604"/>
    <x v="198"/>
    <x v="13"/>
    <s v="A"/>
    <s v="I0048"/>
    <d v="2026-09-11T09:28:00"/>
    <d v="2026-09-11T09:35:00"/>
    <n v="6"/>
    <n v="7"/>
    <b v="0"/>
    <b v="0"/>
    <b v="0"/>
    <n v="3"/>
    <s v="Normal"/>
    <d v="2026-09-11T07:53:00"/>
    <b v="0"/>
    <s v="Electronics"/>
    <x v="2"/>
    <s v="Standard"/>
    <s v="Night"/>
    <s v="Intermediate"/>
    <s v="Fast-Moving"/>
    <s v="Near"/>
    <n v="7"/>
    <s v="Friday"/>
    <s v="Small (1-5)"/>
    <n v="1.166666666666667"/>
  </r>
  <r>
    <x v="605"/>
    <x v="47"/>
    <x v="23"/>
    <s v="C"/>
    <s v="I0057"/>
    <d v="2026-09-21T05:24:00"/>
    <d v="2026-09-21T05:31:00"/>
    <n v="2"/>
    <n v="7"/>
    <b v="0"/>
    <b v="0"/>
    <b v="0"/>
    <n v="20"/>
    <s v="Urgent"/>
    <d v="2026-09-21T03:14:00"/>
    <b v="0"/>
    <s v="Apparel"/>
    <x v="1"/>
    <s v="Bulk"/>
    <s v="Evening"/>
    <s v="Intermediate"/>
    <s v="Small Parts"/>
    <s v="Medium"/>
    <n v="3"/>
    <s v="Monday"/>
    <s v="Large (11-20)"/>
    <n v="3.5"/>
  </r>
  <r>
    <x v="606"/>
    <x v="47"/>
    <x v="20"/>
    <s v="G"/>
    <s v="I0025"/>
    <d v="2026-09-21T03:48:00"/>
    <d v="2026-09-21T03:55:00"/>
    <n v="1"/>
    <n v="7"/>
    <b v="0"/>
    <b v="0"/>
    <b v="0"/>
    <n v="20"/>
    <s v="Urgent"/>
    <d v="2026-09-21T03:14:00"/>
    <b v="0"/>
    <s v="Home Goods"/>
    <x v="0"/>
    <s v="Fragile"/>
    <s v="Night"/>
    <s v="Unknown"/>
    <s v="Cold Storage"/>
    <s v="Far"/>
    <n v="3"/>
    <s v="Monday"/>
    <s v="Large (11-20)"/>
    <n v="7"/>
  </r>
  <r>
    <x v="607"/>
    <x v="47"/>
    <x v="27"/>
    <s v="G"/>
    <s v="I0037"/>
    <d v="2026-09-21T03:51:00"/>
    <d v="2026-09-21T03:58:00"/>
    <n v="1"/>
    <n v="7"/>
    <b v="0"/>
    <b v="0"/>
    <b v="0"/>
    <n v="20"/>
    <s v="Urgent"/>
    <d v="2026-09-21T03:14:00"/>
    <b v="0"/>
    <s v="Electronics"/>
    <x v="1"/>
    <s v="Climate-Controlled"/>
    <s v="Night"/>
    <s v="Experienced"/>
    <s v="Cold Storage"/>
    <s v="Far"/>
    <n v="3"/>
    <s v="Monday"/>
    <s v="Large (11-20)"/>
    <n v="7"/>
  </r>
  <r>
    <x v="608"/>
    <x v="64"/>
    <x v="2"/>
    <s v="C"/>
    <s v="I0008"/>
    <d v="2026-09-19T17:20:00"/>
    <d v="2026-09-19T17:27:00"/>
    <n v="2"/>
    <n v="7"/>
    <b v="0"/>
    <b v="0"/>
    <b v="0"/>
    <n v="20"/>
    <s v="Low"/>
    <d v="2026-09-19T14:23:00"/>
    <b v="0"/>
    <s v="Bulk Materials"/>
    <x v="0"/>
    <s v="Unknown"/>
    <s v="Evening"/>
    <s v="Beginner"/>
    <s v="Small Parts"/>
    <s v="Medium"/>
    <n v="14"/>
    <s v="Saturday"/>
    <s v="Large (11-20)"/>
    <n v="3.5"/>
  </r>
  <r>
    <x v="609"/>
    <x v="131"/>
    <x v="12"/>
    <s v="F"/>
    <s v="I0011"/>
    <d v="2026-09-13T10:48:00"/>
    <d v="2026-09-13T10:55:00"/>
    <n v="7"/>
    <n v="7"/>
    <b v="0"/>
    <b v="0"/>
    <b v="0"/>
    <n v="15"/>
    <s v="Urgent"/>
    <d v="2026-09-13T09:26:00"/>
    <b v="0"/>
    <s v="Fragile Goods"/>
    <x v="1"/>
    <s v="Climate-Controlled"/>
    <s v="Unknown"/>
    <s v="Intermediate"/>
    <s v="Bulk Storage"/>
    <s v="Near"/>
    <n v="9"/>
    <s v="Sunday"/>
    <s v="Large (11-20)"/>
    <n v="1"/>
  </r>
  <r>
    <x v="610"/>
    <x v="138"/>
    <x v="4"/>
    <s v="E"/>
    <s v="I0038"/>
    <d v="2026-09-02T05:59:00"/>
    <d v="2026-09-02T06:06:00"/>
    <n v="2"/>
    <n v="7"/>
    <b v="0"/>
    <b v="0"/>
    <b v="0"/>
    <n v="8"/>
    <s v="High"/>
    <d v="2026-09-02T05:13:00"/>
    <b v="0"/>
    <s v="Small Parts"/>
    <x v="0"/>
    <s v="Unknown"/>
    <s v="Night"/>
    <s v="Unknown"/>
    <s v="Fast-Moving"/>
    <s v="Medium"/>
    <n v="5"/>
    <s v="Wednesday"/>
    <s v="Medium (6-10)"/>
    <n v="3.5"/>
  </r>
  <r>
    <x v="611"/>
    <x v="158"/>
    <x v="14"/>
    <s v="F"/>
    <s v="I0012"/>
    <d v="2026-09-02T23:01:00"/>
    <d v="2026-09-02T23:08:00"/>
    <n v="2"/>
    <n v="7"/>
    <b v="0"/>
    <b v="0"/>
    <b v="0"/>
    <n v="6"/>
    <s v="Normal"/>
    <d v="2026-09-02T21:08:00"/>
    <b v="0"/>
    <s v="Unknown"/>
    <x v="2"/>
    <s v="Bulk"/>
    <s v="Night"/>
    <s v="Unknown"/>
    <s v="Bulk Storage"/>
    <s v="Near"/>
    <n v="21"/>
    <s v="Wednesday"/>
    <s v="Medium (6-10)"/>
    <n v="3.5"/>
  </r>
  <r>
    <x v="612"/>
    <x v="28"/>
    <x v="10"/>
    <s v="E"/>
    <s v="I0051"/>
    <d v="2026-09-22T04:51:00"/>
    <d v="2026-09-22T04:58:00"/>
    <n v="1"/>
    <n v="7"/>
    <b v="0"/>
    <b v="0"/>
    <b v="0"/>
    <n v="12"/>
    <s v="Unknown"/>
    <d v="2026-09-22T01:56:00"/>
    <b v="0"/>
    <s v="Home Goods"/>
    <x v="1"/>
    <s v="Fragile"/>
    <s v="Night"/>
    <s v="Unknown"/>
    <s v="Fast-Moving"/>
    <s v="Medium"/>
    <n v="1"/>
    <s v="Tuesday"/>
    <s v="Large (11-20)"/>
    <n v="7"/>
  </r>
  <r>
    <x v="613"/>
    <x v="221"/>
    <x v="25"/>
    <s v="H"/>
    <s v="I0052"/>
    <d v="2026-09-17T00:28:00"/>
    <d v="2026-09-17T00:35:00"/>
    <n v="7"/>
    <n v="7"/>
    <b v="0"/>
    <b v="0"/>
    <b v="0"/>
    <n v="2"/>
    <s v="Low"/>
    <d v="2026-09-16T23:19:00"/>
    <b v="0"/>
    <s v="Bulk Materials"/>
    <x v="3"/>
    <s v="Bulk"/>
    <s v="Night"/>
    <s v="Experienced"/>
    <s v="Small Parts"/>
    <s v="Near"/>
    <n v="23"/>
    <s v="Wednesday"/>
    <s v="Small (1-5)"/>
    <n v="1"/>
  </r>
  <r>
    <x v="614"/>
    <x v="139"/>
    <x v="19"/>
    <s v="H"/>
    <s v="I0077"/>
    <d v="2026-09-13T08:22:00"/>
    <d v="2026-09-13T08:29:00"/>
    <n v="3"/>
    <n v="7"/>
    <b v="0"/>
    <b v="0"/>
    <b v="0"/>
    <n v="10"/>
    <s v="High"/>
    <d v="2026-09-13T05:29:00"/>
    <b v="0"/>
    <s v="Bulk Materials"/>
    <x v="0"/>
    <s v="Unknown"/>
    <s v="Unknown"/>
    <s v="Experienced"/>
    <s v="Small Parts"/>
    <s v="Near"/>
    <n v="5"/>
    <s v="Sunday"/>
    <s v="Medium (6-10)"/>
    <n v="2.333333333333333"/>
  </r>
  <r>
    <x v="615"/>
    <x v="194"/>
    <x v="31"/>
    <s v="C"/>
    <s v="I0009"/>
    <d v="2026-09-26T09:13:00"/>
    <d v="2026-09-26T09:20:00"/>
    <n v="4"/>
    <n v="7"/>
    <b v="0"/>
    <b v="0"/>
    <b v="0"/>
    <n v="5"/>
    <s v="Normal"/>
    <d v="2026-09-26T06:39:00"/>
    <b v="0"/>
    <s v="Bulk Materials"/>
    <x v="0"/>
    <s v="Fragile"/>
    <s v="Morning"/>
    <s v="Experienced"/>
    <s v="Small Parts"/>
    <s v="Medium"/>
    <n v="6"/>
    <s v="Saturday"/>
    <s v="Small (1-5)"/>
    <n v="1.75"/>
  </r>
  <r>
    <x v="616"/>
    <x v="222"/>
    <x v="8"/>
    <s v="F"/>
    <s v="I0019"/>
    <d v="2026-09-27T01:39:00"/>
    <d v="2026-09-27T01:46:00"/>
    <n v="6"/>
    <n v="7"/>
    <b v="0"/>
    <b v="0"/>
    <b v="0"/>
    <n v="6"/>
    <s v="Low"/>
    <d v="2026-09-26T23:07:00"/>
    <b v="0"/>
    <s v="Fragile Goods"/>
    <x v="1"/>
    <s v="Bulk"/>
    <s v="Evening"/>
    <s v="Unknown"/>
    <s v="Bulk Storage"/>
    <s v="Near"/>
    <n v="23"/>
    <s v="Saturday"/>
    <s v="Medium (6-10)"/>
    <n v="1.166666666666667"/>
  </r>
  <r>
    <x v="617"/>
    <x v="193"/>
    <x v="30"/>
    <s v="F"/>
    <s v="I0017"/>
    <d v="2026-09-11T00:32:00"/>
    <d v="2026-09-11T00:39:00"/>
    <n v="7"/>
    <n v="7"/>
    <b v="0"/>
    <b v="0"/>
    <b v="0"/>
    <n v="6"/>
    <s v="Urgent"/>
    <d v="2026-09-10T23:11:00"/>
    <b v="0"/>
    <s v="Bulk Materials"/>
    <x v="1"/>
    <s v="Bulk"/>
    <s v="Night"/>
    <s v="Experienced"/>
    <s v="Bulk Storage"/>
    <s v="Near"/>
    <n v="23"/>
    <s v="Thursday"/>
    <s v="Medium (6-10)"/>
    <n v="1"/>
  </r>
  <r>
    <x v="618"/>
    <x v="192"/>
    <x v="27"/>
    <s v="G"/>
    <s v="I0042"/>
    <d v="2026-09-10T10:16:00"/>
    <d v="2026-09-10T10:23:00"/>
    <n v="2"/>
    <n v="7"/>
    <b v="0"/>
    <b v="0"/>
    <b v="0"/>
    <n v="3"/>
    <s v="Urgent"/>
    <d v="2026-09-10T10:06:00"/>
    <b v="0"/>
    <s v="Electronics"/>
    <x v="1"/>
    <s v="Standard"/>
    <s v="Night"/>
    <s v="Experienced"/>
    <s v="Cold Storage"/>
    <s v="Far"/>
    <n v="10"/>
    <s v="Thursday"/>
    <s v="Small (1-5)"/>
    <n v="3.5"/>
  </r>
  <r>
    <x v="619"/>
    <x v="192"/>
    <x v="7"/>
    <s v="E"/>
    <s v="I0063"/>
    <d v="2026-09-10T10:50:00"/>
    <d v="2026-09-10T10:57:00"/>
    <n v="2"/>
    <n v="7"/>
    <b v="0"/>
    <b v="0"/>
    <b v="0"/>
    <n v="3"/>
    <s v="Urgent"/>
    <d v="2026-09-10T10:06:00"/>
    <b v="0"/>
    <s v="Home Goods"/>
    <x v="2"/>
    <s v="Fragile"/>
    <s v="Morning"/>
    <s v="Beginner"/>
    <s v="Fast-Moving"/>
    <s v="Medium"/>
    <n v="10"/>
    <s v="Thursday"/>
    <s v="Small (1-5)"/>
    <n v="3.5"/>
  </r>
  <r>
    <x v="620"/>
    <x v="150"/>
    <x v="4"/>
    <s v="H"/>
    <s v="I0079"/>
    <d v="2026-09-26T17:10:00"/>
    <d v="2026-09-26T17:17:00"/>
    <n v="3"/>
    <n v="7"/>
    <b v="0"/>
    <b v="0"/>
    <b v="0"/>
    <n v="4"/>
    <s v="Normal"/>
    <d v="2026-09-26T17:00:00"/>
    <b v="0"/>
    <s v="Fragile Goods"/>
    <x v="0"/>
    <s v="Bulk"/>
    <s v="Night"/>
    <s v="Unknown"/>
    <s v="Small Parts"/>
    <s v="Near"/>
    <n v="17"/>
    <s v="Saturday"/>
    <s v="Small (1-5)"/>
    <n v="2.333333333333333"/>
  </r>
  <r>
    <x v="621"/>
    <x v="222"/>
    <x v="11"/>
    <s v="C"/>
    <s v="I0029"/>
    <d v="2026-09-26T23:21:00"/>
    <d v="2026-09-26T23:28:00"/>
    <n v="1"/>
    <n v="7"/>
    <b v="0"/>
    <b v="0"/>
    <b v="0"/>
    <n v="6"/>
    <s v="Low"/>
    <d v="2026-09-26T23:07:00"/>
    <b v="0"/>
    <s v="Small Parts"/>
    <x v="1"/>
    <s v="Standard"/>
    <s v="Night"/>
    <s v="Intermediate"/>
    <s v="Small Parts"/>
    <s v="Medium"/>
    <n v="23"/>
    <s v="Saturday"/>
    <s v="Medium (6-10)"/>
    <n v="7"/>
  </r>
  <r>
    <x v="622"/>
    <x v="114"/>
    <x v="1"/>
    <s v="H"/>
    <s v="I0060"/>
    <d v="2026-09-02T17:53:00"/>
    <d v="2026-09-02T18:00:00"/>
    <n v="5"/>
    <n v="7"/>
    <b v="0"/>
    <b v="0"/>
    <b v="0"/>
    <n v="10"/>
    <s v="Urgent"/>
    <d v="2026-09-02T17:25:00"/>
    <b v="0"/>
    <s v="Small Parts"/>
    <x v="2"/>
    <s v="Climate-Controlled"/>
    <s v="Night"/>
    <s v="Beginner"/>
    <s v="Small Parts"/>
    <s v="Near"/>
    <n v="17"/>
    <s v="Wednesday"/>
    <s v="Medium (6-10)"/>
    <n v="1.4"/>
  </r>
  <r>
    <x v="623"/>
    <x v="114"/>
    <x v="10"/>
    <s v="E"/>
    <s v="I0007"/>
    <d v="2026-09-02T19:47:00"/>
    <d v="2026-09-02T19:54:00"/>
    <n v="7"/>
    <n v="7"/>
    <b v="0"/>
    <b v="0"/>
    <b v="0"/>
    <n v="10"/>
    <s v="Urgent"/>
    <d v="2026-09-02T17:25:00"/>
    <b v="0"/>
    <s v="Small Parts"/>
    <x v="1"/>
    <s v="Fragile"/>
    <s v="Night"/>
    <s v="Unknown"/>
    <s v="Fast-Moving"/>
    <s v="Medium"/>
    <n v="17"/>
    <s v="Wednesday"/>
    <s v="Medium (6-10)"/>
    <n v="1"/>
  </r>
  <r>
    <x v="624"/>
    <x v="114"/>
    <x v="25"/>
    <s v="F"/>
    <s v="I0078"/>
    <d v="2026-09-02T19:17:00"/>
    <d v="2026-09-02T19:24:00"/>
    <n v="7"/>
    <n v="7"/>
    <b v="0"/>
    <b v="0"/>
    <b v="0"/>
    <n v="10"/>
    <s v="Urgent"/>
    <d v="2026-09-02T17:25:00"/>
    <b v="0"/>
    <s v="Apparel"/>
    <x v="1"/>
    <s v="Climate-Controlled"/>
    <s v="Night"/>
    <s v="Experienced"/>
    <s v="Bulk Storage"/>
    <s v="Near"/>
    <n v="17"/>
    <s v="Wednesday"/>
    <s v="Medium (6-10)"/>
    <n v="1"/>
  </r>
  <r>
    <x v="625"/>
    <x v="138"/>
    <x v="22"/>
    <s v="A"/>
    <s v="I0055"/>
    <d v="2026-09-02T05:13:00"/>
    <d v="2026-09-02T05:20:00"/>
    <n v="5"/>
    <n v="7"/>
    <b v="0"/>
    <b v="0"/>
    <b v="0"/>
    <n v="8"/>
    <s v="High"/>
    <d v="2026-09-02T05:13:00"/>
    <b v="0"/>
    <s v="Fragile Goods"/>
    <x v="1"/>
    <s v="Climate-Controlled"/>
    <s v="Unknown"/>
    <s v="Unknown"/>
    <s v="Fast-Moving"/>
    <s v="Near"/>
    <n v="5"/>
    <s v="Wednesday"/>
    <s v="Medium (6-10)"/>
    <n v="1.4"/>
  </r>
  <r>
    <x v="626"/>
    <x v="8"/>
    <x v="17"/>
    <s v="H"/>
    <s v="I0079"/>
    <d v="2026-09-03T00:19:00"/>
    <d v="2026-09-03T00:26:00"/>
    <n v="6"/>
    <n v="7"/>
    <b v="0"/>
    <b v="0"/>
    <b v="0"/>
    <n v="15"/>
    <s v="High"/>
    <d v="2026-09-02T21:30:00"/>
    <b v="0"/>
    <s v="Fragile Goods"/>
    <x v="0"/>
    <s v="Bulk"/>
    <s v="Night"/>
    <s v="Intermediate"/>
    <s v="Small Parts"/>
    <s v="Near"/>
    <n v="21"/>
    <s v="Wednesday"/>
    <s v="Large (11-20)"/>
    <n v="1.166666666666667"/>
  </r>
  <r>
    <x v="627"/>
    <x v="91"/>
    <x v="3"/>
    <s v="C"/>
    <s v="I0008"/>
    <d v="2026-09-13T09:59:00"/>
    <d v="2026-09-13T10:06:00"/>
    <n v="1"/>
    <n v="7"/>
    <b v="0"/>
    <b v="0"/>
    <b v="0"/>
    <m/>
    <s v="Normal"/>
    <d v="2026-09-13T08:32:00"/>
    <b v="1"/>
    <s v="Bulk Materials"/>
    <x v="0"/>
    <s v="Unknown"/>
    <s v="Night"/>
    <s v="Beginner"/>
    <s v="Small Parts"/>
    <s v="Medium"/>
    <n v="8"/>
    <s v="Sunday"/>
    <m/>
    <n v="7"/>
  </r>
  <r>
    <x v="628"/>
    <x v="91"/>
    <x v="15"/>
    <s v="F"/>
    <s v="I0002"/>
    <d v="2026-09-13T11:07:00"/>
    <d v="2026-09-13T11:14:00"/>
    <n v="1"/>
    <n v="7"/>
    <b v="0"/>
    <b v="0"/>
    <b v="0"/>
    <m/>
    <s v="Normal"/>
    <d v="2026-09-13T08:32:00"/>
    <b v="1"/>
    <s v="Small Parts"/>
    <x v="0"/>
    <s v="Fragile"/>
    <s v="Morning"/>
    <s v="Unknown"/>
    <s v="Bulk Storage"/>
    <s v="Near"/>
    <n v="8"/>
    <s v="Sunday"/>
    <m/>
    <n v="7"/>
  </r>
  <r>
    <x v="629"/>
    <x v="223"/>
    <x v="22"/>
    <s v="H"/>
    <s v="I0013"/>
    <d v="2026-09-06T09:52:00"/>
    <d v="2026-09-06T09:59:00"/>
    <n v="6"/>
    <n v="7"/>
    <b v="0"/>
    <b v="0"/>
    <b v="0"/>
    <n v="5"/>
    <s v="Normal"/>
    <d v="2026-09-06T08:37:00"/>
    <b v="0"/>
    <s v="Home Goods"/>
    <x v="1"/>
    <s v="Unknown"/>
    <s v="Unknown"/>
    <s v="Unknown"/>
    <s v="Small Parts"/>
    <s v="Near"/>
    <n v="8"/>
    <s v="Sunday"/>
    <s v="Small (1-5)"/>
    <n v="1.166666666666667"/>
  </r>
  <r>
    <x v="630"/>
    <x v="224"/>
    <x v="25"/>
    <s v="G"/>
    <s v="I0080"/>
    <d v="2026-09-16T18:27:00"/>
    <d v="2026-09-16T18:34:00"/>
    <n v="5"/>
    <n v="7"/>
    <b v="0"/>
    <b v="0"/>
    <b v="0"/>
    <n v="3"/>
    <s v="High"/>
    <d v="2026-09-16T15:59:00"/>
    <b v="0"/>
    <s v="Fragile Goods"/>
    <x v="0"/>
    <s v="Bulk"/>
    <s v="Night"/>
    <s v="Experienced"/>
    <s v="Cold Storage"/>
    <s v="Far"/>
    <n v="15"/>
    <s v="Wednesday"/>
    <s v="Small (1-5)"/>
    <n v="1.4"/>
  </r>
  <r>
    <x v="631"/>
    <x v="224"/>
    <x v="10"/>
    <s v="F"/>
    <s v="I0063"/>
    <d v="2026-09-16T16:35:00"/>
    <d v="2026-09-16T16:42:00"/>
    <n v="5"/>
    <n v="7"/>
    <b v="0"/>
    <b v="0"/>
    <b v="0"/>
    <n v="3"/>
    <s v="High"/>
    <d v="2026-09-16T15:59:00"/>
    <b v="0"/>
    <s v="Home Goods"/>
    <x v="2"/>
    <s v="Fragile"/>
    <s v="Night"/>
    <s v="Unknown"/>
    <s v="Bulk Storage"/>
    <s v="Near"/>
    <n v="15"/>
    <s v="Wednesday"/>
    <s v="Small (1-5)"/>
    <n v="1.4"/>
  </r>
  <r>
    <x v="632"/>
    <x v="145"/>
    <x v="0"/>
    <s v="H"/>
    <s v="I0018"/>
    <d v="2026-09-19T05:54:00"/>
    <d v="2026-09-19T06:01:00"/>
    <n v="6"/>
    <n v="7"/>
    <b v="0"/>
    <b v="0"/>
    <b v="0"/>
    <n v="4"/>
    <s v="High"/>
    <d v="2026-09-19T05:00:00"/>
    <b v="0"/>
    <s v="Bulk Materials"/>
    <x v="0"/>
    <s v="Bulk"/>
    <s v="Night"/>
    <s v="Beginner"/>
    <s v="Small Parts"/>
    <s v="Near"/>
    <n v="5"/>
    <s v="Saturday"/>
    <s v="Small (1-5)"/>
    <n v="1.166666666666667"/>
  </r>
  <r>
    <x v="633"/>
    <x v="84"/>
    <x v="5"/>
    <s v="E"/>
    <s v="I0043"/>
    <d v="2026-09-03T03:09:00"/>
    <d v="2026-09-03T03:16:00"/>
    <n v="1"/>
    <n v="7"/>
    <b v="0"/>
    <b v="0"/>
    <b v="0"/>
    <n v="15"/>
    <s v="Normal"/>
    <d v="2026-09-03T02:35:00"/>
    <b v="0"/>
    <s v="Small Parts"/>
    <x v="0"/>
    <s v="Fragile"/>
    <s v="Unknown"/>
    <s v="Beginner"/>
    <s v="Fast-Moving"/>
    <s v="Medium"/>
    <n v="2"/>
    <s v="Thursday"/>
    <s v="Large (11-20)"/>
    <n v="7"/>
  </r>
  <r>
    <x v="634"/>
    <x v="225"/>
    <x v="22"/>
    <s v="E"/>
    <s v="I0023"/>
    <d v="2026-09-04T03:11:00"/>
    <d v="2026-09-04T03:18:00"/>
    <n v="7"/>
    <n v="7"/>
    <b v="0"/>
    <b v="0"/>
    <b v="0"/>
    <n v="1"/>
    <s v="Normal"/>
    <d v="2026-09-04T01:45:00"/>
    <b v="0"/>
    <s v="Home Goods"/>
    <x v="1"/>
    <s v="Bulk"/>
    <s v="Unknown"/>
    <s v="Unknown"/>
    <s v="Fast-Moving"/>
    <s v="Medium"/>
    <n v="1"/>
    <s v="Friday"/>
    <s v="Small (1-5)"/>
    <n v="1"/>
  </r>
  <r>
    <x v="635"/>
    <x v="22"/>
    <x v="17"/>
    <s v="H"/>
    <s v="I0078"/>
    <d v="2026-09-28T19:25:00"/>
    <d v="2026-09-28T19:32:00"/>
    <n v="6"/>
    <n v="7"/>
    <b v="0"/>
    <b v="0"/>
    <b v="0"/>
    <n v="3"/>
    <s v="Normal"/>
    <d v="2026-09-28T17:46:00"/>
    <b v="0"/>
    <s v="Apparel"/>
    <x v="1"/>
    <s v="Climate-Controlled"/>
    <s v="Night"/>
    <s v="Intermediate"/>
    <s v="Small Parts"/>
    <s v="Near"/>
    <n v="17"/>
    <s v="Monday"/>
    <s v="Small (1-5)"/>
    <n v="1.166666666666667"/>
  </r>
  <r>
    <x v="636"/>
    <x v="84"/>
    <x v="20"/>
    <s v="F"/>
    <s v="I0039"/>
    <d v="2026-09-03T03:16:00"/>
    <d v="2026-09-03T03:23:00"/>
    <n v="7"/>
    <n v="7"/>
    <b v="0"/>
    <b v="0"/>
    <b v="0"/>
    <n v="15"/>
    <s v="Normal"/>
    <d v="2026-09-03T02:35:00"/>
    <b v="0"/>
    <s v="Apparel"/>
    <x v="0"/>
    <s v="Fragile"/>
    <s v="Night"/>
    <s v="Unknown"/>
    <s v="Bulk Storage"/>
    <s v="Near"/>
    <n v="2"/>
    <s v="Thursday"/>
    <s v="Large (11-20)"/>
    <n v="1"/>
  </r>
  <r>
    <x v="637"/>
    <x v="57"/>
    <x v="14"/>
    <s v="G"/>
    <s v="I0070"/>
    <d v="2026-09-04T06:10:00"/>
    <d v="2026-09-04T06:17:00"/>
    <n v="2"/>
    <n v="7"/>
    <b v="0"/>
    <b v="0"/>
    <b v="0"/>
    <n v="8"/>
    <s v="Normal"/>
    <d v="2026-09-04T04:38:00"/>
    <b v="0"/>
    <s v="Bulk Materials"/>
    <x v="0"/>
    <s v="Standard"/>
    <s v="Night"/>
    <s v="Unknown"/>
    <s v="Cold Storage"/>
    <s v="Far"/>
    <n v="4"/>
    <s v="Friday"/>
    <s v="Medium (6-10)"/>
    <n v="3.5"/>
  </r>
  <r>
    <x v="638"/>
    <x v="101"/>
    <x v="6"/>
    <s v="F"/>
    <s v="I0048"/>
    <d v="2026-09-04T08:50:00"/>
    <d v="2026-09-04T08:57:00"/>
    <n v="1"/>
    <n v="7"/>
    <b v="0"/>
    <b v="0"/>
    <b v="0"/>
    <n v="12"/>
    <s v="High"/>
    <d v="2026-09-04T06:58:00"/>
    <b v="0"/>
    <s v="Electronics"/>
    <x v="2"/>
    <s v="Standard"/>
    <s v="Night"/>
    <s v="Intermediate"/>
    <s v="Bulk Storage"/>
    <s v="Near"/>
    <n v="6"/>
    <s v="Friday"/>
    <s v="Large (11-20)"/>
    <n v="7"/>
  </r>
  <r>
    <x v="639"/>
    <x v="111"/>
    <x v="12"/>
    <s v="E"/>
    <s v="I0020"/>
    <d v="2026-09-29T01:29:00"/>
    <d v="2026-09-29T01:36:00"/>
    <n v="4"/>
    <n v="7"/>
    <b v="0"/>
    <b v="0"/>
    <b v="0"/>
    <n v="4"/>
    <s v="High"/>
    <d v="2026-09-28T23:34:00"/>
    <b v="0"/>
    <s v="Apparel"/>
    <x v="0"/>
    <s v="Bulk"/>
    <s v="Unknown"/>
    <s v="Intermediate"/>
    <s v="Fast-Moving"/>
    <s v="Medium"/>
    <n v="23"/>
    <s v="Monday"/>
    <s v="Small (1-5)"/>
    <n v="1.75"/>
  </r>
  <r>
    <x v="640"/>
    <x v="46"/>
    <x v="17"/>
    <s v="F"/>
    <s v="I0059"/>
    <d v="2026-09-08T03:05:00"/>
    <d v="2026-09-08T03:12:00"/>
    <n v="4"/>
    <n v="7"/>
    <b v="0"/>
    <b v="0"/>
    <b v="0"/>
    <n v="10"/>
    <s v="Low"/>
    <d v="2026-09-08T01:04:00"/>
    <b v="0"/>
    <s v="Electronics"/>
    <x v="1"/>
    <s v="Bulk"/>
    <s v="Night"/>
    <s v="Intermediate"/>
    <s v="Bulk Storage"/>
    <s v="Near"/>
    <n v="1"/>
    <s v="Tuesday"/>
    <s v="Medium (6-10)"/>
    <n v="1.75"/>
  </r>
  <r>
    <x v="641"/>
    <x v="187"/>
    <x v="29"/>
    <s v="B"/>
    <s v="I0044"/>
    <d v="2026-09-18T08:55:00"/>
    <d v="2026-09-18T09:02:00"/>
    <n v="2"/>
    <n v="7"/>
    <b v="0"/>
    <b v="0"/>
    <b v="0"/>
    <n v="20"/>
    <s v="High"/>
    <d v="2026-09-18T07:26:00"/>
    <b v="0"/>
    <s v="Electronics"/>
    <x v="1"/>
    <s v="Bulk"/>
    <s v="Morning"/>
    <s v="Experienced"/>
    <s v="Bulk Storage"/>
    <s v="Far"/>
    <n v="7"/>
    <s v="Friday"/>
    <s v="Large (11-20)"/>
    <n v="3.5"/>
  </r>
  <r>
    <x v="642"/>
    <x v="191"/>
    <x v="14"/>
    <s v="A"/>
    <s v="I0075"/>
    <d v="2026-09-11T01:03:00"/>
    <d v="2026-09-11T01:10:00"/>
    <n v="6"/>
    <n v="7"/>
    <b v="0"/>
    <b v="0"/>
    <b v="0"/>
    <n v="10"/>
    <s v="Normal"/>
    <d v="2026-09-11T00:02:00"/>
    <b v="0"/>
    <s v="Fragile Goods"/>
    <x v="0"/>
    <s v="Standard"/>
    <s v="Night"/>
    <s v="Unknown"/>
    <s v="Fast-Moving"/>
    <s v="Near"/>
    <n v="0"/>
    <s v="Friday"/>
    <s v="Medium (6-10)"/>
    <n v="1.166666666666667"/>
  </r>
  <r>
    <x v="643"/>
    <x v="191"/>
    <x v="30"/>
    <s v="C"/>
    <s v="I0048"/>
    <d v="2026-09-11T01:37:00"/>
    <d v="2026-09-11T01:44:00"/>
    <n v="5"/>
    <n v="7"/>
    <b v="0"/>
    <b v="0"/>
    <b v="0"/>
    <n v="10"/>
    <s v="Normal"/>
    <d v="2026-09-11T00:02:00"/>
    <b v="0"/>
    <s v="Electronics"/>
    <x v="2"/>
    <s v="Standard"/>
    <s v="Night"/>
    <s v="Experienced"/>
    <s v="Small Parts"/>
    <s v="Medium"/>
    <n v="0"/>
    <s v="Friday"/>
    <s v="Medium (6-10)"/>
    <n v="1.4"/>
  </r>
  <r>
    <x v="644"/>
    <x v="190"/>
    <x v="22"/>
    <s v="B"/>
    <s v="I0042"/>
    <d v="2026-09-11T18:10:00"/>
    <d v="2026-09-11T18:17:00"/>
    <n v="5"/>
    <n v="7"/>
    <b v="0"/>
    <b v="0"/>
    <b v="0"/>
    <n v="6"/>
    <s v="Normal"/>
    <d v="2026-09-11T16:40:00"/>
    <b v="0"/>
    <s v="Electronics"/>
    <x v="1"/>
    <s v="Standard"/>
    <s v="Unknown"/>
    <s v="Unknown"/>
    <s v="Bulk Storage"/>
    <s v="Far"/>
    <n v="16"/>
    <s v="Friday"/>
    <s v="Medium (6-10)"/>
    <n v="1.4"/>
  </r>
  <r>
    <x v="645"/>
    <x v="52"/>
    <x v="14"/>
    <s v="B"/>
    <s v="I0016"/>
    <d v="2026-09-17T05:29:00"/>
    <d v="2026-09-17T05:36:00"/>
    <n v="6"/>
    <n v="7"/>
    <b v="0"/>
    <b v="0"/>
    <b v="0"/>
    <n v="20"/>
    <s v="Low"/>
    <d v="2026-09-17T05:14:00"/>
    <b v="0"/>
    <s v="Unknown"/>
    <x v="0"/>
    <s v="Bulk"/>
    <s v="Night"/>
    <s v="Unknown"/>
    <s v="Bulk Storage"/>
    <s v="Far"/>
    <n v="5"/>
    <s v="Thursday"/>
    <s v="Large (11-20)"/>
    <n v="1.166666666666667"/>
  </r>
  <r>
    <x v="646"/>
    <x v="178"/>
    <x v="9"/>
    <s v="H"/>
    <s v="I0007"/>
    <d v="2026-09-15T18:10:00"/>
    <d v="2026-09-15T18:17:00"/>
    <n v="4"/>
    <n v="7"/>
    <b v="0"/>
    <b v="0"/>
    <b v="0"/>
    <m/>
    <s v="Normal"/>
    <d v="2026-09-15T15:29:00"/>
    <b v="1"/>
    <s v="Small Parts"/>
    <x v="1"/>
    <s v="Fragile"/>
    <s v="Unknown"/>
    <s v="Intermediate"/>
    <s v="Small Parts"/>
    <s v="Near"/>
    <n v="15"/>
    <s v="Tuesday"/>
    <m/>
    <n v="1.75"/>
  </r>
  <r>
    <x v="647"/>
    <x v="27"/>
    <x v="20"/>
    <s v="A"/>
    <s v="I0074"/>
    <d v="2026-09-28T03:54:00"/>
    <d v="2026-09-28T04:01:00"/>
    <n v="7"/>
    <n v="7"/>
    <b v="0"/>
    <b v="0"/>
    <b v="0"/>
    <n v="8"/>
    <s v="Normal"/>
    <d v="2026-09-28T03:05:00"/>
    <b v="0"/>
    <s v="Fragile Goods"/>
    <x v="1"/>
    <s v="Climate-Controlled"/>
    <s v="Night"/>
    <s v="Unknown"/>
    <s v="Fast-Moving"/>
    <s v="Near"/>
    <n v="3"/>
    <s v="Monday"/>
    <s v="Medium (6-10)"/>
    <n v="1"/>
  </r>
  <r>
    <x v="648"/>
    <x v="110"/>
    <x v="1"/>
    <s v="E"/>
    <s v="I0039"/>
    <d v="2026-09-24T10:20:00"/>
    <d v="2026-09-24T10:27:00"/>
    <n v="1"/>
    <n v="7"/>
    <b v="0"/>
    <b v="0"/>
    <b v="0"/>
    <n v="6"/>
    <s v="Normal"/>
    <d v="2026-09-24T08:20:00"/>
    <b v="0"/>
    <s v="Apparel"/>
    <x v="0"/>
    <s v="Fragile"/>
    <s v="Night"/>
    <s v="Beginner"/>
    <s v="Fast-Moving"/>
    <s v="Medium"/>
    <n v="8"/>
    <s v="Thursday"/>
    <s v="Medium (6-10)"/>
    <n v="7"/>
  </r>
  <r>
    <x v="649"/>
    <x v="189"/>
    <x v="17"/>
    <s v="A"/>
    <s v="I0061"/>
    <d v="2026-09-24T14:12:00"/>
    <d v="2026-09-24T14:19:00"/>
    <n v="3"/>
    <n v="7"/>
    <b v="0"/>
    <b v="0"/>
    <b v="0"/>
    <n v="3"/>
    <s v="High"/>
    <d v="2026-09-24T12:54:00"/>
    <b v="0"/>
    <s v="Home Goods"/>
    <x v="0"/>
    <s v="Climate-Controlled"/>
    <s v="Night"/>
    <s v="Intermediate"/>
    <s v="Fast-Moving"/>
    <s v="Near"/>
    <n v="12"/>
    <s v="Thursday"/>
    <s v="Small (1-5)"/>
    <n v="2.333333333333333"/>
  </r>
  <r>
    <x v="650"/>
    <x v="226"/>
    <x v="31"/>
    <s v="F"/>
    <s v="I0044"/>
    <d v="2026-09-27T00:27:00"/>
    <d v="2026-09-27T00:34:00"/>
    <n v="4"/>
    <n v="7"/>
    <b v="0"/>
    <b v="0"/>
    <b v="0"/>
    <n v="3"/>
    <s v="Normal"/>
    <d v="2026-09-26T23:11:00"/>
    <b v="0"/>
    <s v="Electronics"/>
    <x v="1"/>
    <s v="Bulk"/>
    <s v="Morning"/>
    <s v="Experienced"/>
    <s v="Bulk Storage"/>
    <s v="Near"/>
    <n v="23"/>
    <s v="Saturday"/>
    <s v="Small (1-5)"/>
    <n v="1.75"/>
  </r>
  <r>
    <x v="651"/>
    <x v="180"/>
    <x v="9"/>
    <s v="H"/>
    <s v="I0062"/>
    <d v="2026-09-05T08:08:00"/>
    <d v="2026-09-05T08:15:00"/>
    <n v="4"/>
    <n v="7"/>
    <b v="0"/>
    <b v="0"/>
    <b v="0"/>
    <n v="10"/>
    <s v="Normal"/>
    <d v="2026-09-05T07:46:00"/>
    <b v="0"/>
    <s v="Home Goods"/>
    <x v="1"/>
    <s v="Bulk"/>
    <s v="Unknown"/>
    <s v="Intermediate"/>
    <s v="Small Parts"/>
    <s v="Near"/>
    <n v="7"/>
    <s v="Saturday"/>
    <s v="Medium (6-10)"/>
    <n v="1.75"/>
  </r>
  <r>
    <x v="652"/>
    <x v="180"/>
    <x v="6"/>
    <s v="F"/>
    <s v="I0049"/>
    <d v="2026-09-05T10:41:00"/>
    <d v="2026-09-05T10:48:00"/>
    <n v="1"/>
    <n v="7"/>
    <b v="0"/>
    <b v="0"/>
    <b v="0"/>
    <n v="10"/>
    <s v="Normal"/>
    <d v="2026-09-05T07:46:00"/>
    <b v="0"/>
    <s v="Small Parts"/>
    <x v="1"/>
    <s v="Standard"/>
    <s v="Night"/>
    <s v="Intermediate"/>
    <s v="Bulk Storage"/>
    <s v="Near"/>
    <n v="7"/>
    <s v="Saturday"/>
    <s v="Medium (6-10)"/>
    <n v="7"/>
  </r>
  <r>
    <x v="653"/>
    <x v="227"/>
    <x v="22"/>
    <s v="H"/>
    <s v="I0005"/>
    <d v="2026-09-27T04:46:00"/>
    <d v="2026-09-27T04:53:00"/>
    <n v="5"/>
    <n v="7"/>
    <b v="0"/>
    <b v="0"/>
    <b v="0"/>
    <n v="1"/>
    <s v="Normal"/>
    <d v="2026-09-27T02:37:00"/>
    <b v="0"/>
    <s v="Apparel"/>
    <x v="0"/>
    <s v="Climate-Controlled"/>
    <s v="Unknown"/>
    <s v="Unknown"/>
    <s v="Small Parts"/>
    <s v="Near"/>
    <n v="2"/>
    <s v="Sunday"/>
    <s v="Small (1-5)"/>
    <n v="1.4"/>
  </r>
  <r>
    <x v="654"/>
    <x v="58"/>
    <x v="30"/>
    <s v="E"/>
    <s v="I0028"/>
    <d v="2026-09-07T14:14:00"/>
    <d v="2026-09-07T14:21:00"/>
    <n v="6"/>
    <n v="7"/>
    <b v="0"/>
    <b v="0"/>
    <b v="0"/>
    <n v="6"/>
    <s v="Urgent"/>
    <d v="2026-09-07T12:29:00"/>
    <b v="0"/>
    <s v="Fragile Goods"/>
    <x v="1"/>
    <s v="Standard"/>
    <s v="Night"/>
    <s v="Experienced"/>
    <s v="Fast-Moving"/>
    <s v="Medium"/>
    <n v="12"/>
    <s v="Monday"/>
    <s v="Medium (6-10)"/>
    <n v="1.166666666666667"/>
  </r>
  <r>
    <x v="655"/>
    <x v="60"/>
    <x v="19"/>
    <s v="B"/>
    <s v="I0038"/>
    <d v="2026-09-04T23:51:00"/>
    <d v="2026-09-04T23:58:00"/>
    <n v="3"/>
    <n v="7"/>
    <b v="0"/>
    <b v="0"/>
    <b v="0"/>
    <n v="4"/>
    <s v="High"/>
    <d v="2026-09-04T23:38:00"/>
    <b v="0"/>
    <s v="Small Parts"/>
    <x v="0"/>
    <s v="Unknown"/>
    <s v="Unknown"/>
    <s v="Experienced"/>
    <s v="Bulk Storage"/>
    <s v="Far"/>
    <n v="23"/>
    <s v="Friday"/>
    <s v="Small (1-5)"/>
    <n v="2.333333333333333"/>
  </r>
  <r>
    <x v="656"/>
    <x v="136"/>
    <x v="17"/>
    <s v="F"/>
    <s v="I0032"/>
    <d v="2026-09-20T11:50:00"/>
    <d v="2026-09-20T11:57:00"/>
    <n v="1"/>
    <n v="7"/>
    <b v="0"/>
    <b v="0"/>
    <b v="0"/>
    <n v="8"/>
    <s v="Normal"/>
    <d v="2026-09-20T09:05:00"/>
    <b v="0"/>
    <s v="Bulk Materials"/>
    <x v="2"/>
    <s v="Standard"/>
    <s v="Night"/>
    <s v="Intermediate"/>
    <s v="Bulk Storage"/>
    <s v="Near"/>
    <n v="9"/>
    <s v="Sunday"/>
    <s v="Medium (6-10)"/>
    <n v="7"/>
  </r>
  <r>
    <x v="657"/>
    <x v="228"/>
    <x v="7"/>
    <s v="E"/>
    <s v="I0071"/>
    <d v="2026-09-14T12:52:00"/>
    <d v="2026-09-14T12:59:00"/>
    <n v="1"/>
    <n v="7"/>
    <b v="0"/>
    <b v="0"/>
    <b v="0"/>
    <n v="4"/>
    <s v="Normal"/>
    <d v="2026-09-14T12:16:00"/>
    <b v="0"/>
    <s v="Bulk Materials"/>
    <x v="2"/>
    <s v="Bulk"/>
    <s v="Morning"/>
    <s v="Beginner"/>
    <s v="Fast-Moving"/>
    <s v="Medium"/>
    <n v="12"/>
    <s v="Monday"/>
    <s v="Small (1-5)"/>
    <n v="7"/>
  </r>
  <r>
    <x v="658"/>
    <x v="186"/>
    <x v="27"/>
    <s v="B"/>
    <s v="I0058"/>
    <d v="2026-09-16T04:42:00"/>
    <d v="2026-09-16T04:49:00"/>
    <n v="5"/>
    <n v="7"/>
    <b v="0"/>
    <b v="0"/>
    <b v="0"/>
    <n v="5"/>
    <s v="High"/>
    <d v="2026-09-16T04:04:00"/>
    <b v="0"/>
    <s v="Home Goods"/>
    <x v="1"/>
    <s v="Unknown"/>
    <s v="Night"/>
    <s v="Experienced"/>
    <s v="Bulk Storage"/>
    <s v="Far"/>
    <n v="4"/>
    <s v="Wednesday"/>
    <s v="Small (1-5)"/>
    <n v="1.4"/>
  </r>
  <r>
    <x v="659"/>
    <x v="181"/>
    <x v="27"/>
    <s v="H"/>
    <s v="I0001"/>
    <d v="2026-09-12T14:12:00"/>
    <d v="2026-09-12T14:19:00"/>
    <n v="6"/>
    <n v="7"/>
    <b v="0"/>
    <b v="0"/>
    <b v="0"/>
    <n v="6"/>
    <s v="Low"/>
    <d v="2026-09-12T14:03:00"/>
    <b v="0"/>
    <s v="Fragile Goods"/>
    <x v="0"/>
    <s v="Standard"/>
    <s v="Night"/>
    <s v="Experienced"/>
    <s v="Small Parts"/>
    <s v="Near"/>
    <n v="14"/>
    <s v="Saturday"/>
    <s v="Medium (6-10)"/>
    <n v="1.166666666666667"/>
  </r>
  <r>
    <x v="660"/>
    <x v="103"/>
    <x v="17"/>
    <s v="F"/>
    <s v="I0007"/>
    <d v="2026-09-19T23:15:00"/>
    <d v="2026-09-19T23:22:00"/>
    <n v="2"/>
    <n v="7"/>
    <b v="0"/>
    <b v="0"/>
    <b v="0"/>
    <n v="10"/>
    <s v="Normal"/>
    <d v="2026-09-19T22:42:00"/>
    <b v="0"/>
    <s v="Small Parts"/>
    <x v="1"/>
    <s v="Fragile"/>
    <s v="Night"/>
    <s v="Intermediate"/>
    <s v="Bulk Storage"/>
    <s v="Near"/>
    <n v="22"/>
    <s v="Saturday"/>
    <s v="Medium (6-10)"/>
    <n v="3.5"/>
  </r>
  <r>
    <x v="661"/>
    <x v="103"/>
    <x v="22"/>
    <s v="C"/>
    <s v="I0007"/>
    <d v="2026-09-20T01:04:00"/>
    <d v="2026-09-20T01:11:00"/>
    <n v="2"/>
    <n v="7"/>
    <b v="0"/>
    <b v="0"/>
    <b v="0"/>
    <n v="10"/>
    <s v="Normal"/>
    <d v="2026-09-19T22:42:00"/>
    <b v="0"/>
    <s v="Small Parts"/>
    <x v="1"/>
    <s v="Fragile"/>
    <s v="Unknown"/>
    <s v="Unknown"/>
    <s v="Small Parts"/>
    <s v="Medium"/>
    <n v="22"/>
    <s v="Saturday"/>
    <s v="Medium (6-10)"/>
    <n v="3.5"/>
  </r>
  <r>
    <x v="662"/>
    <x v="213"/>
    <x v="15"/>
    <s v="A"/>
    <s v="I0054"/>
    <d v="2026-09-28T03:15:00"/>
    <d v="2026-09-28T03:22:00"/>
    <n v="4"/>
    <n v="7"/>
    <b v="0"/>
    <b v="0"/>
    <b v="0"/>
    <n v="6"/>
    <s v="High"/>
    <d v="2026-09-28T02:52:00"/>
    <b v="0"/>
    <s v="Small Parts"/>
    <x v="0"/>
    <s v="Bulk"/>
    <s v="Morning"/>
    <s v="Unknown"/>
    <s v="Fast-Moving"/>
    <s v="Near"/>
    <n v="2"/>
    <s v="Monday"/>
    <s v="Medium (6-10)"/>
    <n v="1.75"/>
  </r>
  <r>
    <x v="663"/>
    <x v="76"/>
    <x v="20"/>
    <s v="E"/>
    <s v="I0044"/>
    <d v="2026-09-25T08:37:00"/>
    <d v="2026-09-25T08:44:00"/>
    <n v="5"/>
    <n v="7"/>
    <b v="0"/>
    <b v="0"/>
    <b v="0"/>
    <n v="10"/>
    <s v="Normal"/>
    <d v="2026-09-25T08:13:00"/>
    <b v="0"/>
    <s v="Electronics"/>
    <x v="1"/>
    <s v="Bulk"/>
    <s v="Night"/>
    <s v="Unknown"/>
    <s v="Fast-Moving"/>
    <s v="Medium"/>
    <n v="8"/>
    <s v="Friday"/>
    <s v="Medium (6-10)"/>
    <n v="1.4"/>
  </r>
  <r>
    <x v="664"/>
    <x v="29"/>
    <x v="23"/>
    <s v="E"/>
    <s v="I0030"/>
    <d v="2026-09-04T12:16:00"/>
    <d v="2026-09-04T12:23:00"/>
    <n v="7"/>
    <n v="7"/>
    <b v="0"/>
    <b v="0"/>
    <b v="0"/>
    <n v="10"/>
    <s v="Urgent"/>
    <d v="2026-09-04T11:45:00"/>
    <b v="0"/>
    <s v="Electronics"/>
    <x v="0"/>
    <s v="Fragile"/>
    <s v="Evening"/>
    <s v="Intermediate"/>
    <s v="Fast-Moving"/>
    <s v="Medium"/>
    <n v="11"/>
    <s v="Friday"/>
    <s v="Medium (6-10)"/>
    <n v="1"/>
  </r>
  <r>
    <x v="665"/>
    <x v="51"/>
    <x v="8"/>
    <s v="B"/>
    <s v="I0056"/>
    <d v="2026-09-25T07:37:00"/>
    <d v="2026-09-25T07:44:00"/>
    <n v="1"/>
    <n v="7"/>
    <b v="0"/>
    <b v="0"/>
    <b v="0"/>
    <n v="4"/>
    <s v="High"/>
    <d v="2026-09-25T06:16:00"/>
    <b v="0"/>
    <s v="Apparel"/>
    <x v="1"/>
    <s v="Fragile"/>
    <s v="Evening"/>
    <s v="Unknown"/>
    <s v="Bulk Storage"/>
    <s v="Far"/>
    <n v="6"/>
    <s v="Friday"/>
    <s v="Small (1-5)"/>
    <n v="7"/>
  </r>
  <r>
    <x v="666"/>
    <x v="146"/>
    <x v="9"/>
    <s v="A"/>
    <s v="I0044"/>
    <d v="2026-09-22T10:45:00"/>
    <d v="2026-09-22T10:52:00"/>
    <n v="3"/>
    <n v="7"/>
    <b v="0"/>
    <b v="0"/>
    <b v="0"/>
    <n v="12"/>
    <s v="Normal"/>
    <d v="2026-09-22T10:39:00"/>
    <b v="0"/>
    <s v="Electronics"/>
    <x v="1"/>
    <s v="Bulk"/>
    <s v="Unknown"/>
    <s v="Intermediate"/>
    <s v="Fast-Moving"/>
    <s v="Near"/>
    <n v="10"/>
    <s v="Tuesday"/>
    <s v="Large (11-20)"/>
    <n v="2.333333333333333"/>
  </r>
  <r>
    <x v="667"/>
    <x v="32"/>
    <x v="27"/>
    <s v="F"/>
    <s v="I0034"/>
    <d v="2026-09-19T12:57:00"/>
    <d v="2026-09-19T13:04:00"/>
    <n v="5"/>
    <n v="7"/>
    <b v="0"/>
    <b v="0"/>
    <b v="0"/>
    <n v="15"/>
    <s v="Low"/>
    <d v="2026-09-19T12:37:00"/>
    <b v="0"/>
    <s v="Bulk Materials"/>
    <x v="0"/>
    <s v="Climate-Controlled"/>
    <s v="Night"/>
    <s v="Experienced"/>
    <s v="Bulk Storage"/>
    <s v="Near"/>
    <n v="12"/>
    <s v="Saturday"/>
    <s v="Large (11-20)"/>
    <n v="1.4"/>
  </r>
  <r>
    <x v="668"/>
    <x v="229"/>
    <x v="19"/>
    <s v="C"/>
    <s v="I0038"/>
    <d v="2026-09-29T02:24:00"/>
    <d v="2026-09-29T02:31:00"/>
    <n v="3"/>
    <n v="7"/>
    <b v="0"/>
    <b v="0"/>
    <b v="0"/>
    <n v="15"/>
    <s v="Normal"/>
    <d v="2026-09-28T23:53:00"/>
    <b v="0"/>
    <s v="Small Parts"/>
    <x v="0"/>
    <s v="Unknown"/>
    <s v="Unknown"/>
    <s v="Experienced"/>
    <s v="Small Parts"/>
    <s v="Medium"/>
    <n v="23"/>
    <s v="Monday"/>
    <s v="Large (11-20)"/>
    <n v="2.333333333333333"/>
  </r>
  <r>
    <x v="669"/>
    <x v="230"/>
    <x v="17"/>
    <s v="H"/>
    <s v="I0026"/>
    <d v="2026-09-24T12:50:00"/>
    <d v="2026-09-24T12:57:00"/>
    <n v="3"/>
    <n v="7"/>
    <b v="0"/>
    <b v="0"/>
    <b v="0"/>
    <n v="2"/>
    <s v="High"/>
    <d v="2026-09-24T11:22:00"/>
    <b v="0"/>
    <s v="Bulk Materials"/>
    <x v="0"/>
    <s v="Climate-Controlled"/>
    <s v="Night"/>
    <s v="Intermediate"/>
    <s v="Small Parts"/>
    <s v="Near"/>
    <n v="11"/>
    <s v="Thursday"/>
    <s v="Small (1-5)"/>
    <n v="2.333333333333333"/>
  </r>
  <r>
    <x v="670"/>
    <x v="231"/>
    <x v="26"/>
    <s v="A"/>
    <s v="I0019"/>
    <d v="2026-09-25T09:06:00"/>
    <d v="2026-09-25T09:13:00"/>
    <n v="4"/>
    <n v="7"/>
    <b v="0"/>
    <b v="0"/>
    <b v="0"/>
    <n v="1"/>
    <s v="Normal"/>
    <d v="2026-09-25T07:14:00"/>
    <b v="0"/>
    <s v="Fragile Goods"/>
    <x v="1"/>
    <s v="Bulk"/>
    <s v="Morning"/>
    <s v="Experienced"/>
    <s v="Fast-Moving"/>
    <s v="Near"/>
    <n v="7"/>
    <s v="Friday"/>
    <s v="Small (1-5)"/>
    <n v="1.75"/>
  </r>
  <r>
    <x v="671"/>
    <x v="185"/>
    <x v="9"/>
    <s v="C"/>
    <s v="I0015"/>
    <d v="2026-09-16T11:52:00"/>
    <d v="2026-09-16T11:59:00"/>
    <n v="2"/>
    <n v="7"/>
    <b v="0"/>
    <b v="0"/>
    <b v="0"/>
    <n v="6"/>
    <s v="High"/>
    <m/>
    <b v="0"/>
    <s v="Bulk Materials"/>
    <x v="1"/>
    <s v="Fragile"/>
    <s v="Unknown"/>
    <s v="Intermediate"/>
    <s v="Small Parts"/>
    <s v="Medium"/>
    <m/>
    <m/>
    <s v="Medium (6-10)"/>
    <n v="3.5"/>
  </r>
  <r>
    <x v="672"/>
    <x v="37"/>
    <x v="27"/>
    <s v="E"/>
    <s v="I0031"/>
    <d v="2026-09-09T03:29:00"/>
    <d v="2026-09-09T03:36:00"/>
    <n v="3"/>
    <n v="7"/>
    <b v="0"/>
    <b v="0"/>
    <b v="0"/>
    <n v="6"/>
    <s v="Low"/>
    <d v="2026-09-09T01:33:00"/>
    <b v="0"/>
    <s v="Unknown"/>
    <x v="2"/>
    <s v="Fragile"/>
    <s v="Night"/>
    <s v="Experienced"/>
    <s v="Fast-Moving"/>
    <s v="Medium"/>
    <n v="1"/>
    <s v="Wednesday"/>
    <s v="Medium (6-10)"/>
    <n v="2.333333333333333"/>
  </r>
  <r>
    <x v="673"/>
    <x v="38"/>
    <x v="28"/>
    <s v="F"/>
    <s v="I0021"/>
    <d v="2026-09-09T18:15:00"/>
    <d v="2026-09-09T18:22:00"/>
    <n v="6"/>
    <n v="7"/>
    <b v="0"/>
    <b v="0"/>
    <b v="0"/>
    <n v="10"/>
    <s v="High"/>
    <d v="2026-09-09T16:40:00"/>
    <b v="0"/>
    <s v="Apparel"/>
    <x v="0"/>
    <s v="Standard"/>
    <s v="Night"/>
    <s v="Experienced"/>
    <s v="Bulk Storage"/>
    <s v="Near"/>
    <n v="16"/>
    <s v="Wednesday"/>
    <s v="Medium (6-10)"/>
    <n v="1.166666666666667"/>
  </r>
  <r>
    <x v="674"/>
    <x v="24"/>
    <x v="31"/>
    <s v="H"/>
    <s v="I0075"/>
    <d v="2026-09-22T22:47:00"/>
    <d v="2026-09-22T22:54:00"/>
    <n v="6"/>
    <n v="7"/>
    <b v="0"/>
    <b v="0"/>
    <b v="0"/>
    <n v="20"/>
    <s v="High"/>
    <d v="2026-09-22T21:17:00"/>
    <b v="0"/>
    <s v="Fragile Goods"/>
    <x v="0"/>
    <s v="Standard"/>
    <s v="Morning"/>
    <s v="Experienced"/>
    <s v="Small Parts"/>
    <s v="Near"/>
    <n v="21"/>
    <s v="Tuesday"/>
    <s v="Large (11-20)"/>
    <n v="1.166666666666667"/>
  </r>
  <r>
    <x v="675"/>
    <x v="232"/>
    <x v="10"/>
    <s v="C"/>
    <s v="I0023"/>
    <d v="2026-09-06T04:13:00"/>
    <d v="2026-09-06T04:20:00"/>
    <n v="4"/>
    <n v="7"/>
    <b v="0"/>
    <b v="0"/>
    <b v="0"/>
    <n v="3"/>
    <s v="Normal"/>
    <d v="2026-09-06T01:51:00"/>
    <b v="0"/>
    <s v="Home Goods"/>
    <x v="1"/>
    <s v="Bulk"/>
    <s v="Night"/>
    <s v="Unknown"/>
    <s v="Small Parts"/>
    <s v="Medium"/>
    <n v="1"/>
    <s v="Sunday"/>
    <s v="Small (1-5)"/>
    <n v="1.75"/>
  </r>
  <r>
    <x v="676"/>
    <x v="184"/>
    <x v="26"/>
    <s v="H"/>
    <s v="I0075"/>
    <d v="2026-09-06T01:56:00"/>
    <d v="2026-09-06T02:03:00"/>
    <n v="5"/>
    <n v="7"/>
    <b v="0"/>
    <b v="0"/>
    <b v="0"/>
    <n v="6"/>
    <s v="High"/>
    <d v="2026-09-05T23:02:00"/>
    <b v="0"/>
    <s v="Fragile Goods"/>
    <x v="0"/>
    <s v="Standard"/>
    <s v="Morning"/>
    <s v="Experienced"/>
    <s v="Small Parts"/>
    <s v="Near"/>
    <n v="23"/>
    <s v="Saturday"/>
    <s v="Medium (6-10)"/>
    <n v="1.4"/>
  </r>
  <r>
    <x v="677"/>
    <x v="161"/>
    <x v="12"/>
    <s v="C"/>
    <s v="I0069"/>
    <d v="2026-09-06T22:26:00"/>
    <d v="2026-09-06T22:33:00"/>
    <n v="5"/>
    <n v="7"/>
    <b v="0"/>
    <b v="0"/>
    <b v="0"/>
    <n v="6"/>
    <s v="Normal"/>
    <d v="2026-09-06T21:16:00"/>
    <b v="0"/>
    <s v="Electronics"/>
    <x v="2"/>
    <s v="Climate-Controlled"/>
    <s v="Unknown"/>
    <s v="Intermediate"/>
    <s v="Small Parts"/>
    <s v="Medium"/>
    <n v="21"/>
    <s v="Sunday"/>
    <s v="Medium (6-10)"/>
    <n v="1.4"/>
  </r>
  <r>
    <x v="678"/>
    <x v="185"/>
    <x v="3"/>
    <s v="E"/>
    <s v="I0076"/>
    <d v="2026-09-16T13:28:00"/>
    <d v="2026-09-16T13:34:00"/>
    <n v="7"/>
    <n v="6"/>
    <b v="0"/>
    <b v="0"/>
    <b v="0"/>
    <n v="6"/>
    <s v="High"/>
    <m/>
    <b v="0"/>
    <s v="Fragile Goods"/>
    <x v="3"/>
    <s v="Climate-Controlled"/>
    <s v="Night"/>
    <s v="Beginner"/>
    <s v="Fast-Moving"/>
    <s v="Medium"/>
    <m/>
    <m/>
    <s v="Medium (6-10)"/>
    <n v="0.8571428571428571"/>
  </r>
  <r>
    <x v="679"/>
    <x v="157"/>
    <x v="6"/>
    <s v="E"/>
    <s v="I0001"/>
    <d v="2026-09-14T08:29:00"/>
    <d v="2026-09-14T08:35:00"/>
    <n v="3"/>
    <n v="6"/>
    <b v="0"/>
    <b v="0"/>
    <b v="0"/>
    <n v="8"/>
    <s v="Normal"/>
    <d v="2026-09-14T06:22:00"/>
    <b v="0"/>
    <s v="Fragile Goods"/>
    <x v="0"/>
    <s v="Standard"/>
    <s v="Night"/>
    <s v="Intermediate"/>
    <s v="Fast-Moving"/>
    <s v="Medium"/>
    <n v="6"/>
    <s v="Monday"/>
    <s v="Medium (6-10)"/>
    <n v="2"/>
  </r>
  <r>
    <x v="680"/>
    <x v="233"/>
    <x v="11"/>
    <s v="A"/>
    <s v="I0026"/>
    <d v="2026-09-06T05:20:00"/>
    <d v="2026-09-06T05:26:00"/>
    <n v="2"/>
    <n v="6"/>
    <b v="0"/>
    <b v="0"/>
    <b v="0"/>
    <n v="2"/>
    <s v="High"/>
    <d v="2026-09-06T04:46:00"/>
    <b v="0"/>
    <s v="Bulk Materials"/>
    <x v="0"/>
    <s v="Climate-Controlled"/>
    <s v="Night"/>
    <s v="Intermediate"/>
    <s v="Fast-Moving"/>
    <s v="Near"/>
    <n v="4"/>
    <s v="Sunday"/>
    <s v="Small (1-5)"/>
    <n v="3"/>
  </r>
  <r>
    <x v="681"/>
    <x v="106"/>
    <x v="28"/>
    <s v="F"/>
    <s v="I0001"/>
    <d v="2026-09-25T21:40:00"/>
    <d v="2026-09-25T21:46:00"/>
    <n v="2"/>
    <n v="6"/>
    <b v="0"/>
    <b v="0"/>
    <b v="0"/>
    <n v="20"/>
    <s v="Normal"/>
    <d v="2026-09-25T19:21:00"/>
    <b v="0"/>
    <s v="Fragile Goods"/>
    <x v="0"/>
    <s v="Standard"/>
    <s v="Night"/>
    <s v="Experienced"/>
    <s v="Bulk Storage"/>
    <s v="Near"/>
    <n v="19"/>
    <s v="Friday"/>
    <s v="Large (11-20)"/>
    <n v="3"/>
  </r>
  <r>
    <x v="682"/>
    <x v="106"/>
    <x v="15"/>
    <s v="E"/>
    <s v="I0009"/>
    <d v="2026-09-25T20:13:00"/>
    <d v="2026-09-25T20:19:00"/>
    <n v="1"/>
    <n v="6"/>
    <b v="0"/>
    <b v="0"/>
    <b v="0"/>
    <n v="20"/>
    <s v="Normal"/>
    <d v="2026-09-25T19:21:00"/>
    <b v="0"/>
    <s v="Bulk Materials"/>
    <x v="0"/>
    <s v="Fragile"/>
    <s v="Morning"/>
    <s v="Unknown"/>
    <s v="Fast-Moving"/>
    <s v="Medium"/>
    <n v="19"/>
    <s v="Friday"/>
    <s v="Large (11-20)"/>
    <n v="6"/>
  </r>
  <r>
    <x v="683"/>
    <x v="106"/>
    <x v="30"/>
    <s v="E"/>
    <s v="I0030"/>
    <d v="2026-09-25T21:33:00"/>
    <d v="2026-09-25T21:39:00"/>
    <n v="5"/>
    <n v="6"/>
    <b v="0"/>
    <b v="0"/>
    <b v="0"/>
    <n v="20"/>
    <s v="Normal"/>
    <d v="2026-09-25T19:21:00"/>
    <b v="0"/>
    <s v="Electronics"/>
    <x v="0"/>
    <s v="Fragile"/>
    <s v="Night"/>
    <s v="Experienced"/>
    <s v="Fast-Moving"/>
    <s v="Medium"/>
    <n v="19"/>
    <s v="Friday"/>
    <s v="Large (11-20)"/>
    <n v="1.2"/>
  </r>
  <r>
    <x v="684"/>
    <x v="134"/>
    <x v="22"/>
    <s v="A"/>
    <s v="I0059"/>
    <d v="2026-09-15T02:34:00"/>
    <d v="2026-09-15T02:40:00"/>
    <n v="7"/>
    <n v="6"/>
    <b v="0"/>
    <b v="0"/>
    <b v="0"/>
    <n v="6"/>
    <s v="Low"/>
    <d v="2026-09-15T01:53:00"/>
    <b v="0"/>
    <s v="Electronics"/>
    <x v="1"/>
    <s v="Bulk"/>
    <s v="Unknown"/>
    <s v="Unknown"/>
    <s v="Fast-Moving"/>
    <s v="Near"/>
    <n v="1"/>
    <s v="Tuesday"/>
    <s v="Medium (6-10)"/>
    <n v="0.8571428571428571"/>
  </r>
  <r>
    <x v="685"/>
    <x v="159"/>
    <x v="4"/>
    <s v="A"/>
    <s v="I0002"/>
    <d v="2026-09-26T06:49:00"/>
    <d v="2026-09-26T06:55:00"/>
    <n v="4"/>
    <n v="6"/>
    <b v="0"/>
    <b v="0"/>
    <b v="0"/>
    <n v="10"/>
    <s v="Normal"/>
    <d v="2026-09-26T05:21:00"/>
    <b v="0"/>
    <s v="Small Parts"/>
    <x v="0"/>
    <s v="Fragile"/>
    <s v="Night"/>
    <s v="Unknown"/>
    <s v="Fast-Moving"/>
    <s v="Near"/>
    <n v="5"/>
    <s v="Saturday"/>
    <s v="Medium (6-10)"/>
    <n v="1.5"/>
  </r>
  <r>
    <x v="686"/>
    <x v="184"/>
    <x v="4"/>
    <s v="H"/>
    <s v="I0026"/>
    <d v="2026-09-06T01:24:00"/>
    <d v="2026-09-06T01:30:00"/>
    <n v="2"/>
    <n v="6"/>
    <b v="0"/>
    <b v="0"/>
    <b v="0"/>
    <n v="6"/>
    <s v="High"/>
    <d v="2026-09-05T23:02:00"/>
    <b v="0"/>
    <s v="Bulk Materials"/>
    <x v="0"/>
    <s v="Climate-Controlled"/>
    <s v="Night"/>
    <s v="Unknown"/>
    <s v="Small Parts"/>
    <s v="Near"/>
    <n v="23"/>
    <s v="Saturday"/>
    <s v="Medium (6-10)"/>
    <n v="3"/>
  </r>
  <r>
    <x v="687"/>
    <x v="234"/>
    <x v="12"/>
    <s v="A"/>
    <s v="I0076"/>
    <d v="2026-09-27T13:30:00"/>
    <d v="2026-09-27T13:36:00"/>
    <n v="1"/>
    <n v="6"/>
    <b v="0"/>
    <b v="0"/>
    <b v="0"/>
    <n v="5"/>
    <s v="High"/>
    <d v="2026-09-27T13:24:00"/>
    <b v="0"/>
    <s v="Fragile Goods"/>
    <x v="3"/>
    <s v="Climate-Controlled"/>
    <s v="Unknown"/>
    <s v="Intermediate"/>
    <s v="Fast-Moving"/>
    <s v="Near"/>
    <n v="13"/>
    <s v="Sunday"/>
    <s v="Small (1-5)"/>
    <n v="6"/>
  </r>
  <r>
    <x v="688"/>
    <x v="234"/>
    <x v="17"/>
    <s v="E"/>
    <s v="I0008"/>
    <d v="2026-09-27T14:49:00"/>
    <d v="2026-09-27T14:55:00"/>
    <n v="2"/>
    <n v="6"/>
    <b v="0"/>
    <b v="0"/>
    <b v="0"/>
    <n v="5"/>
    <s v="High"/>
    <d v="2026-09-27T13:24:00"/>
    <b v="0"/>
    <s v="Bulk Materials"/>
    <x v="0"/>
    <s v="Unknown"/>
    <s v="Night"/>
    <s v="Intermediate"/>
    <s v="Fast-Moving"/>
    <s v="Medium"/>
    <n v="13"/>
    <s v="Sunday"/>
    <s v="Small (1-5)"/>
    <n v="3"/>
  </r>
  <r>
    <x v="689"/>
    <x v="210"/>
    <x v="7"/>
    <s v="H"/>
    <s v="I0016"/>
    <d v="2026-09-26T22:26:00"/>
    <d v="2026-09-26T22:32:00"/>
    <n v="3"/>
    <n v="6"/>
    <b v="0"/>
    <b v="0"/>
    <b v="0"/>
    <n v="6"/>
    <s v="Normal"/>
    <d v="2026-09-26T20:35:00"/>
    <b v="0"/>
    <s v="Unknown"/>
    <x v="0"/>
    <s v="Bulk"/>
    <s v="Morning"/>
    <s v="Beginner"/>
    <s v="Small Parts"/>
    <s v="Near"/>
    <n v="20"/>
    <s v="Saturday"/>
    <s v="Medium (6-10)"/>
    <n v="2"/>
  </r>
  <r>
    <x v="690"/>
    <x v="75"/>
    <x v="21"/>
    <s v="H"/>
    <s v="I0009"/>
    <d v="2026-09-02T00:20:00"/>
    <d v="2026-09-02T00:26:00"/>
    <n v="1"/>
    <n v="6"/>
    <b v="0"/>
    <b v="0"/>
    <b v="0"/>
    <n v="20"/>
    <s v="Low"/>
    <d v="2026-09-01T21:36:00"/>
    <b v="0"/>
    <s v="Bulk Materials"/>
    <x v="0"/>
    <s v="Fragile"/>
    <s v="Morning"/>
    <s v="Intermediate"/>
    <s v="Small Parts"/>
    <s v="Near"/>
    <n v="21"/>
    <s v="Tuesday"/>
    <s v="Large (11-20)"/>
    <n v="6"/>
  </r>
  <r>
    <x v="691"/>
    <x v="75"/>
    <x v="25"/>
    <s v="F"/>
    <s v="I0013"/>
    <d v="2026-09-01T22:35:00"/>
    <d v="2026-09-01T22:41:00"/>
    <n v="3"/>
    <n v="6"/>
    <b v="0"/>
    <b v="0"/>
    <b v="0"/>
    <n v="20"/>
    <s v="Low"/>
    <d v="2026-09-01T21:36:00"/>
    <b v="0"/>
    <s v="Home Goods"/>
    <x v="1"/>
    <s v="Unknown"/>
    <s v="Night"/>
    <s v="Experienced"/>
    <s v="Bulk Storage"/>
    <s v="Near"/>
    <n v="21"/>
    <s v="Tuesday"/>
    <s v="Large (11-20)"/>
    <n v="2"/>
  </r>
  <r>
    <x v="692"/>
    <x v="146"/>
    <x v="15"/>
    <s v="H"/>
    <s v="I0074"/>
    <d v="2026-09-22T10:53:00"/>
    <d v="2026-09-22T10:59:00"/>
    <n v="4"/>
    <n v="6"/>
    <b v="0"/>
    <b v="0"/>
    <b v="0"/>
    <n v="12"/>
    <s v="Normal"/>
    <d v="2026-09-22T10:39:00"/>
    <b v="0"/>
    <s v="Fragile Goods"/>
    <x v="1"/>
    <s v="Climate-Controlled"/>
    <s v="Morning"/>
    <s v="Unknown"/>
    <s v="Small Parts"/>
    <s v="Near"/>
    <n v="10"/>
    <s v="Tuesday"/>
    <s v="Large (11-20)"/>
    <n v="1.5"/>
  </r>
  <r>
    <x v="693"/>
    <x v="51"/>
    <x v="20"/>
    <s v="C"/>
    <s v="I0064"/>
    <d v="2026-09-25T06:53:00"/>
    <d v="2026-09-25T06:59:00"/>
    <n v="4"/>
    <n v="6"/>
    <b v="0"/>
    <b v="0"/>
    <b v="0"/>
    <n v="4"/>
    <s v="High"/>
    <d v="2026-09-25T06:16:00"/>
    <b v="0"/>
    <s v="Small Parts"/>
    <x v="0"/>
    <s v="Unknown"/>
    <s v="Night"/>
    <s v="Unknown"/>
    <s v="Small Parts"/>
    <s v="Medium"/>
    <n v="6"/>
    <s v="Friday"/>
    <s v="Small (1-5)"/>
    <n v="1.5"/>
  </r>
  <r>
    <x v="694"/>
    <x v="156"/>
    <x v="1"/>
    <s v="H"/>
    <s v="I0058"/>
    <d v="2026-09-16T17:05:00"/>
    <d v="2026-09-16T17:11:00"/>
    <n v="4"/>
    <n v="6"/>
    <b v="0"/>
    <b v="0"/>
    <b v="0"/>
    <n v="5"/>
    <s v="High"/>
    <d v="2026-09-16T16:57:00"/>
    <b v="0"/>
    <s v="Home Goods"/>
    <x v="1"/>
    <s v="Unknown"/>
    <s v="Night"/>
    <s v="Beginner"/>
    <s v="Small Parts"/>
    <s v="Near"/>
    <n v="16"/>
    <s v="Wednesday"/>
    <s v="Small (1-5)"/>
    <n v="1.5"/>
  </r>
  <r>
    <x v="695"/>
    <x v="154"/>
    <x v="11"/>
    <s v="F"/>
    <s v="I0024"/>
    <d v="2026-09-26T01:45:00"/>
    <d v="2026-09-26T01:51:00"/>
    <n v="6"/>
    <n v="6"/>
    <b v="0"/>
    <b v="0"/>
    <b v="0"/>
    <n v="4"/>
    <s v="Normal"/>
    <d v="2026-09-26T00:01:00"/>
    <b v="0"/>
    <s v="Fragile Goods"/>
    <x v="0"/>
    <s v="Fragile"/>
    <s v="Night"/>
    <s v="Intermediate"/>
    <s v="Bulk Storage"/>
    <s v="Near"/>
    <n v="0"/>
    <s v="Saturday"/>
    <s v="Small (1-5)"/>
    <n v="1"/>
  </r>
  <r>
    <x v="696"/>
    <x v="58"/>
    <x v="31"/>
    <s v="B"/>
    <s v="I0048"/>
    <d v="2026-09-07T14:11:00"/>
    <d v="2026-09-07T14:17:00"/>
    <n v="4"/>
    <n v="6"/>
    <b v="0"/>
    <b v="0"/>
    <b v="0"/>
    <n v="6"/>
    <s v="Urgent"/>
    <d v="2026-09-07T12:29:00"/>
    <b v="0"/>
    <s v="Electronics"/>
    <x v="2"/>
    <s v="Standard"/>
    <s v="Morning"/>
    <s v="Experienced"/>
    <s v="Bulk Storage"/>
    <s v="Far"/>
    <n v="12"/>
    <s v="Monday"/>
    <s v="Medium (6-10)"/>
    <n v="1.5"/>
  </r>
  <r>
    <x v="697"/>
    <x v="108"/>
    <x v="27"/>
    <s v="A"/>
    <s v="I0034"/>
    <d v="2026-09-05T01:48:00"/>
    <d v="2026-09-05T01:54:00"/>
    <n v="5"/>
    <n v="6"/>
    <b v="0"/>
    <b v="0"/>
    <b v="0"/>
    <m/>
    <s v="Normal"/>
    <d v="2026-09-05T00:52:00"/>
    <b v="1"/>
    <s v="Bulk Materials"/>
    <x v="0"/>
    <s v="Climate-Controlled"/>
    <s v="Night"/>
    <s v="Experienced"/>
    <s v="Fast-Moving"/>
    <s v="Near"/>
    <n v="0"/>
    <s v="Saturday"/>
    <m/>
    <n v="1.2"/>
  </r>
  <r>
    <x v="698"/>
    <x v="108"/>
    <x v="15"/>
    <s v="B"/>
    <s v="I0048"/>
    <d v="2026-09-05T02:46:00"/>
    <d v="2026-09-05T02:52:00"/>
    <n v="5"/>
    <n v="6"/>
    <b v="0"/>
    <b v="0"/>
    <b v="0"/>
    <m/>
    <s v="Normal"/>
    <d v="2026-09-05T00:52:00"/>
    <b v="1"/>
    <s v="Electronics"/>
    <x v="2"/>
    <s v="Standard"/>
    <s v="Morning"/>
    <s v="Unknown"/>
    <s v="Bulk Storage"/>
    <s v="Far"/>
    <n v="0"/>
    <s v="Saturday"/>
    <m/>
    <n v="1.2"/>
  </r>
  <r>
    <x v="699"/>
    <x v="232"/>
    <x v="7"/>
    <s v="A"/>
    <s v="I0019"/>
    <d v="2026-09-06T02:01:00"/>
    <d v="2026-09-06T02:07:00"/>
    <n v="1"/>
    <n v="6"/>
    <b v="0"/>
    <b v="0"/>
    <b v="0"/>
    <n v="3"/>
    <s v="Normal"/>
    <d v="2026-09-06T01:51:00"/>
    <b v="0"/>
    <s v="Fragile Goods"/>
    <x v="1"/>
    <s v="Bulk"/>
    <s v="Morning"/>
    <s v="Beginner"/>
    <s v="Fast-Moving"/>
    <s v="Near"/>
    <n v="1"/>
    <s v="Sunday"/>
    <s v="Small (1-5)"/>
    <n v="6"/>
  </r>
  <r>
    <x v="700"/>
    <x v="115"/>
    <x v="6"/>
    <s v="H"/>
    <s v="I0071"/>
    <d v="2026-09-01T12:15:00"/>
    <d v="2026-09-01T12:21:00"/>
    <n v="3"/>
    <n v="6"/>
    <b v="0"/>
    <b v="0"/>
    <b v="0"/>
    <n v="20"/>
    <s v="High"/>
    <d v="2026-09-01T11:00:00"/>
    <b v="0"/>
    <s v="Bulk Materials"/>
    <x v="2"/>
    <s v="Bulk"/>
    <s v="Night"/>
    <s v="Intermediate"/>
    <s v="Small Parts"/>
    <s v="Near"/>
    <n v="11"/>
    <s v="Tuesday"/>
    <s v="Large (11-20)"/>
    <n v="2"/>
  </r>
  <r>
    <x v="701"/>
    <x v="235"/>
    <x v="25"/>
    <s v="H"/>
    <s v="I0031"/>
    <d v="2026-09-11T13:01:00"/>
    <d v="2026-09-11T13:07:00"/>
    <n v="1"/>
    <n v="6"/>
    <b v="0"/>
    <b v="0"/>
    <b v="0"/>
    <m/>
    <s v="High"/>
    <d v="2026-09-11T12:15:00"/>
    <b v="1"/>
    <s v="Unknown"/>
    <x v="2"/>
    <s v="Fragile"/>
    <s v="Night"/>
    <s v="Experienced"/>
    <s v="Small Parts"/>
    <s v="Near"/>
    <n v="12"/>
    <s v="Friday"/>
    <m/>
    <n v="6"/>
  </r>
  <r>
    <x v="702"/>
    <x v="74"/>
    <x v="1"/>
    <s v="E"/>
    <s v="I0009"/>
    <d v="2026-09-17T20:56:00"/>
    <d v="2026-09-17T21:02:00"/>
    <n v="2"/>
    <n v="6"/>
    <b v="0"/>
    <b v="0"/>
    <b v="0"/>
    <n v="12"/>
    <s v="Low"/>
    <d v="2026-09-17T19:59:00"/>
    <b v="0"/>
    <s v="Bulk Materials"/>
    <x v="0"/>
    <s v="Fragile"/>
    <s v="Night"/>
    <s v="Beginner"/>
    <s v="Fast-Moving"/>
    <s v="Medium"/>
    <n v="19"/>
    <s v="Thursday"/>
    <s v="Large (11-20)"/>
    <n v="3"/>
  </r>
  <r>
    <x v="703"/>
    <x v="213"/>
    <x v="27"/>
    <s v="E"/>
    <s v="I0010"/>
    <d v="2026-09-28T03:37:00"/>
    <d v="2026-09-28T03:43:00"/>
    <n v="7"/>
    <n v="6"/>
    <b v="0"/>
    <b v="0"/>
    <b v="0"/>
    <n v="6"/>
    <s v="High"/>
    <d v="2026-09-28T02:52:00"/>
    <b v="0"/>
    <s v="Fragile Goods"/>
    <x v="1"/>
    <s v="Standard"/>
    <s v="Night"/>
    <s v="Experienced"/>
    <s v="Fast-Moving"/>
    <s v="Medium"/>
    <n v="2"/>
    <s v="Monday"/>
    <s v="Medium (6-10)"/>
    <n v="0.8571428571428571"/>
  </r>
  <r>
    <x v="704"/>
    <x v="149"/>
    <x v="12"/>
    <s v="B"/>
    <s v="I0012"/>
    <d v="2026-09-17T06:07:00"/>
    <d v="2026-09-17T06:13:00"/>
    <n v="2"/>
    <n v="6"/>
    <b v="0"/>
    <b v="0"/>
    <b v="0"/>
    <n v="6"/>
    <s v="High"/>
    <d v="2026-09-17T04:31:00"/>
    <b v="0"/>
    <s v="Unknown"/>
    <x v="2"/>
    <s v="Bulk"/>
    <s v="Unknown"/>
    <s v="Intermediate"/>
    <s v="Bulk Storage"/>
    <s v="Far"/>
    <n v="4"/>
    <s v="Thursday"/>
    <s v="Medium (6-10)"/>
    <n v="3"/>
  </r>
  <r>
    <x v="705"/>
    <x v="149"/>
    <x v="19"/>
    <s v="A"/>
    <s v="I0014"/>
    <d v="2026-09-17T06:48:00"/>
    <d v="2026-09-17T06:54:00"/>
    <n v="5"/>
    <n v="6"/>
    <b v="0"/>
    <b v="0"/>
    <b v="0"/>
    <n v="6"/>
    <s v="High"/>
    <d v="2026-09-17T04:31:00"/>
    <b v="0"/>
    <s v="Unknown"/>
    <x v="1"/>
    <s v="Standard"/>
    <s v="Unknown"/>
    <s v="Experienced"/>
    <s v="Fast-Moving"/>
    <s v="Near"/>
    <n v="4"/>
    <s v="Thursday"/>
    <s v="Medium (6-10)"/>
    <n v="1.2"/>
  </r>
  <r>
    <x v="706"/>
    <x v="52"/>
    <x v="2"/>
    <s v="E"/>
    <s v="I0073"/>
    <d v="2026-09-17T07:37:00"/>
    <d v="2026-09-17T07:43:00"/>
    <n v="1"/>
    <n v="6"/>
    <b v="0"/>
    <b v="0"/>
    <b v="0"/>
    <n v="20"/>
    <s v="Low"/>
    <d v="2026-09-17T05:14:00"/>
    <b v="0"/>
    <s v="Unknown"/>
    <x v="0"/>
    <s v="Bulk"/>
    <s v="Evening"/>
    <s v="Beginner"/>
    <s v="Fast-Moving"/>
    <s v="Medium"/>
    <n v="5"/>
    <s v="Thursday"/>
    <s v="Large (11-20)"/>
    <n v="6"/>
  </r>
  <r>
    <x v="707"/>
    <x v="236"/>
    <x v="25"/>
    <s v="F"/>
    <s v="I0035"/>
    <d v="2026-09-17T12:12:00"/>
    <d v="2026-09-17T12:18:00"/>
    <n v="1"/>
    <n v="6"/>
    <b v="0"/>
    <b v="0"/>
    <b v="0"/>
    <n v="8"/>
    <s v="Normal"/>
    <d v="2026-09-17T11:57:00"/>
    <b v="0"/>
    <s v="Unknown"/>
    <x v="1"/>
    <s v="Fragile"/>
    <s v="Night"/>
    <s v="Experienced"/>
    <s v="Bulk Storage"/>
    <s v="Near"/>
    <n v="11"/>
    <s v="Thursday"/>
    <s v="Medium (6-10)"/>
    <n v="6"/>
  </r>
  <r>
    <x v="708"/>
    <x v="226"/>
    <x v="20"/>
    <s v="E"/>
    <s v="I0002"/>
    <d v="2026-09-26T23:59:00"/>
    <d v="2026-09-27T00:05:00"/>
    <n v="2"/>
    <n v="6"/>
    <b v="0"/>
    <b v="0"/>
    <b v="0"/>
    <n v="3"/>
    <s v="Normal"/>
    <d v="2026-09-26T23:11:00"/>
    <b v="0"/>
    <s v="Small Parts"/>
    <x v="0"/>
    <s v="Fragile"/>
    <s v="Night"/>
    <s v="Unknown"/>
    <s v="Fast-Moving"/>
    <s v="Medium"/>
    <n v="23"/>
    <s v="Saturday"/>
    <s v="Small (1-5)"/>
    <n v="3"/>
  </r>
  <r>
    <x v="709"/>
    <x v="144"/>
    <x v="22"/>
    <s v="C"/>
    <s v="I0039"/>
    <d v="2026-09-05T21:55:00"/>
    <d v="2026-09-05T22:01:00"/>
    <n v="6"/>
    <n v="6"/>
    <b v="0"/>
    <b v="0"/>
    <b v="0"/>
    <n v="8"/>
    <s v="Normal"/>
    <d v="2026-09-05T19:14:00"/>
    <b v="0"/>
    <s v="Apparel"/>
    <x v="0"/>
    <s v="Fragile"/>
    <s v="Unknown"/>
    <s v="Unknown"/>
    <s v="Small Parts"/>
    <s v="Medium"/>
    <n v="19"/>
    <s v="Saturday"/>
    <s v="Medium (6-10)"/>
    <n v="1"/>
  </r>
  <r>
    <x v="710"/>
    <x v="27"/>
    <x v="14"/>
    <s v="C"/>
    <s v="I0076"/>
    <d v="2026-09-28T05:03:00"/>
    <d v="2026-09-28T05:09:00"/>
    <n v="4"/>
    <n v="6"/>
    <b v="0"/>
    <b v="0"/>
    <b v="0"/>
    <n v="8"/>
    <s v="Normal"/>
    <d v="2026-09-28T03:05:00"/>
    <b v="0"/>
    <s v="Fragile Goods"/>
    <x v="3"/>
    <s v="Climate-Controlled"/>
    <s v="Night"/>
    <s v="Unknown"/>
    <s v="Small Parts"/>
    <s v="Medium"/>
    <n v="3"/>
    <s v="Monday"/>
    <s v="Medium (6-10)"/>
    <n v="1.5"/>
  </r>
  <r>
    <x v="711"/>
    <x v="57"/>
    <x v="6"/>
    <s v="C"/>
    <s v="I0058"/>
    <d v="2026-09-04T06:01:00"/>
    <d v="2026-09-04T06:07:00"/>
    <n v="1"/>
    <n v="6"/>
    <b v="0"/>
    <b v="0"/>
    <b v="0"/>
    <n v="8"/>
    <s v="Normal"/>
    <d v="2026-09-04T04:38:00"/>
    <b v="0"/>
    <s v="Home Goods"/>
    <x v="1"/>
    <s v="Unknown"/>
    <s v="Night"/>
    <s v="Intermediate"/>
    <s v="Small Parts"/>
    <s v="Medium"/>
    <n v="4"/>
    <s v="Friday"/>
    <s v="Medium (6-10)"/>
    <n v="6"/>
  </r>
  <r>
    <x v="712"/>
    <x v="187"/>
    <x v="27"/>
    <s v="B"/>
    <s v="I0075"/>
    <d v="2026-09-18T10:00:00"/>
    <d v="2026-09-18T10:06:00"/>
    <n v="1"/>
    <n v="6"/>
    <b v="0"/>
    <b v="0"/>
    <b v="0"/>
    <n v="20"/>
    <s v="High"/>
    <d v="2026-09-18T07:26:00"/>
    <b v="0"/>
    <s v="Fragile Goods"/>
    <x v="0"/>
    <s v="Standard"/>
    <s v="Night"/>
    <s v="Experienced"/>
    <s v="Bulk Storage"/>
    <s v="Far"/>
    <n v="7"/>
    <s v="Friday"/>
    <s v="Large (11-20)"/>
    <n v="6"/>
  </r>
  <r>
    <x v="713"/>
    <x v="69"/>
    <x v="27"/>
    <s v="E"/>
    <s v="I0024"/>
    <d v="2026-09-03T16:16:00"/>
    <d v="2026-09-03T16:22:00"/>
    <n v="6"/>
    <n v="6"/>
    <b v="0"/>
    <b v="0"/>
    <b v="0"/>
    <n v="20"/>
    <s v="Normal"/>
    <d v="2026-09-03T14:59:00"/>
    <b v="0"/>
    <s v="Fragile Goods"/>
    <x v="0"/>
    <s v="Fragile"/>
    <s v="Night"/>
    <s v="Experienced"/>
    <s v="Fast-Moving"/>
    <s v="Medium"/>
    <n v="14"/>
    <s v="Thursday"/>
    <s v="Large (11-20)"/>
    <n v="1"/>
  </r>
  <r>
    <x v="714"/>
    <x v="69"/>
    <x v="15"/>
    <s v="C"/>
    <s v="I0060"/>
    <d v="2026-09-03T15:01:00"/>
    <d v="2026-09-03T15:07:00"/>
    <n v="2"/>
    <n v="6"/>
    <b v="0"/>
    <b v="0"/>
    <b v="0"/>
    <n v="20"/>
    <s v="Normal"/>
    <d v="2026-09-03T14:59:00"/>
    <b v="0"/>
    <s v="Small Parts"/>
    <x v="2"/>
    <s v="Climate-Controlled"/>
    <s v="Morning"/>
    <s v="Unknown"/>
    <s v="Small Parts"/>
    <s v="Medium"/>
    <n v="14"/>
    <s v="Thursday"/>
    <s v="Large (11-20)"/>
    <n v="3"/>
  </r>
  <r>
    <x v="715"/>
    <x v="145"/>
    <x v="4"/>
    <s v="C"/>
    <s v="I0007"/>
    <d v="2026-09-19T05:02:00"/>
    <d v="2026-09-19T05:08:00"/>
    <n v="6"/>
    <n v="6"/>
    <b v="0"/>
    <b v="0"/>
    <b v="0"/>
    <n v="4"/>
    <s v="High"/>
    <d v="2026-09-19T05:00:00"/>
    <b v="0"/>
    <s v="Small Parts"/>
    <x v="1"/>
    <s v="Fragile"/>
    <s v="Night"/>
    <s v="Unknown"/>
    <s v="Small Parts"/>
    <s v="Medium"/>
    <n v="5"/>
    <s v="Saturday"/>
    <s v="Small (1-5)"/>
    <n v="1"/>
  </r>
  <r>
    <x v="716"/>
    <x v="237"/>
    <x v="1"/>
    <s v="C"/>
    <s v="I0059"/>
    <d v="2026-09-16T13:21:00"/>
    <d v="2026-09-16T13:27:00"/>
    <n v="2"/>
    <n v="6"/>
    <b v="0"/>
    <b v="0"/>
    <b v="0"/>
    <n v="5"/>
    <s v="Normal"/>
    <d v="2026-09-16T12:21:00"/>
    <b v="0"/>
    <s v="Electronics"/>
    <x v="1"/>
    <s v="Bulk"/>
    <s v="Night"/>
    <s v="Beginner"/>
    <s v="Small Parts"/>
    <s v="Medium"/>
    <n v="12"/>
    <s v="Wednesday"/>
    <s v="Small (1-5)"/>
    <n v="3"/>
  </r>
  <r>
    <x v="717"/>
    <x v="223"/>
    <x v="16"/>
    <s v="H"/>
    <s v="I0034"/>
    <d v="2026-09-06T11:01:00"/>
    <d v="2026-09-06T11:07:00"/>
    <n v="6"/>
    <n v="6"/>
    <b v="0"/>
    <b v="0"/>
    <b v="0"/>
    <n v="5"/>
    <s v="Normal"/>
    <d v="2026-09-06T08:37:00"/>
    <b v="0"/>
    <s v="Bulk Materials"/>
    <x v="0"/>
    <s v="Climate-Controlled"/>
    <s v="Night"/>
    <s v="Intermediate"/>
    <s v="Small Parts"/>
    <s v="Near"/>
    <n v="8"/>
    <s v="Sunday"/>
    <s v="Small (1-5)"/>
    <n v="1"/>
  </r>
  <r>
    <x v="718"/>
    <x v="223"/>
    <x v="22"/>
    <s v="D"/>
    <s v="I0041"/>
    <d v="2026-09-06T11:19:00"/>
    <d v="2026-09-06T11:25:00"/>
    <n v="2"/>
    <n v="6"/>
    <b v="0"/>
    <b v="0"/>
    <b v="0"/>
    <n v="5"/>
    <s v="Normal"/>
    <d v="2026-09-06T08:37:00"/>
    <b v="0"/>
    <s v="Bulk Materials"/>
    <x v="2"/>
    <s v="Bulk"/>
    <s v="Unknown"/>
    <s v="Unknown"/>
    <s v="Fragile"/>
    <s v="Unknown"/>
    <n v="8"/>
    <s v="Sunday"/>
    <s v="Small (1-5)"/>
    <n v="3"/>
  </r>
  <r>
    <x v="719"/>
    <x v="64"/>
    <x v="7"/>
    <s v="F"/>
    <s v="I0021"/>
    <d v="2026-09-19T15:16:00"/>
    <d v="2026-09-19T15:22:00"/>
    <n v="1"/>
    <n v="6"/>
    <b v="0"/>
    <b v="0"/>
    <b v="0"/>
    <n v="20"/>
    <s v="Low"/>
    <d v="2026-09-19T14:23:00"/>
    <b v="0"/>
    <s v="Apparel"/>
    <x v="0"/>
    <s v="Standard"/>
    <s v="Morning"/>
    <s v="Beginner"/>
    <s v="Bulk Storage"/>
    <s v="Near"/>
    <n v="14"/>
    <s v="Saturday"/>
    <s v="Large (11-20)"/>
    <n v="6"/>
  </r>
  <r>
    <x v="720"/>
    <x v="64"/>
    <x v="22"/>
    <s v="A"/>
    <s v="I0007"/>
    <d v="2026-09-19T16:30:00"/>
    <d v="2026-09-19T16:36:00"/>
    <n v="6"/>
    <n v="6"/>
    <b v="0"/>
    <b v="0"/>
    <b v="0"/>
    <n v="20"/>
    <s v="Low"/>
    <d v="2026-09-19T14:23:00"/>
    <b v="0"/>
    <s v="Small Parts"/>
    <x v="1"/>
    <s v="Fragile"/>
    <s v="Unknown"/>
    <s v="Unknown"/>
    <s v="Fast-Moving"/>
    <s v="Near"/>
    <n v="14"/>
    <s v="Saturday"/>
    <s v="Large (11-20)"/>
    <n v="1"/>
  </r>
  <r>
    <x v="721"/>
    <x v="65"/>
    <x v="30"/>
    <s v="H"/>
    <s v="I0001"/>
    <d v="2026-09-22T10:55:00"/>
    <d v="2026-09-22T11:01:00"/>
    <n v="4"/>
    <n v="6"/>
    <b v="0"/>
    <b v="0"/>
    <b v="0"/>
    <n v="20"/>
    <s v="Normal"/>
    <d v="2026-09-22T09:35:00"/>
    <b v="0"/>
    <s v="Fragile Goods"/>
    <x v="0"/>
    <s v="Standard"/>
    <s v="Night"/>
    <s v="Experienced"/>
    <s v="Small Parts"/>
    <s v="Near"/>
    <n v="9"/>
    <s v="Tuesday"/>
    <s v="Large (11-20)"/>
    <n v="1.5"/>
  </r>
  <r>
    <x v="722"/>
    <x v="65"/>
    <x v="5"/>
    <s v="A"/>
    <s v="I0017"/>
    <d v="2026-09-22T09:42:00"/>
    <d v="2026-09-22T09:48:00"/>
    <n v="1"/>
    <n v="6"/>
    <b v="0"/>
    <b v="0"/>
    <b v="0"/>
    <n v="20"/>
    <s v="Normal"/>
    <d v="2026-09-22T09:35:00"/>
    <b v="0"/>
    <s v="Bulk Materials"/>
    <x v="1"/>
    <s v="Bulk"/>
    <s v="Unknown"/>
    <s v="Beginner"/>
    <s v="Fast-Moving"/>
    <s v="Near"/>
    <n v="9"/>
    <s v="Tuesday"/>
    <s v="Large (11-20)"/>
    <n v="6"/>
  </r>
  <r>
    <x v="723"/>
    <x v="8"/>
    <x v="0"/>
    <s v="H"/>
    <s v="I0071"/>
    <d v="2026-09-02T22:33:00"/>
    <d v="2026-09-02T22:39:00"/>
    <n v="2"/>
    <n v="6"/>
    <b v="0"/>
    <b v="0"/>
    <b v="0"/>
    <n v="15"/>
    <s v="High"/>
    <d v="2026-09-02T21:30:00"/>
    <b v="0"/>
    <s v="Bulk Materials"/>
    <x v="2"/>
    <s v="Bulk"/>
    <s v="Night"/>
    <s v="Beginner"/>
    <s v="Small Parts"/>
    <s v="Near"/>
    <n v="21"/>
    <s v="Wednesday"/>
    <s v="Large (11-20)"/>
    <n v="3"/>
  </r>
  <r>
    <x v="724"/>
    <x v="177"/>
    <x v="24"/>
    <s v="E"/>
    <s v="I0037"/>
    <d v="2026-09-25T00:12:00"/>
    <d v="2026-09-25T00:18:00"/>
    <n v="7"/>
    <n v="6"/>
    <b v="0"/>
    <b v="0"/>
    <b v="0"/>
    <n v="20"/>
    <s v="Normal"/>
    <d v="2026-09-24T23:08:00"/>
    <b v="0"/>
    <s v="Electronics"/>
    <x v="1"/>
    <s v="Climate-Controlled"/>
    <s v="Night"/>
    <s v="Experienced"/>
    <s v="Fast-Moving"/>
    <s v="Medium"/>
    <n v="23"/>
    <s v="Thursday"/>
    <s v="Large (11-20)"/>
    <n v="0.8571428571428571"/>
  </r>
  <r>
    <x v="725"/>
    <x v="44"/>
    <x v="29"/>
    <s v="C"/>
    <s v="I0012"/>
    <d v="2026-09-27T20:50:00"/>
    <d v="2026-09-27T20:56:00"/>
    <n v="4"/>
    <n v="6"/>
    <b v="0"/>
    <b v="0"/>
    <b v="0"/>
    <n v="12"/>
    <s v="High"/>
    <d v="2026-09-27T19:57:00"/>
    <b v="0"/>
    <s v="Unknown"/>
    <x v="2"/>
    <s v="Bulk"/>
    <s v="Morning"/>
    <s v="Experienced"/>
    <s v="Small Parts"/>
    <s v="Medium"/>
    <n v="19"/>
    <s v="Sunday"/>
    <s v="Large (11-20)"/>
    <n v="1.5"/>
  </r>
  <r>
    <x v="726"/>
    <x v="238"/>
    <x v="30"/>
    <s v="E"/>
    <s v="I0042"/>
    <d v="2026-09-17T00:29:00"/>
    <d v="2026-09-17T00:35:00"/>
    <n v="2"/>
    <n v="6"/>
    <b v="0"/>
    <b v="0"/>
    <b v="0"/>
    <n v="2"/>
    <s v="Urgent"/>
    <d v="2026-09-16T22:58:00"/>
    <b v="0"/>
    <s v="Electronics"/>
    <x v="1"/>
    <s v="Standard"/>
    <s v="Night"/>
    <s v="Experienced"/>
    <s v="Fast-Moving"/>
    <s v="Medium"/>
    <n v="22"/>
    <s v="Wednesday"/>
    <s v="Small (1-5)"/>
    <n v="3"/>
  </r>
  <r>
    <x v="727"/>
    <x v="136"/>
    <x v="1"/>
    <s v="F"/>
    <s v="I0023"/>
    <d v="2026-09-20T10:24:00"/>
    <d v="2026-09-20T10:30:00"/>
    <n v="3"/>
    <n v="6"/>
    <b v="0"/>
    <b v="0"/>
    <b v="0"/>
    <n v="8"/>
    <s v="Normal"/>
    <d v="2026-09-20T09:05:00"/>
    <b v="0"/>
    <s v="Home Goods"/>
    <x v="1"/>
    <s v="Bulk"/>
    <s v="Night"/>
    <s v="Beginner"/>
    <s v="Bulk Storage"/>
    <s v="Near"/>
    <n v="9"/>
    <s v="Sunday"/>
    <s v="Medium (6-10)"/>
    <n v="2"/>
  </r>
  <r>
    <x v="728"/>
    <x v="46"/>
    <x v="27"/>
    <s v="A"/>
    <s v="I0042"/>
    <d v="2026-09-08T02:06:00"/>
    <d v="2026-09-08T02:12:00"/>
    <n v="7"/>
    <n v="6"/>
    <b v="0"/>
    <b v="0"/>
    <b v="0"/>
    <n v="10"/>
    <s v="Low"/>
    <d v="2026-09-08T01:04:00"/>
    <b v="0"/>
    <s v="Electronics"/>
    <x v="1"/>
    <s v="Standard"/>
    <s v="Night"/>
    <s v="Experienced"/>
    <s v="Fast-Moving"/>
    <s v="Near"/>
    <n v="1"/>
    <s v="Tuesday"/>
    <s v="Medium (6-10)"/>
    <n v="0.8571428571428571"/>
  </r>
  <r>
    <x v="729"/>
    <x v="121"/>
    <x v="8"/>
    <s v="F"/>
    <s v="I0020"/>
    <d v="2026-09-26T09:53:00"/>
    <d v="2026-09-26T09:59:00"/>
    <n v="2"/>
    <n v="6"/>
    <b v="0"/>
    <b v="0"/>
    <b v="0"/>
    <n v="8"/>
    <s v="Normal"/>
    <d v="2026-09-26T07:22:00"/>
    <b v="0"/>
    <s v="Apparel"/>
    <x v="0"/>
    <s v="Bulk"/>
    <s v="Evening"/>
    <s v="Unknown"/>
    <s v="Bulk Storage"/>
    <s v="Near"/>
    <n v="7"/>
    <s v="Saturday"/>
    <s v="Medium (6-10)"/>
    <n v="3"/>
  </r>
  <r>
    <x v="730"/>
    <x v="121"/>
    <x v="9"/>
    <s v="A"/>
    <s v="I0012"/>
    <d v="2026-09-26T10:04:00"/>
    <d v="2026-09-26T10:10:00"/>
    <n v="2"/>
    <n v="6"/>
    <b v="0"/>
    <b v="0"/>
    <b v="0"/>
    <n v="8"/>
    <s v="Normal"/>
    <d v="2026-09-26T07:22:00"/>
    <b v="0"/>
    <s v="Unknown"/>
    <x v="2"/>
    <s v="Bulk"/>
    <s v="Unknown"/>
    <s v="Intermediate"/>
    <s v="Fast-Moving"/>
    <s v="Near"/>
    <n v="7"/>
    <s v="Saturday"/>
    <s v="Medium (6-10)"/>
    <n v="3"/>
  </r>
  <r>
    <x v="731"/>
    <x v="177"/>
    <x v="12"/>
    <s v="C"/>
    <s v="I0007"/>
    <d v="2026-09-25T00:58:00"/>
    <d v="2026-09-25T01:04:00"/>
    <n v="1"/>
    <n v="6"/>
    <b v="0"/>
    <b v="0"/>
    <b v="0"/>
    <n v="20"/>
    <s v="Normal"/>
    <d v="2026-09-24T23:08:00"/>
    <b v="0"/>
    <s v="Small Parts"/>
    <x v="1"/>
    <s v="Fragile"/>
    <s v="Unknown"/>
    <s v="Intermediate"/>
    <s v="Small Parts"/>
    <s v="Medium"/>
    <n v="23"/>
    <s v="Thursday"/>
    <s v="Large (11-20)"/>
    <n v="6"/>
  </r>
  <r>
    <x v="732"/>
    <x v="173"/>
    <x v="28"/>
    <s v="H"/>
    <s v="I0036"/>
    <d v="2026-09-10T16:29:00"/>
    <d v="2026-09-10T16:35:00"/>
    <n v="3"/>
    <n v="6"/>
    <b v="0"/>
    <b v="0"/>
    <b v="0"/>
    <n v="6"/>
    <s v="Normal"/>
    <d v="2026-09-10T15:02:00"/>
    <b v="0"/>
    <s v="Apparel"/>
    <x v="0"/>
    <s v="Unknown"/>
    <s v="Night"/>
    <s v="Experienced"/>
    <s v="Small Parts"/>
    <s v="Near"/>
    <n v="15"/>
    <s v="Thursday"/>
    <s v="Medium (6-10)"/>
    <n v="2"/>
  </r>
  <r>
    <x v="733"/>
    <x v="61"/>
    <x v="10"/>
    <s v="A"/>
    <s v="I0041"/>
    <d v="2026-09-19T00:42:00"/>
    <d v="2026-09-19T00:48:00"/>
    <n v="3"/>
    <n v="6"/>
    <b v="0"/>
    <b v="0"/>
    <b v="0"/>
    <n v="8"/>
    <s v="Normal"/>
    <d v="2026-09-18T22:53:00"/>
    <b v="0"/>
    <s v="Bulk Materials"/>
    <x v="2"/>
    <s v="Bulk"/>
    <s v="Night"/>
    <s v="Unknown"/>
    <s v="Fast-Moving"/>
    <s v="Near"/>
    <n v="22"/>
    <s v="Friday"/>
    <s v="Medium (6-10)"/>
    <n v="2"/>
  </r>
  <r>
    <x v="734"/>
    <x v="72"/>
    <x v="1"/>
    <s v="A"/>
    <s v="I0059"/>
    <d v="2026-09-17T14:34:00"/>
    <d v="2026-09-17T14:40:00"/>
    <n v="4"/>
    <n v="6"/>
    <b v="0"/>
    <b v="0"/>
    <b v="0"/>
    <n v="20"/>
    <s v="High"/>
    <d v="2026-09-17T12:47:00"/>
    <b v="0"/>
    <s v="Electronics"/>
    <x v="1"/>
    <s v="Bulk"/>
    <s v="Night"/>
    <s v="Beginner"/>
    <s v="Fast-Moving"/>
    <s v="Near"/>
    <n v="12"/>
    <s v="Thursday"/>
    <s v="Large (11-20)"/>
    <n v="1.5"/>
  </r>
  <r>
    <x v="735"/>
    <x v="72"/>
    <x v="26"/>
    <s v="B"/>
    <s v="I0001"/>
    <d v="2026-09-17T15:08:00"/>
    <d v="2026-09-17T15:14:00"/>
    <n v="1"/>
    <n v="6"/>
    <b v="0"/>
    <b v="0"/>
    <b v="0"/>
    <n v="20"/>
    <s v="High"/>
    <d v="2026-09-17T12:47:00"/>
    <b v="0"/>
    <s v="Fragile Goods"/>
    <x v="0"/>
    <s v="Standard"/>
    <s v="Morning"/>
    <s v="Experienced"/>
    <s v="Bulk Storage"/>
    <s v="Far"/>
    <n v="12"/>
    <s v="Thursday"/>
    <s v="Large (11-20)"/>
    <n v="6"/>
  </r>
  <r>
    <x v="736"/>
    <x v="217"/>
    <x v="25"/>
    <s v="C"/>
    <s v="I0030"/>
    <d v="2026-09-22T14:39:00"/>
    <d v="2026-09-22T14:45:00"/>
    <n v="6"/>
    <n v="6"/>
    <b v="0"/>
    <b v="0"/>
    <b v="0"/>
    <n v="5"/>
    <s v="Normal"/>
    <d v="2026-09-22T12:15:00"/>
    <b v="0"/>
    <s v="Electronics"/>
    <x v="0"/>
    <s v="Fragile"/>
    <s v="Night"/>
    <s v="Experienced"/>
    <s v="Small Parts"/>
    <s v="Medium"/>
    <n v="12"/>
    <s v="Tuesday"/>
    <s v="Small (1-5)"/>
    <n v="1"/>
  </r>
  <r>
    <x v="737"/>
    <x v="94"/>
    <x v="26"/>
    <s v="C"/>
    <s v="I0027"/>
    <d v="2026-09-11T06:36:00"/>
    <d v="2026-09-11T06:42:00"/>
    <n v="5"/>
    <n v="6"/>
    <b v="0"/>
    <b v="0"/>
    <b v="0"/>
    <n v="15"/>
    <s v="High"/>
    <d v="2026-09-11T04:28:00"/>
    <b v="0"/>
    <s v="Unknown"/>
    <x v="2"/>
    <s v="Bulk"/>
    <s v="Morning"/>
    <s v="Experienced"/>
    <s v="Small Parts"/>
    <s v="Medium"/>
    <n v="4"/>
    <s v="Friday"/>
    <s v="Large (11-20)"/>
    <n v="1.2"/>
  </r>
  <r>
    <x v="738"/>
    <x v="73"/>
    <x v="4"/>
    <s v="F"/>
    <s v="I0021"/>
    <d v="2026-09-25T09:01:00"/>
    <d v="2026-09-25T09:07:00"/>
    <n v="2"/>
    <n v="6"/>
    <b v="0"/>
    <b v="0"/>
    <b v="0"/>
    <n v="15"/>
    <s v="Normal"/>
    <d v="2026-09-25T07:16:00"/>
    <b v="0"/>
    <s v="Apparel"/>
    <x v="0"/>
    <s v="Standard"/>
    <s v="Night"/>
    <s v="Unknown"/>
    <s v="Bulk Storage"/>
    <s v="Near"/>
    <n v="7"/>
    <s v="Friday"/>
    <s v="Large (11-20)"/>
    <n v="3"/>
  </r>
  <r>
    <x v="739"/>
    <x v="70"/>
    <x v="13"/>
    <s v="B"/>
    <s v="I0034"/>
    <d v="2026-09-27T00:33:00"/>
    <d v="2026-09-27T00:39:00"/>
    <n v="1"/>
    <n v="6"/>
    <b v="0"/>
    <b v="0"/>
    <b v="0"/>
    <n v="12"/>
    <s v="High"/>
    <d v="2026-09-26T21:43:00"/>
    <b v="0"/>
    <s v="Bulk Materials"/>
    <x v="0"/>
    <s v="Climate-Controlled"/>
    <s v="Night"/>
    <s v="Intermediate"/>
    <s v="Bulk Storage"/>
    <s v="Far"/>
    <n v="21"/>
    <s v="Saturday"/>
    <s v="Large (11-20)"/>
    <n v="6"/>
  </r>
  <r>
    <x v="740"/>
    <x v="139"/>
    <x v="12"/>
    <s v="E"/>
    <s v="I0052"/>
    <d v="2026-09-13T05:36:00"/>
    <d v="2026-09-13T05:42:00"/>
    <n v="5"/>
    <n v="6"/>
    <b v="0"/>
    <b v="0"/>
    <b v="0"/>
    <n v="10"/>
    <s v="High"/>
    <d v="2026-09-13T05:29:00"/>
    <b v="0"/>
    <s v="Bulk Materials"/>
    <x v="3"/>
    <s v="Bulk"/>
    <s v="Unknown"/>
    <s v="Intermediate"/>
    <s v="Fast-Moving"/>
    <s v="Medium"/>
    <n v="5"/>
    <s v="Sunday"/>
    <s v="Medium (6-10)"/>
    <n v="1.2"/>
  </r>
  <r>
    <x v="741"/>
    <x v="138"/>
    <x v="30"/>
    <s v="C"/>
    <s v="I0026"/>
    <d v="2026-09-02T05:32:00"/>
    <d v="2026-09-02T05:38:00"/>
    <n v="2"/>
    <n v="6"/>
    <b v="0"/>
    <b v="0"/>
    <b v="0"/>
    <n v="8"/>
    <s v="High"/>
    <d v="2026-09-02T05:13:00"/>
    <b v="0"/>
    <s v="Bulk Materials"/>
    <x v="0"/>
    <s v="Climate-Controlled"/>
    <s v="Night"/>
    <s v="Experienced"/>
    <s v="Small Parts"/>
    <s v="Medium"/>
    <n v="5"/>
    <s v="Wednesday"/>
    <s v="Medium (6-10)"/>
    <n v="3"/>
  </r>
  <r>
    <x v="742"/>
    <x v="138"/>
    <x v="10"/>
    <s v="H"/>
    <s v="I0054"/>
    <d v="2026-09-02T06:08:00"/>
    <d v="2026-09-02T06:14:00"/>
    <n v="3"/>
    <n v="6"/>
    <b v="0"/>
    <b v="0"/>
    <b v="0"/>
    <n v="8"/>
    <s v="High"/>
    <d v="2026-09-02T05:13:00"/>
    <b v="0"/>
    <s v="Small Parts"/>
    <x v="0"/>
    <s v="Bulk"/>
    <s v="Night"/>
    <s v="Unknown"/>
    <s v="Small Parts"/>
    <s v="Near"/>
    <n v="5"/>
    <s v="Wednesday"/>
    <s v="Medium (6-10)"/>
    <n v="2"/>
  </r>
  <r>
    <x v="743"/>
    <x v="114"/>
    <x v="18"/>
    <s v="A"/>
    <s v="I0029"/>
    <d v="2026-09-02T18:24:00"/>
    <d v="2026-09-02T18:30:00"/>
    <n v="2"/>
    <n v="6"/>
    <b v="0"/>
    <b v="0"/>
    <b v="0"/>
    <n v="10"/>
    <s v="Urgent"/>
    <d v="2026-09-02T17:25:00"/>
    <b v="0"/>
    <s v="Small Parts"/>
    <x v="1"/>
    <s v="Standard"/>
    <s v="Night"/>
    <s v="Intermediate"/>
    <s v="Fast-Moving"/>
    <s v="Near"/>
    <n v="17"/>
    <s v="Wednesday"/>
    <s v="Medium (6-10)"/>
    <n v="3"/>
  </r>
  <r>
    <x v="744"/>
    <x v="101"/>
    <x v="18"/>
    <s v="D"/>
    <s v="I0036"/>
    <d v="2026-09-04T09:53:00"/>
    <d v="2026-09-04T09:59:00"/>
    <n v="1"/>
    <n v="6"/>
    <b v="0"/>
    <b v="0"/>
    <b v="0"/>
    <n v="12"/>
    <s v="High"/>
    <d v="2026-09-04T06:58:00"/>
    <b v="0"/>
    <s v="Apparel"/>
    <x v="0"/>
    <s v="Unknown"/>
    <s v="Night"/>
    <s v="Intermediate"/>
    <s v="Fragile"/>
    <s v="Unknown"/>
    <n v="6"/>
    <s v="Friday"/>
    <s v="Large (11-20)"/>
    <n v="6"/>
  </r>
  <r>
    <x v="745"/>
    <x v="101"/>
    <x v="6"/>
    <s v="A"/>
    <s v="I0058"/>
    <d v="2026-09-04T08:58:00"/>
    <d v="2026-09-04T09:04:00"/>
    <n v="3"/>
    <n v="6"/>
    <b v="0"/>
    <b v="0"/>
    <b v="0"/>
    <n v="12"/>
    <s v="High"/>
    <d v="2026-09-04T06:58:00"/>
    <b v="0"/>
    <s v="Home Goods"/>
    <x v="1"/>
    <s v="Unknown"/>
    <s v="Night"/>
    <s v="Intermediate"/>
    <s v="Fast-Moving"/>
    <s v="Near"/>
    <n v="6"/>
    <s v="Friday"/>
    <s v="Large (11-20)"/>
    <n v="2"/>
  </r>
  <r>
    <x v="746"/>
    <x v="150"/>
    <x v="30"/>
    <s v="F"/>
    <s v="I0004"/>
    <d v="2026-09-26T18:15:00"/>
    <d v="2026-09-26T18:21:00"/>
    <n v="4"/>
    <n v="6"/>
    <b v="0"/>
    <b v="0"/>
    <b v="0"/>
    <n v="4"/>
    <s v="Normal"/>
    <d v="2026-09-26T17:00:00"/>
    <b v="0"/>
    <s v="Electronics"/>
    <x v="0"/>
    <s v="Standard"/>
    <s v="Night"/>
    <s v="Experienced"/>
    <s v="Bulk Storage"/>
    <s v="Near"/>
    <n v="17"/>
    <s v="Saturday"/>
    <s v="Small (1-5)"/>
    <n v="1.5"/>
  </r>
  <r>
    <x v="747"/>
    <x v="79"/>
    <x v="5"/>
    <s v="A"/>
    <s v="I0064"/>
    <d v="2026-09-25T01:30:00"/>
    <d v="2026-09-25T01:36:00"/>
    <n v="4"/>
    <n v="6"/>
    <b v="0"/>
    <b v="0"/>
    <b v="0"/>
    <n v="15"/>
    <s v="Urgent"/>
    <d v="2026-09-24T23:31:00"/>
    <b v="0"/>
    <s v="Small Parts"/>
    <x v="0"/>
    <s v="Unknown"/>
    <s v="Unknown"/>
    <s v="Beginner"/>
    <s v="Fast-Moving"/>
    <s v="Near"/>
    <n v="23"/>
    <s v="Thursday"/>
    <s v="Large (11-20)"/>
    <n v="1.5"/>
  </r>
  <r>
    <x v="748"/>
    <x v="10"/>
    <x v="17"/>
    <s v="A"/>
    <s v="I0068"/>
    <d v="2026-09-08T13:49:00"/>
    <d v="2026-09-08T13:55:00"/>
    <n v="7"/>
    <n v="6"/>
    <b v="0"/>
    <b v="0"/>
    <b v="0"/>
    <n v="10"/>
    <s v="Low"/>
    <d v="2026-09-08T11:10:00"/>
    <b v="0"/>
    <s v="Electronics"/>
    <x v="1"/>
    <s v="Climate-Controlled"/>
    <s v="Night"/>
    <s v="Intermediate"/>
    <s v="Fast-Moving"/>
    <s v="Near"/>
    <n v="11"/>
    <s v="Tuesday"/>
    <s v="Medium (6-10)"/>
    <n v="0.8571428571428571"/>
  </r>
  <r>
    <x v="749"/>
    <x v="171"/>
    <x v="31"/>
    <s v="H"/>
    <s v="I0062"/>
    <d v="2026-09-21T08:22:00"/>
    <d v="2026-09-21T08:28:00"/>
    <n v="4"/>
    <n v="6"/>
    <b v="0"/>
    <b v="0"/>
    <b v="0"/>
    <n v="8"/>
    <s v="High"/>
    <d v="2026-09-21T07:18:00"/>
    <b v="0"/>
    <s v="Home Goods"/>
    <x v="1"/>
    <s v="Bulk"/>
    <s v="Morning"/>
    <s v="Experienced"/>
    <s v="Small Parts"/>
    <s v="Near"/>
    <n v="7"/>
    <s v="Monday"/>
    <s v="Medium (6-10)"/>
    <n v="1.5"/>
  </r>
  <r>
    <x v="750"/>
    <x v="14"/>
    <x v="14"/>
    <s v="C"/>
    <s v="I0059"/>
    <d v="2026-09-25T10:25:00"/>
    <d v="2026-09-25T10:31:00"/>
    <n v="5"/>
    <n v="6"/>
    <b v="0"/>
    <b v="0"/>
    <b v="0"/>
    <n v="20"/>
    <s v="Low"/>
    <d v="2026-09-25T09:29:00"/>
    <b v="0"/>
    <s v="Electronics"/>
    <x v="1"/>
    <s v="Bulk"/>
    <s v="Night"/>
    <s v="Unknown"/>
    <s v="Small Parts"/>
    <s v="Medium"/>
    <n v="9"/>
    <s v="Friday"/>
    <s v="Large (11-20)"/>
    <n v="1.2"/>
  </r>
  <r>
    <x v="751"/>
    <x v="100"/>
    <x v="11"/>
    <s v="E"/>
    <s v="I0064"/>
    <d v="2026-09-05T20:53:00"/>
    <d v="2026-09-05T20:59:00"/>
    <n v="4"/>
    <n v="6"/>
    <b v="0"/>
    <b v="0"/>
    <b v="0"/>
    <n v="20"/>
    <s v="High"/>
    <d v="2026-09-05T19:30:00"/>
    <b v="0"/>
    <s v="Small Parts"/>
    <x v="0"/>
    <s v="Unknown"/>
    <s v="Night"/>
    <s v="Intermediate"/>
    <s v="Fast-Moving"/>
    <s v="Medium"/>
    <n v="19"/>
    <s v="Saturday"/>
    <s v="Large (11-20)"/>
    <n v="1.5"/>
  </r>
  <r>
    <x v="752"/>
    <x v="124"/>
    <x v="17"/>
    <s v="E"/>
    <s v="I0029"/>
    <d v="2026-09-16T08:47:00"/>
    <d v="2026-09-16T08:53:00"/>
    <n v="2"/>
    <n v="6"/>
    <b v="0"/>
    <b v="0"/>
    <b v="0"/>
    <n v="4"/>
    <s v="Normal"/>
    <d v="2026-09-16T06:10:00"/>
    <b v="0"/>
    <s v="Small Parts"/>
    <x v="1"/>
    <s v="Standard"/>
    <s v="Night"/>
    <s v="Intermediate"/>
    <s v="Fast-Moving"/>
    <s v="Medium"/>
    <n v="6"/>
    <s v="Wednesday"/>
    <s v="Small (1-5)"/>
    <n v="3"/>
  </r>
  <r>
    <x v="753"/>
    <x v="68"/>
    <x v="28"/>
    <s v="F"/>
    <s v="I0068"/>
    <d v="2026-09-11T10:32:00"/>
    <d v="2026-09-11T10:38:00"/>
    <n v="7"/>
    <n v="6"/>
    <b v="0"/>
    <b v="0"/>
    <b v="0"/>
    <n v="10"/>
    <s v="Normal"/>
    <d v="2026-09-11T09:20:00"/>
    <b v="0"/>
    <s v="Electronics"/>
    <x v="1"/>
    <s v="Climate-Controlled"/>
    <s v="Night"/>
    <s v="Experienced"/>
    <s v="Bulk Storage"/>
    <s v="Near"/>
    <n v="9"/>
    <s v="Friday"/>
    <s v="Medium (6-10)"/>
    <n v="0.8571428571428571"/>
  </r>
  <r>
    <x v="754"/>
    <x v="68"/>
    <x v="13"/>
    <s v="B"/>
    <s v="I0076"/>
    <d v="2026-09-11T09:30:00"/>
    <d v="2026-09-11T09:36:00"/>
    <n v="5"/>
    <n v="6"/>
    <b v="0"/>
    <b v="0"/>
    <b v="0"/>
    <n v="10"/>
    <s v="Normal"/>
    <d v="2026-09-11T09:20:00"/>
    <b v="0"/>
    <s v="Fragile Goods"/>
    <x v="3"/>
    <s v="Climate-Controlled"/>
    <s v="Night"/>
    <s v="Intermediate"/>
    <s v="Bulk Storage"/>
    <s v="Far"/>
    <n v="9"/>
    <s v="Friday"/>
    <s v="Medium (6-10)"/>
    <n v="1.2"/>
  </r>
  <r>
    <x v="755"/>
    <x v="68"/>
    <x v="0"/>
    <s v="A"/>
    <s v="I0050"/>
    <d v="2026-09-11T09:30:00"/>
    <d v="2026-09-11T09:36:00"/>
    <n v="1"/>
    <n v="6"/>
    <b v="0"/>
    <b v="0"/>
    <b v="0"/>
    <n v="10"/>
    <s v="Normal"/>
    <d v="2026-09-11T09:20:00"/>
    <b v="0"/>
    <s v="Home Goods"/>
    <x v="1"/>
    <s v="Bulk"/>
    <s v="Night"/>
    <s v="Beginner"/>
    <s v="Fast-Moving"/>
    <s v="Near"/>
    <n v="9"/>
    <s v="Friday"/>
    <s v="Medium (6-10)"/>
    <n v="6"/>
  </r>
  <r>
    <x v="756"/>
    <x v="9"/>
    <x v="2"/>
    <s v="A"/>
    <s v="I0023"/>
    <d v="2026-09-01T14:23:00"/>
    <d v="2026-09-01T14:29:00"/>
    <n v="3"/>
    <n v="6"/>
    <b v="0"/>
    <b v="0"/>
    <b v="0"/>
    <n v="12"/>
    <s v="High"/>
    <d v="2026-09-01T13:09:00"/>
    <b v="0"/>
    <s v="Home Goods"/>
    <x v="1"/>
    <s v="Bulk"/>
    <s v="Evening"/>
    <s v="Beginner"/>
    <s v="Fast-Moving"/>
    <s v="Near"/>
    <n v="13"/>
    <s v="Tuesday"/>
    <s v="Large (11-20)"/>
    <n v="2"/>
  </r>
  <r>
    <x v="757"/>
    <x v="239"/>
    <x v="22"/>
    <s v="E"/>
    <s v="I0040"/>
    <d v="2026-09-17T15:19:00"/>
    <d v="2026-09-17T15:25:00"/>
    <n v="5"/>
    <n v="6"/>
    <b v="0"/>
    <b v="0"/>
    <b v="0"/>
    <n v="2"/>
    <s v="Low"/>
    <d v="2026-09-17T12:50:00"/>
    <b v="0"/>
    <s v="Unknown"/>
    <x v="1"/>
    <s v="Standard"/>
    <s v="Unknown"/>
    <s v="Unknown"/>
    <s v="Fast-Moving"/>
    <s v="Medium"/>
    <n v="12"/>
    <s v="Thursday"/>
    <s v="Small (1-5)"/>
    <n v="1.2"/>
  </r>
  <r>
    <x v="758"/>
    <x v="2"/>
    <x v="25"/>
    <s v="B"/>
    <s v="I0052"/>
    <d v="2026-09-04T17:28:00"/>
    <d v="2026-09-04T17:34:00"/>
    <n v="3"/>
    <n v="6"/>
    <b v="0"/>
    <b v="0"/>
    <b v="0"/>
    <n v="15"/>
    <s v="Normal"/>
    <d v="2026-09-04T15:51:00"/>
    <b v="0"/>
    <s v="Bulk Materials"/>
    <x v="3"/>
    <s v="Bulk"/>
    <s v="Night"/>
    <s v="Experienced"/>
    <s v="Bulk Storage"/>
    <s v="Far"/>
    <n v="15"/>
    <s v="Friday"/>
    <s v="Large (11-20)"/>
    <n v="2"/>
  </r>
  <r>
    <x v="759"/>
    <x v="2"/>
    <x v="17"/>
    <s v="C"/>
    <s v="I0066"/>
    <d v="2026-09-04T18:32:00"/>
    <d v="2026-09-04T18:38:00"/>
    <n v="1"/>
    <n v="6"/>
    <b v="0"/>
    <b v="0"/>
    <b v="0"/>
    <n v="15"/>
    <s v="Normal"/>
    <d v="2026-09-04T15:51:00"/>
    <b v="0"/>
    <s v="Bulk Materials"/>
    <x v="2"/>
    <s v="Bulk"/>
    <s v="Night"/>
    <s v="Intermediate"/>
    <s v="Small Parts"/>
    <s v="Medium"/>
    <n v="15"/>
    <s v="Friday"/>
    <s v="Large (11-20)"/>
    <n v="6"/>
  </r>
  <r>
    <x v="760"/>
    <x v="194"/>
    <x v="25"/>
    <s v="H"/>
    <s v="I0054"/>
    <d v="2026-09-26T08:22:00"/>
    <d v="2026-09-26T08:28:00"/>
    <n v="3"/>
    <n v="6"/>
    <b v="0"/>
    <b v="0"/>
    <b v="0"/>
    <n v="5"/>
    <s v="Normal"/>
    <d v="2026-09-26T06:39:00"/>
    <b v="0"/>
    <s v="Small Parts"/>
    <x v="0"/>
    <s v="Bulk"/>
    <s v="Night"/>
    <s v="Experienced"/>
    <s v="Small Parts"/>
    <s v="Near"/>
    <n v="6"/>
    <s v="Saturday"/>
    <s v="Small (1-5)"/>
    <n v="2"/>
  </r>
  <r>
    <x v="761"/>
    <x v="139"/>
    <x v="12"/>
    <s v="A"/>
    <s v="I0037"/>
    <d v="2026-09-13T06:49:00"/>
    <d v="2026-09-13T06:55:00"/>
    <n v="7"/>
    <n v="6"/>
    <b v="0"/>
    <b v="0"/>
    <b v="0"/>
    <n v="10"/>
    <s v="High"/>
    <d v="2026-09-13T05:29:00"/>
    <b v="0"/>
    <s v="Electronics"/>
    <x v="1"/>
    <s v="Climate-Controlled"/>
    <s v="Unknown"/>
    <s v="Intermediate"/>
    <s v="Fast-Moving"/>
    <s v="Near"/>
    <n v="5"/>
    <s v="Sunday"/>
    <s v="Medium (6-10)"/>
    <n v="0.8571428571428571"/>
  </r>
  <r>
    <x v="762"/>
    <x v="28"/>
    <x v="27"/>
    <s v="F"/>
    <s v="I0010"/>
    <d v="2026-09-22T03:53:00"/>
    <d v="2026-09-22T03:59:00"/>
    <n v="1"/>
    <n v="6"/>
    <b v="0"/>
    <b v="0"/>
    <b v="0"/>
    <n v="12"/>
    <s v="Unknown"/>
    <d v="2026-09-22T01:56:00"/>
    <b v="0"/>
    <s v="Fragile Goods"/>
    <x v="1"/>
    <s v="Standard"/>
    <s v="Night"/>
    <s v="Experienced"/>
    <s v="Bulk Storage"/>
    <s v="Near"/>
    <n v="1"/>
    <s v="Tuesday"/>
    <s v="Large (11-20)"/>
    <n v="6"/>
  </r>
  <r>
    <x v="763"/>
    <x v="42"/>
    <x v="6"/>
    <s v="A"/>
    <s v="I0017"/>
    <d v="2026-09-17T01:04:00"/>
    <d v="2026-09-17T01:10:00"/>
    <n v="7"/>
    <n v="6"/>
    <b v="0"/>
    <b v="0"/>
    <b v="0"/>
    <n v="12"/>
    <s v="High"/>
    <m/>
    <b v="0"/>
    <s v="Bulk Materials"/>
    <x v="1"/>
    <s v="Bulk"/>
    <s v="Night"/>
    <s v="Intermediate"/>
    <s v="Fast-Moving"/>
    <s v="Near"/>
    <m/>
    <m/>
    <s v="Large (11-20)"/>
    <n v="0.8571428571428571"/>
  </r>
  <r>
    <x v="764"/>
    <x v="137"/>
    <x v="23"/>
    <s v="E"/>
    <s v="I0051"/>
    <d v="2026-09-14T06:45:00"/>
    <d v="2026-09-14T06:51:00"/>
    <n v="1"/>
    <n v="6"/>
    <b v="0"/>
    <b v="0"/>
    <b v="0"/>
    <n v="12"/>
    <s v="High"/>
    <d v="2026-09-14T04:06:00"/>
    <b v="0"/>
    <s v="Home Goods"/>
    <x v="1"/>
    <s v="Fragile"/>
    <s v="Evening"/>
    <s v="Intermediate"/>
    <s v="Fast-Moving"/>
    <s v="Medium"/>
    <n v="4"/>
    <s v="Monday"/>
    <s v="Large (11-20)"/>
    <n v="6"/>
  </r>
  <r>
    <x v="765"/>
    <x v="71"/>
    <x v="14"/>
    <s v="E"/>
    <s v="I0043"/>
    <d v="2026-09-09T07:55:00"/>
    <d v="2026-09-09T08:01:00"/>
    <n v="1"/>
    <n v="6"/>
    <b v="0"/>
    <b v="0"/>
    <b v="0"/>
    <n v="12"/>
    <s v="Normal"/>
    <d v="2026-09-09T07:12:00"/>
    <b v="0"/>
    <s v="Small Parts"/>
    <x v="0"/>
    <s v="Fragile"/>
    <s v="Night"/>
    <s v="Unknown"/>
    <s v="Fast-Moving"/>
    <s v="Medium"/>
    <n v="7"/>
    <s v="Wednesday"/>
    <s v="Large (11-20)"/>
    <n v="6"/>
  </r>
  <r>
    <x v="766"/>
    <x v="71"/>
    <x v="15"/>
    <s v="F"/>
    <s v="I0015"/>
    <d v="2026-09-09T09:42:00"/>
    <d v="2026-09-09T09:48:00"/>
    <n v="2"/>
    <n v="6"/>
    <b v="0"/>
    <b v="0"/>
    <b v="0"/>
    <n v="12"/>
    <s v="Normal"/>
    <d v="2026-09-09T07:12:00"/>
    <b v="0"/>
    <s v="Bulk Materials"/>
    <x v="1"/>
    <s v="Fragile"/>
    <s v="Morning"/>
    <s v="Unknown"/>
    <s v="Bulk Storage"/>
    <s v="Near"/>
    <n v="7"/>
    <s v="Wednesday"/>
    <s v="Large (11-20)"/>
    <n v="3"/>
  </r>
  <r>
    <x v="767"/>
    <x v="21"/>
    <x v="18"/>
    <s v="B"/>
    <s v="I0025"/>
    <d v="2026-09-18T13:19:00"/>
    <d v="2026-09-18T13:25:00"/>
    <n v="2"/>
    <n v="6"/>
    <b v="0"/>
    <b v="0"/>
    <b v="0"/>
    <n v="6"/>
    <s v="Urgent"/>
    <d v="2026-09-18T11:01:00"/>
    <b v="0"/>
    <s v="Home Goods"/>
    <x v="0"/>
    <s v="Fragile"/>
    <s v="Night"/>
    <s v="Intermediate"/>
    <s v="Bulk Storage"/>
    <s v="Far"/>
    <n v="11"/>
    <s v="Friday"/>
    <s v="Medium (6-10)"/>
    <n v="3"/>
  </r>
  <r>
    <x v="768"/>
    <x v="23"/>
    <x v="9"/>
    <s v="F"/>
    <s v="I0015"/>
    <d v="2026-09-25T08:41:00"/>
    <d v="2026-09-25T08:47:00"/>
    <n v="1"/>
    <n v="6"/>
    <b v="0"/>
    <b v="0"/>
    <b v="0"/>
    <n v="20"/>
    <s v="High"/>
    <d v="2026-09-25T08:21:00"/>
    <b v="0"/>
    <s v="Bulk Materials"/>
    <x v="1"/>
    <s v="Fragile"/>
    <s v="Unknown"/>
    <s v="Intermediate"/>
    <s v="Bulk Storage"/>
    <s v="Near"/>
    <n v="8"/>
    <s v="Friday"/>
    <s v="Large (11-20)"/>
    <n v="6"/>
  </r>
  <r>
    <x v="769"/>
    <x v="203"/>
    <x v="2"/>
    <s v="A"/>
    <s v="I0031"/>
    <d v="2026-09-28T21:45:00"/>
    <d v="2026-09-28T21:51:00"/>
    <n v="7"/>
    <n v="6"/>
    <b v="0"/>
    <b v="0"/>
    <b v="0"/>
    <n v="5"/>
    <s v="High"/>
    <d v="2026-09-28T19:31:00"/>
    <b v="0"/>
    <s v="Unknown"/>
    <x v="2"/>
    <s v="Fragile"/>
    <s v="Evening"/>
    <s v="Beginner"/>
    <s v="Fast-Moving"/>
    <s v="Near"/>
    <n v="19"/>
    <s v="Monday"/>
    <s v="Small (1-5)"/>
    <n v="0.8571428571428571"/>
  </r>
  <r>
    <x v="770"/>
    <x v="50"/>
    <x v="11"/>
    <s v="H"/>
    <s v="I0018"/>
    <d v="2026-09-23T20:01:00"/>
    <d v="2026-09-23T20:07:00"/>
    <n v="3"/>
    <n v="6"/>
    <b v="0"/>
    <b v="0"/>
    <b v="0"/>
    <n v="10"/>
    <s v="Normal"/>
    <d v="2026-09-23T19:24:00"/>
    <b v="0"/>
    <s v="Bulk Materials"/>
    <x v="0"/>
    <s v="Bulk"/>
    <s v="Night"/>
    <s v="Intermediate"/>
    <s v="Small Parts"/>
    <s v="Near"/>
    <n v="19"/>
    <s v="Wednesday"/>
    <s v="Medium (6-10)"/>
    <n v="2"/>
  </r>
  <r>
    <x v="771"/>
    <x v="17"/>
    <x v="19"/>
    <s v="F"/>
    <s v="I0049"/>
    <d v="2026-09-09T17:42:00"/>
    <d v="2026-09-09T17:48:00"/>
    <n v="4"/>
    <n v="6"/>
    <b v="0"/>
    <b v="0"/>
    <b v="0"/>
    <n v="10"/>
    <s v="Normal"/>
    <d v="2026-09-09T15:39:00"/>
    <b v="0"/>
    <s v="Small Parts"/>
    <x v="1"/>
    <s v="Standard"/>
    <s v="Unknown"/>
    <s v="Experienced"/>
    <s v="Bulk Storage"/>
    <s v="Near"/>
    <n v="15"/>
    <s v="Wednesday"/>
    <s v="Medium (6-10)"/>
    <n v="1.5"/>
  </r>
  <r>
    <x v="772"/>
    <x v="42"/>
    <x v="28"/>
    <s v="B"/>
    <s v="I0025"/>
    <d v="2026-09-16T23:13:00"/>
    <d v="2026-09-16T23:19:00"/>
    <n v="1"/>
    <n v="6"/>
    <b v="0"/>
    <b v="0"/>
    <b v="0"/>
    <n v="12"/>
    <s v="High"/>
    <m/>
    <b v="0"/>
    <s v="Home Goods"/>
    <x v="0"/>
    <s v="Fragile"/>
    <s v="Night"/>
    <s v="Experienced"/>
    <s v="Bulk Storage"/>
    <s v="Far"/>
    <m/>
    <m/>
    <s v="Large (11-20)"/>
    <n v="6"/>
  </r>
  <r>
    <x v="773"/>
    <x v="202"/>
    <x v="18"/>
    <s v="A"/>
    <s v="I0004"/>
    <d v="2026-09-23T03:25:00"/>
    <d v="2026-09-23T03:31:00"/>
    <n v="1"/>
    <n v="6"/>
    <b v="0"/>
    <b v="0"/>
    <b v="0"/>
    <n v="5"/>
    <s v="Low"/>
    <d v="2026-09-23T01:52:00"/>
    <b v="0"/>
    <s v="Electronics"/>
    <x v="0"/>
    <s v="Standard"/>
    <s v="Night"/>
    <s v="Intermediate"/>
    <s v="Fast-Moving"/>
    <s v="Near"/>
    <n v="1"/>
    <s v="Wednesday"/>
    <s v="Small (1-5)"/>
    <n v="6"/>
  </r>
  <r>
    <x v="774"/>
    <x v="143"/>
    <x v="23"/>
    <s v="H"/>
    <s v="I0030"/>
    <d v="2026-09-26T05:09:00"/>
    <d v="2026-09-26T05:15:00"/>
    <n v="6"/>
    <n v="6"/>
    <b v="0"/>
    <b v="0"/>
    <b v="0"/>
    <n v="3"/>
    <s v="High"/>
    <d v="2026-09-26T02:45:00"/>
    <b v="0"/>
    <s v="Electronics"/>
    <x v="0"/>
    <s v="Fragile"/>
    <s v="Evening"/>
    <s v="Intermediate"/>
    <s v="Small Parts"/>
    <s v="Near"/>
    <n v="2"/>
    <s v="Saturday"/>
    <s v="Small (1-5)"/>
    <n v="1"/>
  </r>
  <r>
    <x v="775"/>
    <x v="141"/>
    <x v="9"/>
    <s v="C"/>
    <s v="I0054"/>
    <d v="2026-09-28T05:59:00"/>
    <d v="2026-09-28T06:05:00"/>
    <n v="7"/>
    <n v="6"/>
    <b v="0"/>
    <b v="0"/>
    <b v="0"/>
    <n v="5"/>
    <s v="Normal"/>
    <d v="2026-09-28T04:06:00"/>
    <b v="0"/>
    <s v="Small Parts"/>
    <x v="0"/>
    <s v="Bulk"/>
    <s v="Unknown"/>
    <s v="Intermediate"/>
    <s v="Small Parts"/>
    <s v="Medium"/>
    <n v="4"/>
    <s v="Monday"/>
    <s v="Small (1-5)"/>
    <n v="0.8571428571428571"/>
  </r>
  <r>
    <x v="776"/>
    <x v="7"/>
    <x v="9"/>
    <s v="C"/>
    <s v="I0072"/>
    <d v="2026-09-09T12:54:00"/>
    <d v="2026-09-09T13:00:00"/>
    <n v="3"/>
    <n v="6"/>
    <b v="0"/>
    <b v="0"/>
    <b v="0"/>
    <n v="10"/>
    <s v="Urgent"/>
    <d v="2026-09-09T12:46:00"/>
    <b v="0"/>
    <s v="Electronics"/>
    <x v="1"/>
    <s v="Climate-Controlled"/>
    <s v="Unknown"/>
    <s v="Intermediate"/>
    <s v="Small Parts"/>
    <s v="Medium"/>
    <n v="12"/>
    <s v="Wednesday"/>
    <s v="Medium (6-10)"/>
    <n v="2"/>
  </r>
  <r>
    <x v="777"/>
    <x v="31"/>
    <x v="31"/>
    <s v="G"/>
    <s v="I0002"/>
    <d v="2026-09-04T14:14:00"/>
    <d v="2026-09-04T14:20:00"/>
    <n v="3"/>
    <n v="6"/>
    <b v="0"/>
    <b v="0"/>
    <b v="0"/>
    <n v="12"/>
    <s v="Normal"/>
    <d v="2026-09-04T12:31:00"/>
    <b v="0"/>
    <s v="Small Parts"/>
    <x v="0"/>
    <s v="Fragile"/>
    <s v="Morning"/>
    <s v="Experienced"/>
    <s v="Cold Storage"/>
    <s v="Far"/>
    <n v="12"/>
    <s v="Friday"/>
    <s v="Large (11-20)"/>
    <n v="2"/>
  </r>
  <r>
    <x v="778"/>
    <x v="31"/>
    <x v="27"/>
    <s v="A"/>
    <s v="I0051"/>
    <d v="2026-09-04T12:59:00"/>
    <d v="2026-09-04T13:05:00"/>
    <n v="5"/>
    <n v="6"/>
    <b v="0"/>
    <b v="0"/>
    <b v="0"/>
    <n v="12"/>
    <s v="Normal"/>
    <d v="2026-09-04T12:31:00"/>
    <b v="0"/>
    <s v="Home Goods"/>
    <x v="1"/>
    <s v="Fragile"/>
    <s v="Night"/>
    <s v="Experienced"/>
    <s v="Fast-Moving"/>
    <s v="Near"/>
    <n v="12"/>
    <s v="Friday"/>
    <s v="Large (11-20)"/>
    <n v="1.2"/>
  </r>
  <r>
    <x v="779"/>
    <x v="55"/>
    <x v="6"/>
    <s v="A"/>
    <s v="I0039"/>
    <d v="2026-09-17T13:53:00"/>
    <d v="2026-09-17T13:59:00"/>
    <n v="2"/>
    <n v="6"/>
    <b v="0"/>
    <b v="0"/>
    <b v="0"/>
    <n v="8"/>
    <s v="Normal"/>
    <d v="2026-09-17T12:30:00"/>
    <b v="0"/>
    <s v="Apparel"/>
    <x v="0"/>
    <s v="Fragile"/>
    <s v="Night"/>
    <s v="Intermediate"/>
    <s v="Fast-Moving"/>
    <s v="Near"/>
    <n v="12"/>
    <s v="Thursday"/>
    <s v="Medium (6-10)"/>
    <n v="3"/>
  </r>
  <r>
    <x v="780"/>
    <x v="30"/>
    <x v="21"/>
    <s v="E"/>
    <s v="I0076"/>
    <d v="2026-09-01T23:09:00"/>
    <d v="2026-09-01T23:15:00"/>
    <n v="3"/>
    <n v="6"/>
    <b v="0"/>
    <b v="0"/>
    <b v="0"/>
    <m/>
    <s v="High"/>
    <d v="2026-09-01T20:14:00"/>
    <b v="1"/>
    <s v="Fragile Goods"/>
    <x v="3"/>
    <s v="Climate-Controlled"/>
    <s v="Morning"/>
    <s v="Intermediate"/>
    <s v="Fast-Moving"/>
    <s v="Medium"/>
    <n v="20"/>
    <s v="Tuesday"/>
    <m/>
    <n v="2"/>
  </r>
  <r>
    <x v="781"/>
    <x v="62"/>
    <x v="8"/>
    <s v="A"/>
    <s v="I0021"/>
    <d v="2026-09-05T01:41:00"/>
    <d v="2026-09-05T01:47:00"/>
    <n v="5"/>
    <n v="6"/>
    <b v="0"/>
    <b v="0"/>
    <b v="0"/>
    <n v="5"/>
    <s v="High"/>
    <m/>
    <b v="0"/>
    <s v="Apparel"/>
    <x v="0"/>
    <s v="Standard"/>
    <s v="Evening"/>
    <s v="Unknown"/>
    <s v="Fast-Moving"/>
    <s v="Near"/>
    <m/>
    <m/>
    <s v="Small (1-5)"/>
    <n v="1.2"/>
  </r>
  <r>
    <x v="782"/>
    <x v="135"/>
    <x v="29"/>
    <s v="A"/>
    <s v="I0055"/>
    <d v="2026-09-17T04:14:00"/>
    <d v="2026-09-17T04:20:00"/>
    <n v="3"/>
    <n v="6"/>
    <b v="0"/>
    <b v="0"/>
    <b v="0"/>
    <n v="4"/>
    <s v="Normal"/>
    <d v="2026-09-17T01:38:00"/>
    <b v="0"/>
    <s v="Fragile Goods"/>
    <x v="1"/>
    <s v="Climate-Controlled"/>
    <s v="Morning"/>
    <s v="Experienced"/>
    <s v="Fast-Moving"/>
    <s v="Near"/>
    <n v="1"/>
    <s v="Thursday"/>
    <s v="Small (1-5)"/>
    <n v="2"/>
  </r>
  <r>
    <x v="783"/>
    <x v="77"/>
    <x v="12"/>
    <s v="D"/>
    <s v="I0026"/>
    <d v="2026-09-11T22:51:00"/>
    <d v="2026-09-11T22:57:00"/>
    <n v="5"/>
    <n v="6"/>
    <b v="0"/>
    <b v="0"/>
    <b v="0"/>
    <n v="4"/>
    <s v="High"/>
    <d v="2026-09-11T20:47:00"/>
    <b v="0"/>
    <s v="Bulk Materials"/>
    <x v="0"/>
    <s v="Climate-Controlled"/>
    <s v="Unknown"/>
    <s v="Intermediate"/>
    <s v="Fragile"/>
    <s v="Unknown"/>
    <n v="20"/>
    <s v="Friday"/>
    <s v="Small (1-5)"/>
    <n v="1.2"/>
  </r>
  <r>
    <x v="784"/>
    <x v="81"/>
    <x v="25"/>
    <s v="H"/>
    <s v="I0022"/>
    <d v="2026-09-04T20:24:00"/>
    <d v="2026-09-04T20:30:00"/>
    <n v="6"/>
    <n v="6"/>
    <b v="0"/>
    <b v="0"/>
    <b v="0"/>
    <n v="8"/>
    <s v="Urgent"/>
    <d v="2026-09-04T17:27:00"/>
    <b v="0"/>
    <s v="Unknown"/>
    <x v="0"/>
    <s v="Standard"/>
    <s v="Night"/>
    <s v="Experienced"/>
    <s v="Small Parts"/>
    <s v="Near"/>
    <n v="17"/>
    <s v="Friday"/>
    <s v="Medium (6-10)"/>
    <n v="1"/>
  </r>
  <r>
    <x v="785"/>
    <x v="157"/>
    <x v="4"/>
    <s v="A"/>
    <s v="I0043"/>
    <d v="2026-09-14T09:13:00"/>
    <d v="2026-09-14T09:19:00"/>
    <n v="4"/>
    <n v="6"/>
    <b v="0"/>
    <b v="0"/>
    <b v="0"/>
    <n v="8"/>
    <s v="Normal"/>
    <d v="2026-09-14T06:22:00"/>
    <b v="0"/>
    <s v="Small Parts"/>
    <x v="0"/>
    <s v="Fragile"/>
    <s v="Night"/>
    <s v="Unknown"/>
    <s v="Fast-Moving"/>
    <s v="Near"/>
    <n v="6"/>
    <s v="Monday"/>
    <s v="Medium (6-10)"/>
    <n v="1.5"/>
  </r>
  <r>
    <x v="786"/>
    <x v="38"/>
    <x v="23"/>
    <s v="C"/>
    <s v="I0008"/>
    <d v="2026-09-09T18:49:00"/>
    <d v="2026-09-09T18:55:00"/>
    <n v="1"/>
    <n v="6"/>
    <b v="0"/>
    <b v="0"/>
    <b v="0"/>
    <n v="10"/>
    <s v="High"/>
    <d v="2026-09-09T16:40:00"/>
    <b v="0"/>
    <s v="Bulk Materials"/>
    <x v="0"/>
    <s v="Unknown"/>
    <s v="Evening"/>
    <s v="Intermediate"/>
    <s v="Small Parts"/>
    <s v="Medium"/>
    <n v="16"/>
    <s v="Wednesday"/>
    <s v="Medium (6-10)"/>
    <n v="6"/>
  </r>
  <r>
    <x v="787"/>
    <x v="37"/>
    <x v="2"/>
    <s v="H"/>
    <s v="I0073"/>
    <d v="2026-09-09T01:47:00"/>
    <d v="2026-09-09T01:53:00"/>
    <n v="1"/>
    <n v="6"/>
    <b v="0"/>
    <b v="0"/>
    <b v="0"/>
    <n v="6"/>
    <s v="Low"/>
    <d v="2026-09-09T01:33:00"/>
    <b v="0"/>
    <s v="Unknown"/>
    <x v="0"/>
    <s v="Bulk"/>
    <s v="Evening"/>
    <s v="Beginner"/>
    <s v="Small Parts"/>
    <s v="Near"/>
    <n v="1"/>
    <s v="Wednesday"/>
    <s v="Medium (6-10)"/>
    <n v="6"/>
  </r>
  <r>
    <x v="788"/>
    <x v="37"/>
    <x v="29"/>
    <s v="H"/>
    <s v="I0068"/>
    <d v="2026-09-09T03:16:00"/>
    <d v="2026-09-09T03:22:00"/>
    <n v="3"/>
    <n v="6"/>
    <b v="0"/>
    <b v="0"/>
    <b v="0"/>
    <n v="6"/>
    <s v="Low"/>
    <d v="2026-09-09T01:33:00"/>
    <b v="0"/>
    <s v="Electronics"/>
    <x v="1"/>
    <s v="Climate-Controlled"/>
    <s v="Morning"/>
    <s v="Experienced"/>
    <s v="Small Parts"/>
    <s v="Near"/>
    <n v="1"/>
    <s v="Wednesday"/>
    <s v="Medium (6-10)"/>
    <n v="2"/>
  </r>
  <r>
    <x v="789"/>
    <x v="229"/>
    <x v="30"/>
    <s v="H"/>
    <s v="I0052"/>
    <d v="2026-09-29T02:06:00"/>
    <d v="2026-09-29T02:12:00"/>
    <n v="7"/>
    <n v="6"/>
    <b v="0"/>
    <b v="0"/>
    <b v="0"/>
    <n v="15"/>
    <s v="Normal"/>
    <d v="2026-09-28T23:53:00"/>
    <b v="0"/>
    <s v="Bulk Materials"/>
    <x v="3"/>
    <s v="Bulk"/>
    <s v="Night"/>
    <s v="Experienced"/>
    <s v="Small Parts"/>
    <s v="Near"/>
    <n v="23"/>
    <s v="Monday"/>
    <s v="Large (11-20)"/>
    <n v="0.8571428571428571"/>
  </r>
  <r>
    <x v="790"/>
    <x v="5"/>
    <x v="24"/>
    <s v="E"/>
    <s v="I0017"/>
    <d v="2026-09-15T05:46:00"/>
    <d v="2026-09-15T05:52:00"/>
    <n v="7"/>
    <n v="6"/>
    <b v="0"/>
    <b v="0"/>
    <b v="0"/>
    <n v="10"/>
    <s v="Urgent"/>
    <d v="2026-09-15T05:21:00"/>
    <b v="0"/>
    <s v="Bulk Materials"/>
    <x v="1"/>
    <s v="Bulk"/>
    <s v="Night"/>
    <s v="Experienced"/>
    <s v="Fast-Moving"/>
    <s v="Medium"/>
    <n v="5"/>
    <s v="Tuesday"/>
    <s v="Medium (6-10)"/>
    <n v="0.8571428571428571"/>
  </r>
  <r>
    <x v="791"/>
    <x v="5"/>
    <x v="23"/>
    <s v="A"/>
    <s v="I0026"/>
    <d v="2026-09-15T07:38:00"/>
    <d v="2026-09-15T07:43:00"/>
    <n v="2"/>
    <n v="5"/>
    <b v="0"/>
    <b v="0"/>
    <b v="0"/>
    <n v="10"/>
    <s v="Urgent"/>
    <d v="2026-09-15T05:21:00"/>
    <b v="0"/>
    <s v="Bulk Materials"/>
    <x v="0"/>
    <s v="Climate-Controlled"/>
    <s v="Evening"/>
    <s v="Intermediate"/>
    <s v="Fast-Moving"/>
    <s v="Near"/>
    <n v="5"/>
    <s v="Tuesday"/>
    <s v="Medium (6-10)"/>
    <n v="2.5"/>
  </r>
  <r>
    <x v="792"/>
    <x v="37"/>
    <x v="26"/>
    <s v="H"/>
    <s v="I0076"/>
    <d v="2026-09-09T03:59:00"/>
    <d v="2026-09-09T04:04:00"/>
    <n v="7"/>
    <n v="5"/>
    <b v="0"/>
    <b v="0"/>
    <b v="0"/>
    <n v="6"/>
    <s v="Low"/>
    <d v="2026-09-09T01:33:00"/>
    <b v="0"/>
    <s v="Fragile Goods"/>
    <x v="3"/>
    <s v="Climate-Controlled"/>
    <s v="Morning"/>
    <s v="Experienced"/>
    <s v="Small Parts"/>
    <s v="Near"/>
    <n v="1"/>
    <s v="Wednesday"/>
    <s v="Medium (6-10)"/>
    <n v="0.7142857142857143"/>
  </r>
  <r>
    <x v="793"/>
    <x v="240"/>
    <x v="23"/>
    <s v="F"/>
    <s v="I0058"/>
    <d v="2026-09-14T13:07:00"/>
    <d v="2026-09-14T13:12:00"/>
    <n v="5"/>
    <n v="5"/>
    <b v="0"/>
    <b v="0"/>
    <b v="0"/>
    <n v="4"/>
    <s v="Normal"/>
    <d v="2026-09-14T10:32:00"/>
    <b v="0"/>
    <s v="Home Goods"/>
    <x v="1"/>
    <s v="Unknown"/>
    <s v="Evening"/>
    <s v="Intermediate"/>
    <s v="Bulk Storage"/>
    <s v="Near"/>
    <n v="10"/>
    <s v="Monday"/>
    <s v="Small (1-5)"/>
    <n v="1"/>
  </r>
  <r>
    <x v="794"/>
    <x v="241"/>
    <x v="21"/>
    <s v="E"/>
    <s v="I0064"/>
    <d v="2026-09-06T18:13:00"/>
    <d v="2026-09-06T18:18:00"/>
    <n v="3"/>
    <n v="5"/>
    <b v="0"/>
    <b v="0"/>
    <b v="0"/>
    <n v="1"/>
    <s v="High"/>
    <d v="2026-09-06T16:25:00"/>
    <b v="0"/>
    <s v="Small Parts"/>
    <x v="0"/>
    <s v="Unknown"/>
    <s v="Morning"/>
    <s v="Intermediate"/>
    <s v="Fast-Moving"/>
    <s v="Medium"/>
    <n v="16"/>
    <s v="Sunday"/>
    <s v="Small (1-5)"/>
    <n v="1.666666666666667"/>
  </r>
  <r>
    <x v="795"/>
    <x v="81"/>
    <x v="10"/>
    <s v="H"/>
    <s v="I0068"/>
    <d v="2026-09-04T17:53:00"/>
    <d v="2026-09-04T17:58:00"/>
    <n v="2"/>
    <n v="5"/>
    <b v="0"/>
    <b v="0"/>
    <b v="0"/>
    <n v="8"/>
    <s v="Urgent"/>
    <d v="2026-09-04T17:27:00"/>
    <b v="0"/>
    <s v="Electronics"/>
    <x v="1"/>
    <s v="Climate-Controlled"/>
    <s v="Night"/>
    <s v="Unknown"/>
    <s v="Small Parts"/>
    <s v="Near"/>
    <n v="17"/>
    <s v="Friday"/>
    <s v="Medium (6-10)"/>
    <n v="2.5"/>
  </r>
  <r>
    <x v="796"/>
    <x v="167"/>
    <x v="26"/>
    <s v="F"/>
    <s v="I0023"/>
    <d v="2026-09-15T01:22:00"/>
    <d v="2026-09-15T01:27:00"/>
    <n v="2"/>
    <n v="5"/>
    <b v="0"/>
    <b v="0"/>
    <b v="0"/>
    <n v="15"/>
    <s v="High"/>
    <d v="2026-09-14T23:39:00"/>
    <b v="0"/>
    <s v="Home Goods"/>
    <x v="1"/>
    <s v="Bulk"/>
    <s v="Morning"/>
    <s v="Experienced"/>
    <s v="Bulk Storage"/>
    <s v="Near"/>
    <n v="23"/>
    <s v="Monday"/>
    <s v="Large (11-20)"/>
    <n v="2.5"/>
  </r>
  <r>
    <x v="797"/>
    <x v="141"/>
    <x v="15"/>
    <s v="E"/>
    <s v="I0056"/>
    <d v="2026-09-28T05:05:00"/>
    <d v="2026-09-28T05:10:00"/>
    <n v="2"/>
    <n v="5"/>
    <b v="0"/>
    <b v="0"/>
    <b v="0"/>
    <n v="5"/>
    <s v="Normal"/>
    <d v="2026-09-28T04:06:00"/>
    <b v="0"/>
    <s v="Apparel"/>
    <x v="1"/>
    <s v="Fragile"/>
    <s v="Morning"/>
    <s v="Unknown"/>
    <s v="Fast-Moving"/>
    <s v="Medium"/>
    <n v="4"/>
    <s v="Monday"/>
    <s v="Small (1-5)"/>
    <n v="2.5"/>
  </r>
  <r>
    <x v="798"/>
    <x v="141"/>
    <x v="5"/>
    <s v="E"/>
    <s v="I0007"/>
    <d v="2026-09-28T05:30:00"/>
    <d v="2026-09-28T05:35:00"/>
    <n v="2"/>
    <n v="5"/>
    <b v="0"/>
    <b v="0"/>
    <b v="0"/>
    <n v="5"/>
    <s v="Normal"/>
    <d v="2026-09-28T04:06:00"/>
    <b v="0"/>
    <s v="Small Parts"/>
    <x v="1"/>
    <s v="Fragile"/>
    <s v="Unknown"/>
    <s v="Beginner"/>
    <s v="Fast-Moving"/>
    <s v="Medium"/>
    <n v="4"/>
    <s v="Monday"/>
    <s v="Small (1-5)"/>
    <n v="2.5"/>
  </r>
  <r>
    <x v="799"/>
    <x v="229"/>
    <x v="17"/>
    <s v="F"/>
    <s v="I0076"/>
    <d v="2026-09-29T01:28:00"/>
    <d v="2026-09-29T01:33:00"/>
    <n v="1"/>
    <n v="5"/>
    <b v="0"/>
    <b v="0"/>
    <b v="0"/>
    <n v="15"/>
    <s v="Normal"/>
    <d v="2026-09-28T23:53:00"/>
    <b v="0"/>
    <s v="Fragile Goods"/>
    <x v="3"/>
    <s v="Climate-Controlled"/>
    <s v="Night"/>
    <s v="Intermediate"/>
    <s v="Bulk Storage"/>
    <s v="Near"/>
    <n v="23"/>
    <s v="Monday"/>
    <s v="Large (11-20)"/>
    <n v="5"/>
  </r>
  <r>
    <x v="800"/>
    <x v="242"/>
    <x v="18"/>
    <s v="E"/>
    <s v="I0018"/>
    <d v="2026-09-04T20:16:00"/>
    <d v="2026-09-04T20:21:00"/>
    <n v="1"/>
    <n v="5"/>
    <b v="0"/>
    <b v="0"/>
    <b v="0"/>
    <n v="4"/>
    <s v="Urgent"/>
    <d v="2026-09-04T19:12:00"/>
    <b v="0"/>
    <s v="Bulk Materials"/>
    <x v="0"/>
    <s v="Bulk"/>
    <s v="Night"/>
    <s v="Intermediate"/>
    <s v="Fast-Moving"/>
    <s v="Medium"/>
    <n v="19"/>
    <s v="Friday"/>
    <s v="Small (1-5)"/>
    <n v="5"/>
  </r>
  <r>
    <x v="801"/>
    <x v="229"/>
    <x v="24"/>
    <s v="E"/>
    <s v="I0043"/>
    <d v="2026-09-29T00:17:00"/>
    <d v="2026-09-29T00:22:00"/>
    <n v="3"/>
    <n v="5"/>
    <b v="0"/>
    <b v="0"/>
    <b v="0"/>
    <n v="15"/>
    <s v="Normal"/>
    <d v="2026-09-28T23:53:00"/>
    <b v="0"/>
    <s v="Small Parts"/>
    <x v="0"/>
    <s v="Fragile"/>
    <s v="Night"/>
    <s v="Experienced"/>
    <s v="Fast-Moving"/>
    <s v="Medium"/>
    <n v="23"/>
    <s v="Monday"/>
    <s v="Large (11-20)"/>
    <n v="1.666666666666667"/>
  </r>
  <r>
    <x v="802"/>
    <x v="157"/>
    <x v="15"/>
    <s v="C"/>
    <s v="I0003"/>
    <d v="2026-09-14T09:20:00"/>
    <d v="2026-09-14T09:25:00"/>
    <n v="1"/>
    <n v="5"/>
    <b v="0"/>
    <b v="0"/>
    <b v="0"/>
    <n v="8"/>
    <s v="Normal"/>
    <d v="2026-09-14T06:22:00"/>
    <b v="0"/>
    <s v="Unknown"/>
    <x v="0"/>
    <s v="Climate-Controlled"/>
    <s v="Morning"/>
    <s v="Unknown"/>
    <s v="Small Parts"/>
    <s v="Medium"/>
    <n v="6"/>
    <s v="Monday"/>
    <s v="Medium (6-10)"/>
    <n v="5"/>
  </r>
  <r>
    <x v="803"/>
    <x v="32"/>
    <x v="27"/>
    <s v="D"/>
    <s v="I0035"/>
    <d v="2026-09-19T13:47:00"/>
    <d v="2026-09-19T13:52:00"/>
    <n v="3"/>
    <n v="5"/>
    <b v="0"/>
    <b v="0"/>
    <b v="0"/>
    <n v="15"/>
    <s v="Low"/>
    <d v="2026-09-19T12:37:00"/>
    <b v="0"/>
    <s v="Unknown"/>
    <x v="1"/>
    <s v="Fragile"/>
    <s v="Night"/>
    <s v="Experienced"/>
    <s v="Fragile"/>
    <s v="Unknown"/>
    <n v="12"/>
    <s v="Saturday"/>
    <s v="Large (11-20)"/>
    <n v="1.666666666666667"/>
  </r>
  <r>
    <x v="804"/>
    <x v="96"/>
    <x v="24"/>
    <s v="H"/>
    <s v="I0073"/>
    <d v="2026-09-27T03:54:00"/>
    <d v="2026-09-27T03:59:00"/>
    <n v="6"/>
    <n v="5"/>
    <b v="0"/>
    <b v="0"/>
    <b v="0"/>
    <n v="6"/>
    <s v="High"/>
    <d v="2026-09-27T03:37:00"/>
    <b v="0"/>
    <s v="Unknown"/>
    <x v="0"/>
    <s v="Bulk"/>
    <s v="Night"/>
    <s v="Experienced"/>
    <s v="Small Parts"/>
    <s v="Near"/>
    <n v="3"/>
    <s v="Sunday"/>
    <s v="Medium (6-10)"/>
    <n v="0.8333333333333334"/>
  </r>
  <r>
    <x v="805"/>
    <x v="4"/>
    <x v="7"/>
    <s v="E"/>
    <s v="I0072"/>
    <d v="2026-09-10T03:40:00"/>
    <d v="2026-09-10T03:45:00"/>
    <n v="3"/>
    <n v="5"/>
    <b v="0"/>
    <b v="0"/>
    <b v="0"/>
    <n v="10"/>
    <s v="Normal"/>
    <d v="2026-09-10T01:19:00"/>
    <b v="0"/>
    <s v="Electronics"/>
    <x v="1"/>
    <s v="Climate-Controlled"/>
    <s v="Morning"/>
    <s v="Beginner"/>
    <s v="Fast-Moving"/>
    <s v="Medium"/>
    <n v="1"/>
    <s v="Thursday"/>
    <s v="Medium (6-10)"/>
    <n v="1.666666666666667"/>
  </r>
  <r>
    <x v="806"/>
    <x v="165"/>
    <x v="4"/>
    <s v="E"/>
    <s v="I0045"/>
    <d v="2026-09-12T12:08:00"/>
    <d v="2026-09-12T12:13:00"/>
    <n v="3"/>
    <n v="5"/>
    <b v="0"/>
    <b v="0"/>
    <b v="0"/>
    <n v="5"/>
    <s v="Normal"/>
    <d v="2026-09-12T09:49:00"/>
    <b v="0"/>
    <s v="Apparel"/>
    <x v="2"/>
    <s v="Climate-Controlled"/>
    <s v="Night"/>
    <s v="Unknown"/>
    <s v="Fast-Moving"/>
    <s v="Medium"/>
    <n v="9"/>
    <s v="Saturday"/>
    <s v="Small (1-5)"/>
    <n v="1.666666666666667"/>
  </r>
  <r>
    <x v="807"/>
    <x v="162"/>
    <x v="13"/>
    <s v="A"/>
    <s v="I0054"/>
    <d v="2026-09-24T01:21:00"/>
    <d v="2026-09-24T01:26:00"/>
    <n v="5"/>
    <n v="5"/>
    <b v="0"/>
    <b v="0"/>
    <b v="0"/>
    <n v="12"/>
    <s v="Normal"/>
    <d v="2026-09-24T01:08:00"/>
    <b v="0"/>
    <s v="Small Parts"/>
    <x v="0"/>
    <s v="Bulk"/>
    <s v="Night"/>
    <s v="Intermediate"/>
    <s v="Fast-Moving"/>
    <s v="Near"/>
    <n v="1"/>
    <s v="Thursday"/>
    <s v="Large (11-20)"/>
    <n v="1"/>
  </r>
  <r>
    <x v="808"/>
    <x v="162"/>
    <x v="12"/>
    <s v="H"/>
    <s v="I0058"/>
    <d v="2026-09-24T03:10:00"/>
    <d v="2026-09-24T03:15:00"/>
    <n v="1"/>
    <n v="5"/>
    <b v="0"/>
    <b v="0"/>
    <b v="0"/>
    <n v="12"/>
    <s v="Normal"/>
    <d v="2026-09-24T01:08:00"/>
    <b v="0"/>
    <s v="Home Goods"/>
    <x v="1"/>
    <s v="Unknown"/>
    <s v="Unknown"/>
    <s v="Intermediate"/>
    <s v="Small Parts"/>
    <s v="Near"/>
    <n v="1"/>
    <s v="Thursday"/>
    <s v="Large (11-20)"/>
    <n v="5"/>
  </r>
  <r>
    <x v="809"/>
    <x v="205"/>
    <x v="26"/>
    <s v="H"/>
    <s v="I0030"/>
    <d v="2026-09-13T10:21:00"/>
    <d v="2026-09-13T10:26:00"/>
    <n v="4"/>
    <n v="5"/>
    <b v="0"/>
    <b v="0"/>
    <b v="0"/>
    <n v="4"/>
    <s v="High"/>
    <d v="2026-09-13T08:50:00"/>
    <b v="0"/>
    <s v="Electronics"/>
    <x v="0"/>
    <s v="Fragile"/>
    <s v="Morning"/>
    <s v="Experienced"/>
    <s v="Small Parts"/>
    <s v="Near"/>
    <n v="8"/>
    <s v="Sunday"/>
    <s v="Small (1-5)"/>
    <n v="1.25"/>
  </r>
  <r>
    <x v="810"/>
    <x v="93"/>
    <x v="10"/>
    <s v="H"/>
    <s v="I0017"/>
    <d v="2026-09-28T20:18:00"/>
    <d v="2026-09-28T20:23:00"/>
    <n v="3"/>
    <n v="5"/>
    <b v="0"/>
    <b v="0"/>
    <b v="0"/>
    <n v="8"/>
    <s v="High"/>
    <d v="2026-09-28T19:48:00"/>
    <b v="0"/>
    <s v="Bulk Materials"/>
    <x v="1"/>
    <s v="Bulk"/>
    <s v="Night"/>
    <s v="Unknown"/>
    <s v="Small Parts"/>
    <s v="Near"/>
    <n v="19"/>
    <s v="Monday"/>
    <s v="Medium (6-10)"/>
    <n v="1.666666666666667"/>
  </r>
  <r>
    <x v="811"/>
    <x v="30"/>
    <x v="14"/>
    <s v="E"/>
    <s v="I0069"/>
    <d v="2026-09-01T21:01:00"/>
    <d v="2026-09-01T21:06:00"/>
    <n v="2"/>
    <n v="5"/>
    <b v="0"/>
    <b v="0"/>
    <b v="0"/>
    <m/>
    <s v="High"/>
    <d v="2026-09-01T20:14:00"/>
    <b v="1"/>
    <s v="Electronics"/>
    <x v="2"/>
    <s v="Climate-Controlled"/>
    <s v="Night"/>
    <s v="Unknown"/>
    <s v="Fast-Moving"/>
    <s v="Medium"/>
    <n v="20"/>
    <s v="Tuesday"/>
    <m/>
    <n v="2.5"/>
  </r>
  <r>
    <x v="812"/>
    <x v="50"/>
    <x v="29"/>
    <s v="A"/>
    <s v="I0050"/>
    <d v="2026-09-23T19:55:00"/>
    <d v="2026-09-23T20:00:00"/>
    <n v="5"/>
    <n v="5"/>
    <b v="0"/>
    <b v="0"/>
    <b v="0"/>
    <n v="10"/>
    <s v="Normal"/>
    <d v="2026-09-23T19:24:00"/>
    <b v="0"/>
    <s v="Home Goods"/>
    <x v="1"/>
    <s v="Bulk"/>
    <s v="Morning"/>
    <s v="Experienced"/>
    <s v="Fast-Moving"/>
    <s v="Near"/>
    <n v="19"/>
    <s v="Wednesday"/>
    <s v="Medium (6-10)"/>
    <n v="1"/>
  </r>
  <r>
    <x v="813"/>
    <x v="23"/>
    <x v="0"/>
    <s v="H"/>
    <s v="I0028"/>
    <d v="2026-09-25T10:06:00"/>
    <d v="2026-09-25T10:11:00"/>
    <n v="1"/>
    <n v="5"/>
    <b v="0"/>
    <b v="0"/>
    <b v="0"/>
    <n v="20"/>
    <s v="High"/>
    <d v="2026-09-25T08:21:00"/>
    <b v="0"/>
    <s v="Fragile Goods"/>
    <x v="1"/>
    <s v="Standard"/>
    <s v="Night"/>
    <s v="Beginner"/>
    <s v="Small Parts"/>
    <s v="Near"/>
    <n v="8"/>
    <s v="Friday"/>
    <s v="Large (11-20)"/>
    <n v="5"/>
  </r>
  <r>
    <x v="814"/>
    <x v="123"/>
    <x v="25"/>
    <s v="H"/>
    <s v="I0015"/>
    <d v="2026-09-20T01:08:00"/>
    <d v="2026-09-20T01:13:00"/>
    <n v="5"/>
    <n v="5"/>
    <b v="0"/>
    <b v="0"/>
    <b v="0"/>
    <n v="8"/>
    <s v="Low"/>
    <d v="2026-09-19T22:46:00"/>
    <b v="0"/>
    <s v="Bulk Materials"/>
    <x v="1"/>
    <s v="Fragile"/>
    <s v="Night"/>
    <s v="Experienced"/>
    <s v="Small Parts"/>
    <s v="Near"/>
    <n v="22"/>
    <s v="Saturday"/>
    <s v="Medium (6-10)"/>
    <n v="1"/>
  </r>
  <r>
    <x v="815"/>
    <x v="21"/>
    <x v="29"/>
    <s v="H"/>
    <s v="I0052"/>
    <d v="2026-09-18T13:59:00"/>
    <d v="2026-09-18T14:04:00"/>
    <n v="5"/>
    <n v="5"/>
    <b v="0"/>
    <b v="0"/>
    <b v="0"/>
    <n v="6"/>
    <s v="Urgent"/>
    <d v="2026-09-18T11:01:00"/>
    <b v="0"/>
    <s v="Bulk Materials"/>
    <x v="3"/>
    <s v="Bulk"/>
    <s v="Morning"/>
    <s v="Experienced"/>
    <s v="Small Parts"/>
    <s v="Near"/>
    <n v="11"/>
    <s v="Friday"/>
    <s v="Medium (6-10)"/>
    <n v="1"/>
  </r>
  <r>
    <x v="816"/>
    <x v="243"/>
    <x v="4"/>
    <s v="E"/>
    <s v="I0048"/>
    <d v="2026-09-18T18:02:00"/>
    <d v="2026-09-18T18:07:00"/>
    <n v="3"/>
    <n v="5"/>
    <b v="0"/>
    <b v="0"/>
    <b v="0"/>
    <n v="1"/>
    <s v="High"/>
    <d v="2026-09-18T15:40:00"/>
    <b v="0"/>
    <s v="Electronics"/>
    <x v="2"/>
    <s v="Standard"/>
    <s v="Night"/>
    <s v="Unknown"/>
    <s v="Fast-Moving"/>
    <s v="Medium"/>
    <n v="15"/>
    <s v="Friday"/>
    <s v="Small (1-5)"/>
    <n v="1.666666666666667"/>
  </r>
  <r>
    <x v="817"/>
    <x v="23"/>
    <x v="14"/>
    <s v="E"/>
    <s v="I0034"/>
    <d v="2026-09-25T09:57:00"/>
    <d v="2026-09-25T10:02:00"/>
    <n v="5"/>
    <n v="5"/>
    <b v="0"/>
    <b v="0"/>
    <b v="0"/>
    <n v="20"/>
    <s v="High"/>
    <d v="2026-09-25T08:21:00"/>
    <b v="0"/>
    <s v="Bulk Materials"/>
    <x v="0"/>
    <s v="Climate-Controlled"/>
    <s v="Night"/>
    <s v="Unknown"/>
    <s v="Fast-Moving"/>
    <s v="Medium"/>
    <n v="8"/>
    <s v="Friday"/>
    <s v="Large (11-20)"/>
    <n v="1"/>
  </r>
  <r>
    <x v="818"/>
    <x v="169"/>
    <x v="4"/>
    <s v="H"/>
    <s v="I0077"/>
    <d v="2026-09-28T03:17:00"/>
    <d v="2026-09-28T03:22:00"/>
    <n v="1"/>
    <n v="5"/>
    <b v="0"/>
    <b v="0"/>
    <b v="0"/>
    <n v="4"/>
    <s v="High"/>
    <d v="2026-09-28T00:56:00"/>
    <b v="0"/>
    <s v="Bulk Materials"/>
    <x v="0"/>
    <s v="Unknown"/>
    <s v="Night"/>
    <s v="Unknown"/>
    <s v="Small Parts"/>
    <s v="Near"/>
    <n v="0"/>
    <s v="Monday"/>
    <s v="Small (1-5)"/>
    <n v="5"/>
  </r>
  <r>
    <x v="819"/>
    <x v="25"/>
    <x v="27"/>
    <s v="F"/>
    <s v="I0041"/>
    <d v="2026-09-24T08:00:00"/>
    <d v="2026-09-24T08:05:00"/>
    <n v="3"/>
    <n v="5"/>
    <b v="0"/>
    <b v="0"/>
    <b v="0"/>
    <n v="6"/>
    <s v="Low"/>
    <d v="2026-09-24T05:19:00"/>
    <b v="0"/>
    <s v="Bulk Materials"/>
    <x v="2"/>
    <s v="Bulk"/>
    <s v="Night"/>
    <s v="Experienced"/>
    <s v="Bulk Storage"/>
    <s v="Near"/>
    <n v="5"/>
    <s v="Thursday"/>
    <s v="Medium (6-10)"/>
    <n v="1.666666666666667"/>
  </r>
  <r>
    <x v="820"/>
    <x v="41"/>
    <x v="25"/>
    <s v="F"/>
    <s v="I0011"/>
    <d v="2026-09-05T21:17:00"/>
    <d v="2026-09-05T21:22:00"/>
    <n v="2"/>
    <n v="5"/>
    <b v="0"/>
    <b v="0"/>
    <b v="0"/>
    <n v="4"/>
    <s v="Normal"/>
    <d v="2026-09-05T18:39:00"/>
    <b v="0"/>
    <s v="Fragile Goods"/>
    <x v="1"/>
    <s v="Climate-Controlled"/>
    <s v="Night"/>
    <s v="Experienced"/>
    <s v="Bulk Storage"/>
    <s v="Near"/>
    <n v="18"/>
    <s v="Saturday"/>
    <s v="Small (1-5)"/>
    <n v="2.5"/>
  </r>
  <r>
    <x v="821"/>
    <x v="244"/>
    <x v="13"/>
    <s v="E"/>
    <s v="I0013"/>
    <d v="2026-09-06T19:14:00"/>
    <d v="2026-09-06T19:19:00"/>
    <n v="4"/>
    <n v="5"/>
    <b v="0"/>
    <b v="0"/>
    <b v="0"/>
    <n v="1"/>
    <s v="Normal"/>
    <d v="2026-09-06T19:04:00"/>
    <b v="0"/>
    <s v="Home Goods"/>
    <x v="1"/>
    <s v="Unknown"/>
    <s v="Night"/>
    <s v="Intermediate"/>
    <s v="Fast-Moving"/>
    <s v="Medium"/>
    <n v="19"/>
    <s v="Sunday"/>
    <s v="Small (1-5)"/>
    <n v="1.25"/>
  </r>
  <r>
    <x v="822"/>
    <x v="100"/>
    <x v="6"/>
    <s v="H"/>
    <s v="I0044"/>
    <d v="2026-09-05T21:49:00"/>
    <d v="2026-09-05T21:54:00"/>
    <n v="3"/>
    <n v="5"/>
    <b v="0"/>
    <b v="0"/>
    <b v="0"/>
    <n v="20"/>
    <s v="High"/>
    <d v="2026-09-05T19:30:00"/>
    <b v="0"/>
    <s v="Electronics"/>
    <x v="1"/>
    <s v="Bulk"/>
    <s v="Night"/>
    <s v="Intermediate"/>
    <s v="Small Parts"/>
    <s v="Near"/>
    <n v="19"/>
    <s v="Saturday"/>
    <s v="Large (11-20)"/>
    <n v="1.666666666666667"/>
  </r>
  <r>
    <x v="823"/>
    <x v="245"/>
    <x v="28"/>
    <s v="F"/>
    <s v="I0061"/>
    <d v="2026-09-22T18:30:00"/>
    <d v="2026-09-22T18:35:00"/>
    <n v="2"/>
    <n v="5"/>
    <b v="0"/>
    <b v="0"/>
    <b v="0"/>
    <n v="1"/>
    <s v="Normal"/>
    <d v="2026-09-22T15:38:00"/>
    <b v="0"/>
    <s v="Home Goods"/>
    <x v="0"/>
    <s v="Climate-Controlled"/>
    <s v="Night"/>
    <s v="Experienced"/>
    <s v="Bulk Storage"/>
    <s v="Near"/>
    <n v="15"/>
    <s v="Tuesday"/>
    <s v="Small (1-5)"/>
    <n v="2.5"/>
  </r>
  <r>
    <x v="824"/>
    <x v="97"/>
    <x v="31"/>
    <s v="E"/>
    <s v="I0008"/>
    <d v="2026-09-15T22:08:00"/>
    <d v="2026-09-15T22:13:00"/>
    <n v="6"/>
    <n v="5"/>
    <b v="0"/>
    <b v="0"/>
    <b v="0"/>
    <n v="15"/>
    <s v="Normal"/>
    <d v="2026-09-15T20:02:00"/>
    <b v="0"/>
    <s v="Bulk Materials"/>
    <x v="0"/>
    <s v="Unknown"/>
    <s v="Morning"/>
    <s v="Experienced"/>
    <s v="Fast-Moving"/>
    <s v="Medium"/>
    <n v="20"/>
    <s v="Tuesday"/>
    <s v="Large (11-20)"/>
    <n v="0.8333333333333334"/>
  </r>
  <r>
    <x v="825"/>
    <x v="208"/>
    <x v="20"/>
    <s v="E"/>
    <s v="I0040"/>
    <d v="2026-09-01T11:38:00"/>
    <d v="2026-09-01T11:43:00"/>
    <n v="7"/>
    <n v="5"/>
    <b v="0"/>
    <b v="0"/>
    <b v="0"/>
    <n v="5"/>
    <s v="Normal"/>
    <d v="2026-09-01T10:12:00"/>
    <b v="0"/>
    <s v="Unknown"/>
    <x v="1"/>
    <s v="Standard"/>
    <s v="Night"/>
    <s v="Unknown"/>
    <s v="Fast-Moving"/>
    <s v="Medium"/>
    <n v="10"/>
    <s v="Tuesday"/>
    <s v="Small (1-5)"/>
    <n v="0.7142857142857143"/>
  </r>
  <r>
    <x v="826"/>
    <x v="150"/>
    <x v="1"/>
    <s v="A"/>
    <s v="I0034"/>
    <d v="2026-09-26T19:15:00"/>
    <d v="2026-09-26T19:20:00"/>
    <n v="2"/>
    <n v="5"/>
    <b v="0"/>
    <b v="0"/>
    <b v="0"/>
    <n v="4"/>
    <s v="Normal"/>
    <d v="2026-09-26T17:00:00"/>
    <b v="0"/>
    <s v="Bulk Materials"/>
    <x v="0"/>
    <s v="Climate-Controlled"/>
    <s v="Night"/>
    <s v="Beginner"/>
    <s v="Fast-Moving"/>
    <s v="Near"/>
    <n v="17"/>
    <s v="Saturday"/>
    <s v="Small (1-5)"/>
    <n v="2.5"/>
  </r>
  <r>
    <x v="827"/>
    <x v="53"/>
    <x v="19"/>
    <s v="E"/>
    <s v="I0069"/>
    <d v="2026-09-08T01:16:00"/>
    <d v="2026-09-08T01:21:00"/>
    <n v="2"/>
    <n v="5"/>
    <b v="0"/>
    <b v="0"/>
    <b v="0"/>
    <n v="4"/>
    <s v="Normal"/>
    <d v="2026-09-08T00:42:00"/>
    <b v="0"/>
    <s v="Electronics"/>
    <x v="2"/>
    <s v="Climate-Controlled"/>
    <s v="Unknown"/>
    <s v="Experienced"/>
    <s v="Fast-Moving"/>
    <s v="Medium"/>
    <n v="0"/>
    <s v="Tuesday"/>
    <s v="Small (1-5)"/>
    <n v="2.5"/>
  </r>
  <r>
    <x v="828"/>
    <x v="138"/>
    <x v="31"/>
    <s v="H"/>
    <s v="I0063"/>
    <d v="2026-09-02T05:51:00"/>
    <d v="2026-09-02T05:56:00"/>
    <n v="4"/>
    <n v="5"/>
    <b v="0"/>
    <b v="0"/>
    <b v="0"/>
    <n v="8"/>
    <s v="High"/>
    <d v="2026-09-02T05:13:00"/>
    <b v="0"/>
    <s v="Home Goods"/>
    <x v="2"/>
    <s v="Fragile"/>
    <s v="Morning"/>
    <s v="Experienced"/>
    <s v="Small Parts"/>
    <s v="Near"/>
    <n v="5"/>
    <s v="Wednesday"/>
    <s v="Medium (6-10)"/>
    <n v="1.25"/>
  </r>
  <r>
    <x v="829"/>
    <x v="139"/>
    <x v="22"/>
    <s v="A"/>
    <s v="I0059"/>
    <d v="2026-09-13T07:19:00"/>
    <d v="2026-09-13T07:24:00"/>
    <n v="4"/>
    <n v="5"/>
    <b v="0"/>
    <b v="0"/>
    <b v="0"/>
    <n v="10"/>
    <s v="High"/>
    <d v="2026-09-13T05:29:00"/>
    <b v="0"/>
    <s v="Electronics"/>
    <x v="1"/>
    <s v="Bulk"/>
    <s v="Unknown"/>
    <s v="Unknown"/>
    <s v="Fast-Moving"/>
    <s v="Near"/>
    <n v="5"/>
    <s v="Sunday"/>
    <s v="Medium (6-10)"/>
    <n v="1.25"/>
  </r>
  <r>
    <x v="830"/>
    <x v="193"/>
    <x v="17"/>
    <s v="H"/>
    <s v="I0077"/>
    <d v="2026-09-10T23:49:00"/>
    <d v="2026-09-10T23:54:00"/>
    <n v="4"/>
    <n v="5"/>
    <b v="0"/>
    <b v="0"/>
    <b v="0"/>
    <n v="6"/>
    <s v="Urgent"/>
    <d v="2026-09-10T23:11:00"/>
    <b v="0"/>
    <s v="Bulk Materials"/>
    <x v="0"/>
    <s v="Unknown"/>
    <s v="Night"/>
    <s v="Intermediate"/>
    <s v="Small Parts"/>
    <s v="Near"/>
    <n v="23"/>
    <s v="Thursday"/>
    <s v="Medium (6-10)"/>
    <n v="1.25"/>
  </r>
  <r>
    <x v="831"/>
    <x v="19"/>
    <x v="21"/>
    <s v="E"/>
    <s v="I0018"/>
    <d v="2026-09-19T03:22:00"/>
    <d v="2026-09-19T03:27:00"/>
    <n v="2"/>
    <n v="5"/>
    <b v="0"/>
    <b v="0"/>
    <b v="0"/>
    <n v="12"/>
    <s v="High"/>
    <d v="2026-09-19T01:42:00"/>
    <b v="0"/>
    <s v="Bulk Materials"/>
    <x v="0"/>
    <s v="Bulk"/>
    <s v="Morning"/>
    <s v="Intermediate"/>
    <s v="Fast-Moving"/>
    <s v="Medium"/>
    <n v="1"/>
    <s v="Saturday"/>
    <s v="Large (11-20)"/>
    <n v="2.5"/>
  </r>
  <r>
    <x v="832"/>
    <x v="79"/>
    <x v="31"/>
    <s v="H"/>
    <s v="I0036"/>
    <d v="2026-09-25T00:12:00"/>
    <d v="2026-09-25T00:17:00"/>
    <n v="5"/>
    <n v="5"/>
    <b v="0"/>
    <b v="0"/>
    <b v="0"/>
    <n v="15"/>
    <s v="Urgent"/>
    <d v="2026-09-24T23:31:00"/>
    <b v="0"/>
    <s v="Apparel"/>
    <x v="0"/>
    <s v="Unknown"/>
    <s v="Morning"/>
    <s v="Experienced"/>
    <s v="Small Parts"/>
    <s v="Near"/>
    <n v="23"/>
    <s v="Thursday"/>
    <s v="Large (11-20)"/>
    <n v="1"/>
  </r>
  <r>
    <x v="833"/>
    <x v="194"/>
    <x v="24"/>
    <s v="C"/>
    <s v="I0067"/>
    <d v="2026-09-26T08:55:00"/>
    <d v="2026-09-26T09:00:00"/>
    <n v="5"/>
    <n v="5"/>
    <b v="0"/>
    <b v="0"/>
    <b v="0"/>
    <n v="5"/>
    <s v="Normal"/>
    <d v="2026-09-26T06:39:00"/>
    <b v="0"/>
    <s v="Bulk Materials"/>
    <x v="0"/>
    <s v="Climate-Controlled"/>
    <s v="Night"/>
    <s v="Experienced"/>
    <s v="Small Parts"/>
    <s v="Medium"/>
    <n v="6"/>
    <s v="Saturday"/>
    <s v="Small (1-5)"/>
    <n v="1"/>
  </r>
  <r>
    <x v="834"/>
    <x v="15"/>
    <x v="6"/>
    <s v="E"/>
    <s v="I0039"/>
    <d v="2026-09-18T19:22:00"/>
    <d v="2026-09-18T19:27:00"/>
    <n v="2"/>
    <n v="5"/>
    <b v="0"/>
    <b v="0"/>
    <b v="0"/>
    <n v="20"/>
    <s v="Low"/>
    <d v="2026-09-18T17:39:00"/>
    <b v="0"/>
    <s v="Apparel"/>
    <x v="0"/>
    <s v="Fragile"/>
    <s v="Night"/>
    <s v="Intermediate"/>
    <s v="Fast-Moving"/>
    <s v="Medium"/>
    <n v="17"/>
    <s v="Friday"/>
    <s v="Large (11-20)"/>
    <n v="2.5"/>
  </r>
  <r>
    <x v="835"/>
    <x v="87"/>
    <x v="21"/>
    <s v="E"/>
    <s v="I0046"/>
    <d v="2026-09-17T22:37:00"/>
    <d v="2026-09-17T22:42:00"/>
    <n v="2"/>
    <n v="5"/>
    <b v="0"/>
    <b v="0"/>
    <b v="0"/>
    <n v="12"/>
    <s v="High"/>
    <d v="2026-09-17T21:14:00"/>
    <b v="0"/>
    <s v="Small Parts"/>
    <x v="2"/>
    <s v="Standard"/>
    <s v="Morning"/>
    <s v="Intermediate"/>
    <s v="Fast-Moving"/>
    <s v="Medium"/>
    <n v="21"/>
    <s v="Thursday"/>
    <s v="Large (11-20)"/>
    <n v="2.5"/>
  </r>
  <r>
    <x v="836"/>
    <x v="28"/>
    <x v="27"/>
    <s v="A"/>
    <s v="I0011"/>
    <d v="2026-09-22T02:56:00"/>
    <d v="2026-09-22T03:01:00"/>
    <n v="5"/>
    <n v="5"/>
    <b v="0"/>
    <b v="0"/>
    <b v="0"/>
    <n v="12"/>
    <s v="Unknown"/>
    <d v="2026-09-22T01:56:00"/>
    <b v="0"/>
    <s v="Fragile Goods"/>
    <x v="1"/>
    <s v="Climate-Controlled"/>
    <s v="Night"/>
    <s v="Experienced"/>
    <s v="Fast-Moving"/>
    <s v="Near"/>
    <n v="1"/>
    <s v="Tuesday"/>
    <s v="Large (11-20)"/>
    <n v="1"/>
  </r>
  <r>
    <x v="837"/>
    <x v="33"/>
    <x v="30"/>
    <s v="E"/>
    <s v="I0003"/>
    <d v="2026-09-27T15:15:00"/>
    <d v="2026-09-27T15:20:00"/>
    <n v="2"/>
    <n v="5"/>
    <b v="0"/>
    <b v="0"/>
    <b v="0"/>
    <n v="10"/>
    <s v="High"/>
    <d v="2026-09-27T12:45:00"/>
    <b v="0"/>
    <s v="Unknown"/>
    <x v="0"/>
    <s v="Climate-Controlled"/>
    <s v="Night"/>
    <s v="Experienced"/>
    <s v="Fast-Moving"/>
    <s v="Medium"/>
    <n v="12"/>
    <s v="Sunday"/>
    <s v="Medium (6-10)"/>
    <n v="2.5"/>
  </r>
  <r>
    <x v="838"/>
    <x v="246"/>
    <x v="30"/>
    <s v="A"/>
    <s v="I0054"/>
    <d v="2026-09-21T03:43:00"/>
    <d v="2026-09-21T03:48:00"/>
    <n v="5"/>
    <n v="5"/>
    <b v="0"/>
    <b v="0"/>
    <b v="0"/>
    <n v="3"/>
    <s v="Normal"/>
    <d v="2026-09-21T00:44:00"/>
    <b v="0"/>
    <s v="Small Parts"/>
    <x v="0"/>
    <s v="Bulk"/>
    <s v="Night"/>
    <s v="Experienced"/>
    <s v="Fast-Moving"/>
    <s v="Near"/>
    <n v="0"/>
    <s v="Monday"/>
    <s v="Small (1-5)"/>
    <n v="1"/>
  </r>
  <r>
    <x v="839"/>
    <x v="28"/>
    <x v="25"/>
    <s v="A"/>
    <s v="I0019"/>
    <d v="2026-09-22T04:49:00"/>
    <d v="2026-09-22T04:54:00"/>
    <n v="1"/>
    <n v="5"/>
    <b v="0"/>
    <b v="0"/>
    <b v="0"/>
    <n v="12"/>
    <s v="Unknown"/>
    <d v="2026-09-22T01:56:00"/>
    <b v="0"/>
    <s v="Fragile Goods"/>
    <x v="1"/>
    <s v="Bulk"/>
    <s v="Night"/>
    <s v="Experienced"/>
    <s v="Fast-Moving"/>
    <s v="Near"/>
    <n v="1"/>
    <s v="Tuesday"/>
    <s v="Large (11-20)"/>
    <n v="5"/>
  </r>
  <r>
    <x v="840"/>
    <x v="11"/>
    <x v="24"/>
    <s v="C"/>
    <s v="I0036"/>
    <d v="2026-09-12T01:26:00"/>
    <d v="2026-09-12T01:31:00"/>
    <n v="4"/>
    <n v="5"/>
    <b v="0"/>
    <b v="0"/>
    <b v="0"/>
    <n v="20"/>
    <s v="Normal"/>
    <d v="2026-09-12T00:55:00"/>
    <b v="0"/>
    <s v="Apparel"/>
    <x v="0"/>
    <s v="Unknown"/>
    <s v="Night"/>
    <s v="Experienced"/>
    <s v="Small Parts"/>
    <s v="Medium"/>
    <n v="0"/>
    <s v="Saturday"/>
    <s v="Large (11-20)"/>
    <n v="1.25"/>
  </r>
  <r>
    <x v="841"/>
    <x v="173"/>
    <x v="24"/>
    <s v="D"/>
    <s v="I0041"/>
    <d v="2026-09-10T17:23:00"/>
    <d v="2026-09-10T17:28:00"/>
    <n v="2"/>
    <n v="5"/>
    <b v="0"/>
    <b v="0"/>
    <b v="0"/>
    <n v="6"/>
    <s v="Normal"/>
    <d v="2026-09-10T15:02:00"/>
    <b v="0"/>
    <s v="Bulk Materials"/>
    <x v="2"/>
    <s v="Bulk"/>
    <s v="Night"/>
    <s v="Experienced"/>
    <s v="Fragile"/>
    <s v="Unknown"/>
    <n v="15"/>
    <s v="Thursday"/>
    <s v="Medium (6-10)"/>
    <n v="2.5"/>
  </r>
  <r>
    <x v="842"/>
    <x v="131"/>
    <x v="30"/>
    <s v="E"/>
    <s v="I0007"/>
    <d v="2026-09-13T11:47:00"/>
    <d v="2026-09-13T11:52:00"/>
    <n v="5"/>
    <n v="5"/>
    <b v="0"/>
    <b v="0"/>
    <b v="0"/>
    <n v="15"/>
    <s v="Urgent"/>
    <d v="2026-09-13T09:26:00"/>
    <b v="0"/>
    <s v="Small Parts"/>
    <x v="1"/>
    <s v="Fragile"/>
    <s v="Night"/>
    <s v="Experienced"/>
    <s v="Fast-Moving"/>
    <s v="Medium"/>
    <n v="9"/>
    <s v="Sunday"/>
    <s v="Large (11-20)"/>
    <n v="1"/>
  </r>
  <r>
    <x v="843"/>
    <x v="206"/>
    <x v="13"/>
    <s v="H"/>
    <s v="I0019"/>
    <d v="2026-09-15T21:46:00"/>
    <d v="2026-09-15T21:51:00"/>
    <n v="5"/>
    <n v="5"/>
    <b v="0"/>
    <b v="0"/>
    <b v="0"/>
    <n v="8"/>
    <s v="Urgent"/>
    <d v="2026-09-15T19:26:00"/>
    <b v="0"/>
    <s v="Fragile Goods"/>
    <x v="1"/>
    <s v="Bulk"/>
    <s v="Night"/>
    <s v="Intermediate"/>
    <s v="Small Parts"/>
    <s v="Near"/>
    <n v="19"/>
    <s v="Tuesday"/>
    <s v="Medium (6-10)"/>
    <n v="1"/>
  </r>
  <r>
    <x v="844"/>
    <x v="172"/>
    <x v="21"/>
    <s v="C"/>
    <s v="I0001"/>
    <d v="2026-09-18T21:13:00"/>
    <d v="2026-09-18T21:18:00"/>
    <n v="3"/>
    <n v="5"/>
    <b v="0"/>
    <b v="0"/>
    <b v="0"/>
    <n v="6"/>
    <s v="High"/>
    <d v="2026-09-18T20:12:00"/>
    <b v="0"/>
    <s v="Fragile Goods"/>
    <x v="0"/>
    <s v="Standard"/>
    <s v="Morning"/>
    <s v="Intermediate"/>
    <s v="Small Parts"/>
    <s v="Medium"/>
    <n v="20"/>
    <s v="Friday"/>
    <s v="Medium (6-10)"/>
    <n v="1.666666666666667"/>
  </r>
  <r>
    <x v="845"/>
    <x v="172"/>
    <x v="30"/>
    <s v="H"/>
    <s v="I0073"/>
    <d v="2026-09-18T22:01:00"/>
    <d v="2026-09-18T22:06:00"/>
    <n v="3"/>
    <n v="5"/>
    <b v="0"/>
    <b v="0"/>
    <b v="0"/>
    <n v="6"/>
    <s v="High"/>
    <d v="2026-09-18T20:12:00"/>
    <b v="0"/>
    <s v="Unknown"/>
    <x v="0"/>
    <s v="Bulk"/>
    <s v="Night"/>
    <s v="Experienced"/>
    <s v="Small Parts"/>
    <s v="Near"/>
    <n v="20"/>
    <s v="Friday"/>
    <s v="Medium (6-10)"/>
    <n v="1.666666666666667"/>
  </r>
  <r>
    <x v="846"/>
    <x v="124"/>
    <x v="1"/>
    <s v="H"/>
    <s v="I0076"/>
    <d v="2026-09-16T06:33:00"/>
    <d v="2026-09-16T06:38:00"/>
    <n v="2"/>
    <n v="5"/>
    <b v="0"/>
    <b v="0"/>
    <b v="0"/>
    <n v="4"/>
    <s v="Normal"/>
    <d v="2026-09-16T06:10:00"/>
    <b v="0"/>
    <s v="Fragile Goods"/>
    <x v="3"/>
    <s v="Climate-Controlled"/>
    <s v="Night"/>
    <s v="Beginner"/>
    <s v="Small Parts"/>
    <s v="Near"/>
    <n v="6"/>
    <s v="Wednesday"/>
    <s v="Small (1-5)"/>
    <n v="2.5"/>
  </r>
  <r>
    <x v="847"/>
    <x v="73"/>
    <x v="7"/>
    <s v="E"/>
    <s v="I0072"/>
    <d v="2026-09-25T08:44:00"/>
    <d v="2026-09-25T08:49:00"/>
    <n v="1"/>
    <n v="5"/>
    <b v="0"/>
    <b v="0"/>
    <b v="0"/>
    <n v="15"/>
    <s v="Normal"/>
    <d v="2026-09-25T07:16:00"/>
    <b v="0"/>
    <s v="Electronics"/>
    <x v="1"/>
    <s v="Climate-Controlled"/>
    <s v="Morning"/>
    <s v="Beginner"/>
    <s v="Fast-Moving"/>
    <s v="Medium"/>
    <n v="7"/>
    <s v="Friday"/>
    <s v="Large (11-20)"/>
    <n v="5"/>
  </r>
  <r>
    <x v="848"/>
    <x v="247"/>
    <x v="13"/>
    <s v="A"/>
    <s v="I0052"/>
    <d v="2026-09-18T16:08:00"/>
    <d v="2026-09-18T16:13:00"/>
    <n v="3"/>
    <n v="5"/>
    <b v="0"/>
    <b v="0"/>
    <b v="0"/>
    <n v="4"/>
    <s v="Normal"/>
    <d v="2026-09-18T15:47:00"/>
    <b v="0"/>
    <s v="Bulk Materials"/>
    <x v="3"/>
    <s v="Bulk"/>
    <s v="Night"/>
    <s v="Intermediate"/>
    <s v="Fast-Moving"/>
    <s v="Near"/>
    <n v="15"/>
    <s v="Friday"/>
    <s v="Small (1-5)"/>
    <n v="1.666666666666667"/>
  </r>
  <r>
    <x v="849"/>
    <x v="153"/>
    <x v="23"/>
    <s v="E"/>
    <s v="I0005"/>
    <d v="2026-09-14T20:00:00"/>
    <d v="2026-09-14T20:05:00"/>
    <n v="4"/>
    <n v="5"/>
    <b v="0"/>
    <b v="0"/>
    <b v="0"/>
    <n v="12"/>
    <s v="Normal"/>
    <d v="2026-09-14T17:22:00"/>
    <b v="0"/>
    <s v="Apparel"/>
    <x v="0"/>
    <s v="Climate-Controlled"/>
    <s v="Evening"/>
    <s v="Intermediate"/>
    <s v="Fast-Moving"/>
    <s v="Medium"/>
    <n v="17"/>
    <s v="Monday"/>
    <s v="Large (11-20)"/>
    <n v="1.25"/>
  </r>
  <r>
    <x v="850"/>
    <x v="153"/>
    <x v="17"/>
    <s v="H"/>
    <s v="I0036"/>
    <d v="2026-09-14T18:55:00"/>
    <d v="2026-09-14T19:00:00"/>
    <n v="3"/>
    <n v="5"/>
    <b v="0"/>
    <b v="0"/>
    <b v="0"/>
    <n v="12"/>
    <s v="Normal"/>
    <d v="2026-09-14T17:22:00"/>
    <b v="0"/>
    <s v="Apparel"/>
    <x v="0"/>
    <s v="Unknown"/>
    <s v="Night"/>
    <s v="Intermediate"/>
    <s v="Small Parts"/>
    <s v="Near"/>
    <n v="17"/>
    <s v="Monday"/>
    <s v="Large (11-20)"/>
    <n v="1.666666666666667"/>
  </r>
  <r>
    <x v="851"/>
    <x v="84"/>
    <x v="11"/>
    <s v="E"/>
    <s v="I0057"/>
    <d v="2026-09-03T03:11:00"/>
    <d v="2026-09-03T03:16:00"/>
    <n v="1"/>
    <n v="5"/>
    <b v="0"/>
    <b v="0"/>
    <b v="0"/>
    <n v="15"/>
    <s v="Normal"/>
    <d v="2026-09-03T02:35:00"/>
    <b v="0"/>
    <s v="Apparel"/>
    <x v="1"/>
    <s v="Bulk"/>
    <s v="Night"/>
    <s v="Intermediate"/>
    <s v="Fast-Moving"/>
    <s v="Medium"/>
    <n v="2"/>
    <s v="Thursday"/>
    <s v="Large (11-20)"/>
    <n v="5"/>
  </r>
  <r>
    <x v="852"/>
    <x v="248"/>
    <x v="23"/>
    <s v="F"/>
    <s v="I0043"/>
    <d v="2026-09-20T20:59:00"/>
    <d v="2026-09-20T21:04:00"/>
    <n v="1"/>
    <n v="5"/>
    <b v="0"/>
    <b v="0"/>
    <b v="0"/>
    <n v="5"/>
    <s v="Normal"/>
    <d v="2026-09-20T18:50:00"/>
    <b v="0"/>
    <s v="Small Parts"/>
    <x v="0"/>
    <s v="Fragile"/>
    <s v="Evening"/>
    <s v="Intermediate"/>
    <s v="Bulk Storage"/>
    <s v="Near"/>
    <n v="18"/>
    <s v="Sunday"/>
    <s v="Small (1-5)"/>
    <n v="5"/>
  </r>
  <r>
    <x v="853"/>
    <x v="189"/>
    <x v="23"/>
    <s v="A"/>
    <s v="I0063"/>
    <d v="2026-09-24T14:52:00"/>
    <d v="2026-09-24T14:57:00"/>
    <n v="6"/>
    <n v="5"/>
    <b v="0"/>
    <b v="0"/>
    <b v="0"/>
    <n v="3"/>
    <s v="High"/>
    <d v="2026-09-24T12:54:00"/>
    <b v="0"/>
    <s v="Home Goods"/>
    <x v="2"/>
    <s v="Fragile"/>
    <s v="Evening"/>
    <s v="Intermediate"/>
    <s v="Fast-Moving"/>
    <s v="Near"/>
    <n v="12"/>
    <s v="Thursday"/>
    <s v="Small (1-5)"/>
    <n v="0.8333333333333334"/>
  </r>
  <r>
    <x v="854"/>
    <x v="223"/>
    <x v="29"/>
    <s v="A"/>
    <s v="I0023"/>
    <d v="2026-09-06T09:25:00"/>
    <d v="2026-09-06T09:30:00"/>
    <n v="2"/>
    <n v="5"/>
    <b v="0"/>
    <b v="0"/>
    <b v="0"/>
    <n v="5"/>
    <s v="Normal"/>
    <d v="2026-09-06T08:37:00"/>
    <b v="0"/>
    <s v="Home Goods"/>
    <x v="1"/>
    <s v="Bulk"/>
    <s v="Morning"/>
    <s v="Experienced"/>
    <s v="Fast-Moving"/>
    <s v="Near"/>
    <n v="8"/>
    <s v="Sunday"/>
    <s v="Small (1-5)"/>
    <n v="2.5"/>
  </r>
  <r>
    <x v="855"/>
    <x v="91"/>
    <x v="12"/>
    <s v="E"/>
    <s v="I0048"/>
    <d v="2026-09-13T09:54:00"/>
    <d v="2026-09-13T09:59:00"/>
    <n v="6"/>
    <n v="5"/>
    <b v="0"/>
    <b v="0"/>
    <b v="0"/>
    <m/>
    <s v="Normal"/>
    <d v="2026-09-13T08:32:00"/>
    <b v="1"/>
    <s v="Electronics"/>
    <x v="2"/>
    <s v="Standard"/>
    <s v="Unknown"/>
    <s v="Intermediate"/>
    <s v="Fast-Moving"/>
    <s v="Medium"/>
    <n v="8"/>
    <s v="Sunday"/>
    <m/>
    <n v="0.8333333333333334"/>
  </r>
  <r>
    <x v="856"/>
    <x v="136"/>
    <x v="31"/>
    <s v="A"/>
    <s v="I0021"/>
    <d v="2026-09-20T09:36:00"/>
    <d v="2026-09-20T09:41:00"/>
    <n v="6"/>
    <n v="5"/>
    <b v="0"/>
    <b v="0"/>
    <b v="0"/>
    <n v="8"/>
    <s v="Normal"/>
    <d v="2026-09-20T09:05:00"/>
    <b v="0"/>
    <s v="Apparel"/>
    <x v="0"/>
    <s v="Standard"/>
    <s v="Morning"/>
    <s v="Experienced"/>
    <s v="Fast-Moving"/>
    <s v="Near"/>
    <n v="9"/>
    <s v="Sunday"/>
    <s v="Medium (6-10)"/>
    <n v="0.8333333333333334"/>
  </r>
  <r>
    <x v="857"/>
    <x v="187"/>
    <x v="19"/>
    <s v="F"/>
    <s v="I0006"/>
    <d v="2026-09-18T09:39:00"/>
    <d v="2026-09-18T09:44:00"/>
    <n v="3"/>
    <n v="5"/>
    <b v="0"/>
    <b v="0"/>
    <b v="0"/>
    <n v="20"/>
    <s v="High"/>
    <d v="2026-09-18T07:26:00"/>
    <b v="0"/>
    <s v="Bulk Materials"/>
    <x v="0"/>
    <s v="Bulk"/>
    <s v="Unknown"/>
    <s v="Experienced"/>
    <s v="Bulk Storage"/>
    <s v="Near"/>
    <n v="7"/>
    <s v="Friday"/>
    <s v="Large (11-20)"/>
    <n v="1.666666666666667"/>
  </r>
  <r>
    <x v="858"/>
    <x v="147"/>
    <x v="25"/>
    <s v="H"/>
    <s v="I0049"/>
    <d v="2026-09-17T10:48:00"/>
    <d v="2026-09-17T10:53:00"/>
    <n v="4"/>
    <n v="5"/>
    <b v="0"/>
    <b v="0"/>
    <b v="0"/>
    <n v="6"/>
    <s v="Urgent"/>
    <d v="2026-09-17T08:24:00"/>
    <b v="0"/>
    <s v="Small Parts"/>
    <x v="1"/>
    <s v="Standard"/>
    <s v="Night"/>
    <s v="Experienced"/>
    <s v="Small Parts"/>
    <s v="Near"/>
    <n v="8"/>
    <s v="Thursday"/>
    <s v="Medium (6-10)"/>
    <n v="1.25"/>
  </r>
  <r>
    <x v="859"/>
    <x v="69"/>
    <x v="6"/>
    <s v="A"/>
    <s v="I0015"/>
    <d v="2026-09-03T15:47:00"/>
    <d v="2026-09-03T15:52:00"/>
    <n v="3"/>
    <n v="5"/>
    <b v="0"/>
    <b v="0"/>
    <b v="0"/>
    <n v="20"/>
    <s v="Normal"/>
    <d v="2026-09-03T14:59:00"/>
    <b v="0"/>
    <s v="Bulk Materials"/>
    <x v="1"/>
    <s v="Fragile"/>
    <s v="Night"/>
    <s v="Intermediate"/>
    <s v="Fast-Moving"/>
    <s v="Near"/>
    <n v="14"/>
    <s v="Thursday"/>
    <s v="Large (11-20)"/>
    <n v="1.666666666666667"/>
  </r>
  <r>
    <x v="860"/>
    <x v="88"/>
    <x v="8"/>
    <s v="A"/>
    <s v="I0037"/>
    <d v="2026-09-22T14:25:00"/>
    <d v="2026-09-22T14:30:00"/>
    <n v="4"/>
    <n v="5"/>
    <b v="0"/>
    <b v="0"/>
    <b v="0"/>
    <n v="6"/>
    <s v="Normal"/>
    <d v="2026-09-22T13:03:00"/>
    <b v="0"/>
    <s v="Electronics"/>
    <x v="1"/>
    <s v="Climate-Controlled"/>
    <s v="Evening"/>
    <s v="Unknown"/>
    <s v="Fast-Moving"/>
    <s v="Near"/>
    <n v="13"/>
    <s v="Tuesday"/>
    <s v="Medium (6-10)"/>
    <n v="1.25"/>
  </r>
  <r>
    <x v="861"/>
    <x v="131"/>
    <x v="21"/>
    <s v="A"/>
    <s v="I0026"/>
    <d v="2026-09-13T11:06:00"/>
    <d v="2026-09-13T11:11:00"/>
    <n v="4"/>
    <n v="5"/>
    <b v="0"/>
    <b v="0"/>
    <b v="0"/>
    <n v="15"/>
    <s v="Urgent"/>
    <d v="2026-09-13T09:26:00"/>
    <b v="0"/>
    <s v="Bulk Materials"/>
    <x v="0"/>
    <s v="Climate-Controlled"/>
    <s v="Morning"/>
    <s v="Intermediate"/>
    <s v="Fast-Moving"/>
    <s v="Near"/>
    <n v="9"/>
    <s v="Sunday"/>
    <s v="Large (11-20)"/>
    <n v="1.25"/>
  </r>
  <r>
    <x v="862"/>
    <x v="210"/>
    <x v="13"/>
    <s v="D"/>
    <s v="I0017"/>
    <d v="2026-09-26T23:33:00"/>
    <d v="2026-09-26T23:38:00"/>
    <n v="1"/>
    <n v="5"/>
    <b v="0"/>
    <b v="0"/>
    <b v="0"/>
    <n v="6"/>
    <s v="Normal"/>
    <d v="2026-09-26T20:35:00"/>
    <b v="0"/>
    <s v="Bulk Materials"/>
    <x v="1"/>
    <s v="Bulk"/>
    <s v="Night"/>
    <s v="Intermediate"/>
    <s v="Fragile"/>
    <s v="Unknown"/>
    <n v="20"/>
    <s v="Saturday"/>
    <s v="Medium (6-10)"/>
    <n v="5"/>
  </r>
  <r>
    <x v="863"/>
    <x v="0"/>
    <x v="30"/>
    <s v="D"/>
    <s v="I0054"/>
    <d v="2026-09-29T05:47:00"/>
    <d v="2026-09-29T05:52:00"/>
    <n v="1"/>
    <n v="5"/>
    <b v="0"/>
    <b v="0"/>
    <b v="0"/>
    <n v="15"/>
    <s v="Normal"/>
    <d v="2026-09-29T05:12:00"/>
    <b v="0"/>
    <s v="Small Parts"/>
    <x v="0"/>
    <s v="Bulk"/>
    <s v="Night"/>
    <s v="Experienced"/>
    <s v="Fragile"/>
    <s v="Unknown"/>
    <n v="5"/>
    <s v="Tuesday"/>
    <s v="Large (11-20)"/>
    <n v="5"/>
  </r>
  <r>
    <x v="864"/>
    <x v="3"/>
    <x v="19"/>
    <s v="F"/>
    <s v="I0041"/>
    <d v="2026-09-24T07:02:00"/>
    <d v="2026-09-24T07:07:00"/>
    <n v="7"/>
    <n v="5"/>
    <b v="0"/>
    <b v="0"/>
    <b v="0"/>
    <n v="3"/>
    <s v="High"/>
    <d v="2026-09-24T04:06:00"/>
    <b v="0"/>
    <s v="Bulk Materials"/>
    <x v="2"/>
    <s v="Bulk"/>
    <s v="Unknown"/>
    <s v="Experienced"/>
    <s v="Bulk Storage"/>
    <s v="Near"/>
    <n v="4"/>
    <s v="Thursday"/>
    <s v="Small (1-5)"/>
    <n v="0.7142857142857143"/>
  </r>
  <r>
    <x v="865"/>
    <x v="105"/>
    <x v="11"/>
    <s v="F"/>
    <s v="I0030"/>
    <d v="2026-09-07T16:47:00"/>
    <d v="2026-09-07T16:52:00"/>
    <n v="2"/>
    <n v="5"/>
    <b v="0"/>
    <b v="0"/>
    <b v="0"/>
    <n v="10"/>
    <s v="Low"/>
    <d v="2026-09-07T13:56:00"/>
    <b v="0"/>
    <s v="Electronics"/>
    <x v="0"/>
    <s v="Fragile"/>
    <s v="Night"/>
    <s v="Intermediate"/>
    <s v="Bulk Storage"/>
    <s v="Near"/>
    <n v="13"/>
    <s v="Monday"/>
    <s v="Medium (6-10)"/>
    <n v="2.5"/>
  </r>
  <r>
    <x v="866"/>
    <x v="0"/>
    <x v="8"/>
    <s v="E"/>
    <s v="I0028"/>
    <d v="2026-09-29T05:57:00"/>
    <d v="2026-09-29T06:02:00"/>
    <n v="1"/>
    <n v="5"/>
    <b v="0"/>
    <b v="0"/>
    <b v="0"/>
    <n v="15"/>
    <s v="Normal"/>
    <d v="2026-09-29T05:12:00"/>
    <b v="0"/>
    <s v="Fragile Goods"/>
    <x v="1"/>
    <s v="Standard"/>
    <s v="Evening"/>
    <s v="Unknown"/>
    <s v="Fast-Moving"/>
    <s v="Medium"/>
    <n v="5"/>
    <s v="Tuesday"/>
    <s v="Large (11-20)"/>
    <n v="5"/>
  </r>
  <r>
    <x v="867"/>
    <x v="185"/>
    <x v="27"/>
    <s v="D"/>
    <s v="I0050"/>
    <d v="2026-09-16T13:41:00"/>
    <d v="2026-09-16T13:46:00"/>
    <n v="7"/>
    <n v="5"/>
    <b v="0"/>
    <b v="0"/>
    <b v="0"/>
    <n v="6"/>
    <s v="High"/>
    <m/>
    <b v="0"/>
    <s v="Home Goods"/>
    <x v="1"/>
    <s v="Bulk"/>
    <s v="Night"/>
    <s v="Experienced"/>
    <s v="Fragile"/>
    <s v="Unknown"/>
    <m/>
    <m/>
    <s v="Medium (6-10)"/>
    <n v="0.7142857142857143"/>
  </r>
  <r>
    <x v="868"/>
    <x v="27"/>
    <x v="17"/>
    <s v="E"/>
    <s v="I0032"/>
    <d v="2026-09-28T03:11:00"/>
    <d v="2026-09-28T03:16:00"/>
    <n v="3"/>
    <n v="5"/>
    <b v="0"/>
    <b v="0"/>
    <b v="0"/>
    <n v="8"/>
    <s v="Normal"/>
    <d v="2026-09-28T03:05:00"/>
    <b v="0"/>
    <s v="Bulk Materials"/>
    <x v="2"/>
    <s v="Standard"/>
    <s v="Night"/>
    <s v="Intermediate"/>
    <s v="Fast-Moving"/>
    <s v="Medium"/>
    <n v="3"/>
    <s v="Monday"/>
    <s v="Medium (6-10)"/>
    <n v="1.666666666666667"/>
  </r>
  <r>
    <x v="869"/>
    <x v="104"/>
    <x v="8"/>
    <s v="H"/>
    <s v="I0024"/>
    <d v="2026-09-08T17:51:00"/>
    <d v="2026-09-08T17:56:00"/>
    <n v="6"/>
    <n v="5"/>
    <b v="0"/>
    <b v="0"/>
    <b v="0"/>
    <n v="5"/>
    <s v="Normal"/>
    <d v="2026-09-08T15:44:00"/>
    <b v="0"/>
    <s v="Fragile Goods"/>
    <x v="0"/>
    <s v="Fragile"/>
    <s v="Evening"/>
    <s v="Unknown"/>
    <s v="Small Parts"/>
    <s v="Near"/>
    <n v="15"/>
    <s v="Tuesday"/>
    <s v="Small (1-5)"/>
    <n v="0.8333333333333334"/>
  </r>
  <r>
    <x v="870"/>
    <x v="129"/>
    <x v="14"/>
    <s v="C"/>
    <s v="I0074"/>
    <d v="2026-09-13T01:32:00"/>
    <d v="2026-09-13T01:37:00"/>
    <n v="1"/>
    <n v="5"/>
    <b v="0"/>
    <b v="0"/>
    <b v="0"/>
    <n v="5"/>
    <s v="Low"/>
    <d v="2026-09-12T23:44:00"/>
    <b v="0"/>
    <s v="Fragile Goods"/>
    <x v="1"/>
    <s v="Climate-Controlled"/>
    <s v="Night"/>
    <s v="Unknown"/>
    <s v="Small Parts"/>
    <s v="Medium"/>
    <n v="23"/>
    <s v="Saturday"/>
    <s v="Small (1-5)"/>
    <n v="5"/>
  </r>
  <r>
    <x v="871"/>
    <x v="159"/>
    <x v="1"/>
    <s v="A"/>
    <s v="I0053"/>
    <d v="2026-09-26T07:16:00"/>
    <d v="2026-09-26T07:21:00"/>
    <n v="2"/>
    <n v="5"/>
    <b v="0"/>
    <b v="0"/>
    <b v="0"/>
    <n v="10"/>
    <s v="Normal"/>
    <d v="2026-09-26T05:21:00"/>
    <b v="0"/>
    <s v="Small Parts"/>
    <x v="3"/>
    <s v="Standard"/>
    <s v="Night"/>
    <s v="Beginner"/>
    <s v="Fast-Moving"/>
    <s v="Near"/>
    <n v="5"/>
    <s v="Saturday"/>
    <s v="Medium (6-10)"/>
    <n v="2.5"/>
  </r>
  <r>
    <x v="872"/>
    <x v="5"/>
    <x v="9"/>
    <s v="E"/>
    <s v="I0049"/>
    <d v="2026-09-15T08:10:00"/>
    <d v="2026-09-15T08:15:00"/>
    <n v="3"/>
    <n v="5"/>
    <b v="0"/>
    <b v="0"/>
    <b v="0"/>
    <n v="10"/>
    <s v="Urgent"/>
    <d v="2026-09-15T05:21:00"/>
    <b v="0"/>
    <s v="Small Parts"/>
    <x v="1"/>
    <s v="Standard"/>
    <s v="Unknown"/>
    <s v="Intermediate"/>
    <s v="Fast-Moving"/>
    <s v="Medium"/>
    <n v="5"/>
    <s v="Tuesday"/>
    <s v="Medium (6-10)"/>
    <n v="1.666666666666667"/>
  </r>
  <r>
    <x v="873"/>
    <x v="75"/>
    <x v="23"/>
    <s v="C"/>
    <s v="I0051"/>
    <d v="2026-09-01T23:15:00"/>
    <d v="2026-09-01T23:20:00"/>
    <n v="2"/>
    <n v="5"/>
    <b v="0"/>
    <b v="0"/>
    <b v="0"/>
    <n v="20"/>
    <s v="Low"/>
    <d v="2026-09-01T21:36:00"/>
    <b v="0"/>
    <s v="Home Goods"/>
    <x v="1"/>
    <s v="Fragile"/>
    <s v="Evening"/>
    <s v="Intermediate"/>
    <s v="Small Parts"/>
    <s v="Medium"/>
    <n v="21"/>
    <s v="Tuesday"/>
    <s v="Large (11-20)"/>
    <n v="2.5"/>
  </r>
  <r>
    <x v="874"/>
    <x v="75"/>
    <x v="23"/>
    <s v="A"/>
    <s v="I0005"/>
    <d v="2026-09-02T00:32:00"/>
    <d v="2026-09-02T00:37:00"/>
    <n v="7"/>
    <n v="5"/>
    <b v="0"/>
    <b v="0"/>
    <b v="0"/>
    <n v="20"/>
    <s v="Low"/>
    <d v="2026-09-01T21:36:00"/>
    <b v="0"/>
    <s v="Apparel"/>
    <x v="0"/>
    <s v="Climate-Controlled"/>
    <s v="Evening"/>
    <s v="Intermediate"/>
    <s v="Fast-Moving"/>
    <s v="Near"/>
    <n v="21"/>
    <s v="Tuesday"/>
    <s v="Large (11-20)"/>
    <n v="0.7142857142857143"/>
  </r>
  <r>
    <x v="875"/>
    <x v="127"/>
    <x v="21"/>
    <s v="C"/>
    <s v="I0080"/>
    <d v="2026-09-25T12:12:00"/>
    <d v="2026-09-25T12:17:00"/>
    <n v="3"/>
    <n v="5"/>
    <b v="0"/>
    <b v="0"/>
    <b v="0"/>
    <n v="4"/>
    <s v="Low"/>
    <d v="2026-09-25T10:16:00"/>
    <b v="0"/>
    <s v="Fragile Goods"/>
    <x v="0"/>
    <s v="Bulk"/>
    <s v="Morning"/>
    <s v="Intermediate"/>
    <s v="Small Parts"/>
    <s v="Medium"/>
    <n v="10"/>
    <s v="Friday"/>
    <s v="Small (1-5)"/>
    <n v="1.666666666666667"/>
  </r>
  <r>
    <x v="876"/>
    <x v="119"/>
    <x v="9"/>
    <s v="C"/>
    <s v="I0019"/>
    <d v="2026-09-04T00:21:00"/>
    <d v="2026-09-04T00:26:00"/>
    <n v="1"/>
    <n v="5"/>
    <b v="0"/>
    <b v="0"/>
    <b v="0"/>
    <n v="4"/>
    <s v="High"/>
    <d v="2026-09-03T21:28:00"/>
    <b v="0"/>
    <s v="Fragile Goods"/>
    <x v="1"/>
    <s v="Bulk"/>
    <s v="Unknown"/>
    <s v="Intermediate"/>
    <s v="Small Parts"/>
    <s v="Medium"/>
    <n v="21"/>
    <s v="Thursday"/>
    <s v="Small (1-5)"/>
    <n v="5"/>
  </r>
  <r>
    <x v="877"/>
    <x v="222"/>
    <x v="22"/>
    <s v="A"/>
    <s v="I0019"/>
    <d v="2026-09-27T01:57:00"/>
    <d v="2026-09-27T02:02:00"/>
    <n v="3"/>
    <n v="5"/>
    <b v="0"/>
    <b v="0"/>
    <b v="0"/>
    <n v="6"/>
    <s v="Low"/>
    <d v="2026-09-26T23:07:00"/>
    <b v="0"/>
    <s v="Fragile Goods"/>
    <x v="1"/>
    <s v="Bulk"/>
    <s v="Unknown"/>
    <s v="Unknown"/>
    <s v="Fast-Moving"/>
    <s v="Near"/>
    <n v="23"/>
    <s v="Saturday"/>
    <s v="Medium (6-10)"/>
    <n v="1.666666666666667"/>
  </r>
  <r>
    <x v="878"/>
    <x v="177"/>
    <x v="15"/>
    <s v="H"/>
    <s v="I0037"/>
    <d v="2026-09-24T23:58:00"/>
    <d v="2026-09-25T00:03:00"/>
    <n v="4"/>
    <n v="5"/>
    <b v="0"/>
    <b v="0"/>
    <b v="0"/>
    <n v="20"/>
    <s v="Normal"/>
    <d v="2026-09-24T23:08:00"/>
    <b v="0"/>
    <s v="Electronics"/>
    <x v="1"/>
    <s v="Climate-Controlled"/>
    <s v="Morning"/>
    <s v="Unknown"/>
    <s v="Small Parts"/>
    <s v="Near"/>
    <n v="23"/>
    <s v="Thursday"/>
    <s v="Large (11-20)"/>
    <n v="1.25"/>
  </r>
  <r>
    <x v="879"/>
    <x v="65"/>
    <x v="31"/>
    <s v="A"/>
    <s v="I0058"/>
    <d v="2026-09-22T09:43:00"/>
    <d v="2026-09-22T09:48:00"/>
    <n v="4"/>
    <n v="5"/>
    <b v="0"/>
    <b v="0"/>
    <b v="0"/>
    <n v="20"/>
    <s v="Normal"/>
    <d v="2026-09-22T09:35:00"/>
    <b v="0"/>
    <s v="Home Goods"/>
    <x v="1"/>
    <s v="Unknown"/>
    <s v="Morning"/>
    <s v="Experienced"/>
    <s v="Fast-Moving"/>
    <s v="Near"/>
    <n v="9"/>
    <s v="Tuesday"/>
    <s v="Large (11-20)"/>
    <n v="1.25"/>
  </r>
  <r>
    <x v="880"/>
    <x v="197"/>
    <x v="29"/>
    <s v="A"/>
    <s v="I0075"/>
    <d v="2026-09-24T14:36:00"/>
    <d v="2026-09-24T14:41:00"/>
    <n v="7"/>
    <n v="5"/>
    <b v="0"/>
    <b v="0"/>
    <b v="0"/>
    <n v="3"/>
    <s v="Normal"/>
    <d v="2026-09-24T12:10:00"/>
    <b v="0"/>
    <s v="Fragile Goods"/>
    <x v="0"/>
    <s v="Standard"/>
    <s v="Morning"/>
    <s v="Experienced"/>
    <s v="Fast-Moving"/>
    <s v="Near"/>
    <n v="12"/>
    <s v="Thursday"/>
    <s v="Small (1-5)"/>
    <n v="0.7142857142857143"/>
  </r>
  <r>
    <x v="881"/>
    <x v="238"/>
    <x v="26"/>
    <s v="F"/>
    <s v="I0039"/>
    <d v="2026-09-17T00:19:00"/>
    <d v="2026-09-17T00:24:00"/>
    <n v="1"/>
    <n v="5"/>
    <b v="0"/>
    <b v="0"/>
    <b v="0"/>
    <n v="2"/>
    <s v="Urgent"/>
    <d v="2026-09-16T22:58:00"/>
    <b v="0"/>
    <s v="Apparel"/>
    <x v="0"/>
    <s v="Fragile"/>
    <s v="Morning"/>
    <s v="Experienced"/>
    <s v="Bulk Storage"/>
    <s v="Near"/>
    <n v="22"/>
    <s v="Wednesday"/>
    <s v="Small (1-5)"/>
    <n v="5"/>
  </r>
  <r>
    <x v="882"/>
    <x v="121"/>
    <x v="29"/>
    <s v="C"/>
    <s v="I0043"/>
    <d v="2026-09-26T09:07:00"/>
    <d v="2026-09-26T09:12:00"/>
    <n v="1"/>
    <n v="5"/>
    <b v="0"/>
    <b v="0"/>
    <b v="0"/>
    <n v="8"/>
    <s v="Normal"/>
    <d v="2026-09-26T07:22:00"/>
    <b v="0"/>
    <s v="Small Parts"/>
    <x v="0"/>
    <s v="Fragile"/>
    <s v="Morning"/>
    <s v="Experienced"/>
    <s v="Small Parts"/>
    <s v="Medium"/>
    <n v="7"/>
    <s v="Saturday"/>
    <s v="Medium (6-10)"/>
    <n v="5"/>
  </r>
  <r>
    <x v="883"/>
    <x v="177"/>
    <x v="17"/>
    <s v="E"/>
    <s v="I0077"/>
    <d v="2026-09-25T00:17:00"/>
    <d v="2026-09-25T00:22:00"/>
    <n v="3"/>
    <n v="5"/>
    <b v="0"/>
    <b v="0"/>
    <b v="0"/>
    <n v="20"/>
    <s v="Normal"/>
    <d v="2026-09-24T23:08:00"/>
    <b v="0"/>
    <s v="Bulk Materials"/>
    <x v="0"/>
    <s v="Unknown"/>
    <s v="Night"/>
    <s v="Intermediate"/>
    <s v="Fast-Moving"/>
    <s v="Medium"/>
    <n v="23"/>
    <s v="Thursday"/>
    <s v="Large (11-20)"/>
    <n v="1.666666666666667"/>
  </r>
  <r>
    <x v="884"/>
    <x v="47"/>
    <x v="12"/>
    <s v="F"/>
    <s v="I0015"/>
    <d v="2026-09-21T04:57:00"/>
    <d v="2026-09-21T05:02:00"/>
    <n v="2"/>
    <n v="5"/>
    <b v="0"/>
    <b v="0"/>
    <b v="0"/>
    <n v="20"/>
    <s v="Urgent"/>
    <d v="2026-09-21T03:14:00"/>
    <b v="0"/>
    <s v="Bulk Materials"/>
    <x v="1"/>
    <s v="Fragile"/>
    <s v="Unknown"/>
    <s v="Intermediate"/>
    <s v="Bulk Storage"/>
    <s v="Near"/>
    <n v="3"/>
    <s v="Monday"/>
    <s v="Large (11-20)"/>
    <n v="2.5"/>
  </r>
  <r>
    <x v="885"/>
    <x v="206"/>
    <x v="12"/>
    <s v="A"/>
    <s v="I0044"/>
    <d v="2026-09-15T20:35:00"/>
    <d v="2026-09-15T20:40:00"/>
    <n v="6"/>
    <n v="5"/>
    <b v="0"/>
    <b v="0"/>
    <b v="0"/>
    <n v="8"/>
    <s v="Urgent"/>
    <d v="2026-09-15T19:26:00"/>
    <b v="0"/>
    <s v="Electronics"/>
    <x v="1"/>
    <s v="Bulk"/>
    <s v="Unknown"/>
    <s v="Intermediate"/>
    <s v="Fast-Moving"/>
    <s v="Near"/>
    <n v="19"/>
    <s v="Tuesday"/>
    <s v="Medium (6-10)"/>
    <n v="0.8333333333333334"/>
  </r>
  <r>
    <x v="886"/>
    <x v="123"/>
    <x v="12"/>
    <s v="A"/>
    <s v="I0078"/>
    <d v="2026-09-19T23:52:00"/>
    <d v="2026-09-19T23:56:00"/>
    <n v="2"/>
    <n v="4"/>
    <b v="0"/>
    <b v="0"/>
    <b v="0"/>
    <n v="8"/>
    <s v="Low"/>
    <d v="2026-09-19T22:46:00"/>
    <b v="0"/>
    <s v="Apparel"/>
    <x v="1"/>
    <s v="Climate-Controlled"/>
    <s v="Unknown"/>
    <s v="Intermediate"/>
    <s v="Fast-Moving"/>
    <s v="Near"/>
    <n v="22"/>
    <s v="Saturday"/>
    <s v="Medium (6-10)"/>
    <n v="2"/>
  </r>
  <r>
    <x v="887"/>
    <x v="123"/>
    <x v="15"/>
    <s v="H"/>
    <s v="I0060"/>
    <d v="2026-09-20T00:04:00"/>
    <d v="2026-09-20T00:08:00"/>
    <n v="3"/>
    <n v="4"/>
    <b v="0"/>
    <b v="0"/>
    <b v="0"/>
    <n v="8"/>
    <s v="Low"/>
    <d v="2026-09-19T22:46:00"/>
    <b v="0"/>
    <s v="Small Parts"/>
    <x v="2"/>
    <s v="Climate-Controlled"/>
    <s v="Morning"/>
    <s v="Unknown"/>
    <s v="Small Parts"/>
    <s v="Near"/>
    <n v="22"/>
    <s v="Saturday"/>
    <s v="Medium (6-10)"/>
    <n v="1.333333333333333"/>
  </r>
  <r>
    <x v="888"/>
    <x v="164"/>
    <x v="18"/>
    <s v="E"/>
    <s v="I0032"/>
    <d v="2026-09-13T23:01:00"/>
    <d v="2026-09-13T23:05:00"/>
    <n v="2"/>
    <n v="4"/>
    <b v="0"/>
    <b v="0"/>
    <b v="0"/>
    <n v="8"/>
    <s v="Urgent"/>
    <d v="2026-09-13T22:48:00"/>
    <b v="0"/>
    <s v="Bulk Materials"/>
    <x v="2"/>
    <s v="Standard"/>
    <s v="Night"/>
    <s v="Intermediate"/>
    <s v="Fast-Moving"/>
    <s v="Medium"/>
    <n v="22"/>
    <s v="Sunday"/>
    <s v="Medium (6-10)"/>
    <n v="2"/>
  </r>
  <r>
    <x v="889"/>
    <x v="164"/>
    <x v="12"/>
    <s v="E"/>
    <s v="I0018"/>
    <d v="2026-09-14T00:56:00"/>
    <d v="2026-09-14T01:00:00"/>
    <n v="3"/>
    <n v="4"/>
    <b v="0"/>
    <b v="0"/>
    <b v="0"/>
    <n v="8"/>
    <s v="Urgent"/>
    <d v="2026-09-13T22:48:00"/>
    <b v="0"/>
    <s v="Bulk Materials"/>
    <x v="0"/>
    <s v="Bulk"/>
    <s v="Unknown"/>
    <s v="Intermediate"/>
    <s v="Fast-Moving"/>
    <s v="Medium"/>
    <n v="22"/>
    <s v="Sunday"/>
    <s v="Medium (6-10)"/>
    <n v="1.333333333333333"/>
  </r>
  <r>
    <x v="890"/>
    <x v="14"/>
    <x v="8"/>
    <s v="E"/>
    <s v="I0026"/>
    <d v="2026-09-25T09:59:00"/>
    <d v="2026-09-25T10:03:00"/>
    <n v="5"/>
    <n v="4"/>
    <b v="0"/>
    <b v="0"/>
    <b v="0"/>
    <n v="20"/>
    <s v="Low"/>
    <d v="2026-09-25T09:29:00"/>
    <b v="0"/>
    <s v="Bulk Materials"/>
    <x v="0"/>
    <s v="Climate-Controlled"/>
    <s v="Evening"/>
    <s v="Unknown"/>
    <s v="Fast-Moving"/>
    <s v="Medium"/>
    <n v="9"/>
    <s v="Friday"/>
    <s v="Large (11-20)"/>
    <n v="0.8"/>
  </r>
  <r>
    <x v="891"/>
    <x v="123"/>
    <x v="22"/>
    <s v="C"/>
    <s v="I0042"/>
    <d v="2026-09-20T01:19:00"/>
    <d v="2026-09-20T01:23:00"/>
    <n v="3"/>
    <n v="4"/>
    <b v="0"/>
    <b v="0"/>
    <b v="0"/>
    <n v="8"/>
    <s v="Low"/>
    <d v="2026-09-19T22:46:00"/>
    <b v="0"/>
    <s v="Electronics"/>
    <x v="1"/>
    <s v="Standard"/>
    <s v="Unknown"/>
    <s v="Unknown"/>
    <s v="Small Parts"/>
    <s v="Medium"/>
    <n v="22"/>
    <s v="Saturday"/>
    <s v="Medium (6-10)"/>
    <n v="1.333333333333333"/>
  </r>
  <r>
    <x v="892"/>
    <x v="70"/>
    <x v="11"/>
    <s v="C"/>
    <s v="I0066"/>
    <d v="2026-09-26T22:28:00"/>
    <d v="2026-09-26T22:32:00"/>
    <n v="1"/>
    <n v="4"/>
    <b v="0"/>
    <b v="0"/>
    <b v="0"/>
    <n v="12"/>
    <s v="High"/>
    <d v="2026-09-26T21:43:00"/>
    <b v="0"/>
    <s v="Bulk Materials"/>
    <x v="2"/>
    <s v="Bulk"/>
    <s v="Night"/>
    <s v="Intermediate"/>
    <s v="Small Parts"/>
    <s v="Medium"/>
    <n v="21"/>
    <s v="Saturday"/>
    <s v="Large (11-20)"/>
    <n v="4"/>
  </r>
  <r>
    <x v="893"/>
    <x v="151"/>
    <x v="18"/>
    <s v="A"/>
    <s v="I0010"/>
    <d v="2026-09-08T05:27:00"/>
    <d v="2026-09-08T05:31:00"/>
    <n v="2"/>
    <n v="4"/>
    <b v="0"/>
    <b v="0"/>
    <b v="0"/>
    <n v="6"/>
    <s v="Normal"/>
    <d v="2026-09-08T02:35:00"/>
    <b v="0"/>
    <s v="Fragile Goods"/>
    <x v="1"/>
    <s v="Standard"/>
    <s v="Night"/>
    <s v="Intermediate"/>
    <s v="Fast-Moving"/>
    <s v="Near"/>
    <n v="2"/>
    <s v="Tuesday"/>
    <s v="Medium (6-10)"/>
    <n v="2"/>
  </r>
  <r>
    <x v="894"/>
    <x v="70"/>
    <x v="22"/>
    <s v="H"/>
    <s v="I0068"/>
    <d v="2026-09-26T23:06:00"/>
    <d v="2026-09-26T23:10:00"/>
    <n v="1"/>
    <n v="4"/>
    <b v="0"/>
    <b v="0"/>
    <b v="0"/>
    <n v="12"/>
    <s v="High"/>
    <d v="2026-09-26T21:43:00"/>
    <b v="0"/>
    <s v="Electronics"/>
    <x v="1"/>
    <s v="Climate-Controlled"/>
    <s v="Unknown"/>
    <s v="Unknown"/>
    <s v="Small Parts"/>
    <s v="Near"/>
    <n v="21"/>
    <s v="Saturday"/>
    <s v="Large (11-20)"/>
    <n v="4"/>
  </r>
  <r>
    <x v="895"/>
    <x v="70"/>
    <x v="29"/>
    <s v="A"/>
    <s v="I0045"/>
    <d v="2026-09-26T23:19:00"/>
    <d v="2026-09-26T23:23:00"/>
    <n v="3"/>
    <n v="4"/>
    <b v="0"/>
    <b v="0"/>
    <b v="0"/>
    <n v="12"/>
    <s v="High"/>
    <d v="2026-09-26T21:43:00"/>
    <b v="0"/>
    <s v="Apparel"/>
    <x v="2"/>
    <s v="Climate-Controlled"/>
    <s v="Morning"/>
    <s v="Experienced"/>
    <s v="Fast-Moving"/>
    <s v="Near"/>
    <n v="21"/>
    <s v="Saturday"/>
    <s v="Large (11-20)"/>
    <n v="1.333333333333333"/>
  </r>
  <r>
    <x v="896"/>
    <x v="168"/>
    <x v="30"/>
    <s v="E"/>
    <s v="I0025"/>
    <d v="2026-09-17T23:41:00"/>
    <d v="2026-09-17T23:45:00"/>
    <n v="3"/>
    <n v="4"/>
    <b v="0"/>
    <b v="0"/>
    <b v="0"/>
    <n v="5"/>
    <s v="Normal"/>
    <d v="2026-09-17T21:43:00"/>
    <b v="0"/>
    <s v="Home Goods"/>
    <x v="0"/>
    <s v="Fragile"/>
    <s v="Night"/>
    <s v="Experienced"/>
    <s v="Fast-Moving"/>
    <s v="Medium"/>
    <n v="21"/>
    <s v="Thursday"/>
    <s v="Small (1-5)"/>
    <n v="1.333333333333333"/>
  </r>
  <r>
    <x v="897"/>
    <x v="40"/>
    <x v="21"/>
    <s v="A"/>
    <s v="I0012"/>
    <d v="2026-09-15T19:49:00"/>
    <d v="2026-09-15T19:53:00"/>
    <n v="4"/>
    <n v="4"/>
    <b v="0"/>
    <b v="0"/>
    <b v="0"/>
    <n v="8"/>
    <s v="Normal"/>
    <d v="2026-09-15T19:05:00"/>
    <b v="0"/>
    <s v="Unknown"/>
    <x v="2"/>
    <s v="Bulk"/>
    <s v="Morning"/>
    <s v="Intermediate"/>
    <s v="Fast-Moving"/>
    <s v="Near"/>
    <n v="19"/>
    <s v="Tuesday"/>
    <s v="Medium (6-10)"/>
    <n v="1"/>
  </r>
  <r>
    <x v="898"/>
    <x v="14"/>
    <x v="17"/>
    <s v="A"/>
    <s v="I0039"/>
    <d v="2026-09-25T11:23:00"/>
    <d v="2026-09-25T11:27:00"/>
    <n v="4"/>
    <n v="4"/>
    <b v="0"/>
    <b v="0"/>
    <b v="0"/>
    <n v="20"/>
    <s v="Low"/>
    <d v="2026-09-25T09:29:00"/>
    <b v="0"/>
    <s v="Apparel"/>
    <x v="0"/>
    <s v="Fragile"/>
    <s v="Night"/>
    <s v="Intermediate"/>
    <s v="Fast-Moving"/>
    <s v="Near"/>
    <n v="9"/>
    <s v="Friday"/>
    <s v="Large (11-20)"/>
    <n v="1"/>
  </r>
  <r>
    <x v="899"/>
    <x v="171"/>
    <x v="21"/>
    <s v="A"/>
    <s v="I0029"/>
    <d v="2026-09-21T07:25:00"/>
    <d v="2026-09-21T07:29:00"/>
    <n v="3"/>
    <n v="4"/>
    <b v="0"/>
    <b v="0"/>
    <b v="0"/>
    <n v="8"/>
    <s v="High"/>
    <d v="2026-09-21T07:18:00"/>
    <b v="0"/>
    <s v="Small Parts"/>
    <x v="1"/>
    <s v="Standard"/>
    <s v="Morning"/>
    <s v="Intermediate"/>
    <s v="Fast-Moving"/>
    <s v="Near"/>
    <n v="7"/>
    <s v="Monday"/>
    <s v="Medium (6-10)"/>
    <n v="1.333333333333333"/>
  </r>
  <r>
    <x v="900"/>
    <x v="2"/>
    <x v="26"/>
    <s v="E"/>
    <s v="I0034"/>
    <d v="2026-09-04T17:57:00"/>
    <d v="2026-09-04T18:01:00"/>
    <n v="6"/>
    <n v="4"/>
    <b v="0"/>
    <b v="0"/>
    <b v="0"/>
    <n v="15"/>
    <s v="Normal"/>
    <d v="2026-09-04T15:51:00"/>
    <b v="0"/>
    <s v="Bulk Materials"/>
    <x v="0"/>
    <s v="Climate-Controlled"/>
    <s v="Morning"/>
    <s v="Experienced"/>
    <s v="Fast-Moving"/>
    <s v="Medium"/>
    <n v="15"/>
    <s v="Friday"/>
    <s v="Large (11-20)"/>
    <n v="0.6666666666666666"/>
  </r>
  <r>
    <x v="901"/>
    <x v="12"/>
    <x v="28"/>
    <s v="E"/>
    <s v="I0050"/>
    <d v="2026-09-23T03:28:00"/>
    <d v="2026-09-23T03:32:00"/>
    <n v="1"/>
    <n v="4"/>
    <b v="0"/>
    <b v="0"/>
    <b v="0"/>
    <n v="4"/>
    <s v="Normal"/>
    <d v="2026-09-23T00:48:00"/>
    <b v="0"/>
    <s v="Home Goods"/>
    <x v="1"/>
    <s v="Bulk"/>
    <s v="Night"/>
    <s v="Experienced"/>
    <s v="Fast-Moving"/>
    <s v="Medium"/>
    <n v="0"/>
    <s v="Wednesday"/>
    <s v="Small (1-5)"/>
    <n v="4"/>
  </r>
  <r>
    <x v="902"/>
    <x v="213"/>
    <x v="24"/>
    <s v="F"/>
    <s v="I0065"/>
    <d v="2026-09-28T03:17:00"/>
    <d v="2026-09-28T03:21:00"/>
    <n v="4"/>
    <n v="4"/>
    <b v="0"/>
    <b v="0"/>
    <b v="0"/>
    <n v="6"/>
    <s v="High"/>
    <d v="2026-09-28T02:52:00"/>
    <b v="0"/>
    <s v="Small Parts"/>
    <x v="1"/>
    <s v="Fragile"/>
    <s v="Night"/>
    <s v="Experienced"/>
    <s v="Bulk Storage"/>
    <s v="Near"/>
    <n v="2"/>
    <s v="Monday"/>
    <s v="Medium (6-10)"/>
    <n v="1"/>
  </r>
  <r>
    <x v="903"/>
    <x v="77"/>
    <x v="12"/>
    <s v="E"/>
    <s v="I0020"/>
    <d v="2026-09-11T21:12:00"/>
    <d v="2026-09-11T21:16:00"/>
    <n v="4"/>
    <n v="4"/>
    <b v="0"/>
    <b v="0"/>
    <b v="0"/>
    <n v="4"/>
    <s v="High"/>
    <d v="2026-09-11T20:47:00"/>
    <b v="0"/>
    <s v="Apparel"/>
    <x v="0"/>
    <s v="Bulk"/>
    <s v="Unknown"/>
    <s v="Intermediate"/>
    <s v="Fast-Moving"/>
    <s v="Medium"/>
    <n v="20"/>
    <s v="Friday"/>
    <s v="Small (1-5)"/>
    <n v="1"/>
  </r>
  <r>
    <x v="904"/>
    <x v="229"/>
    <x v="9"/>
    <s v="A"/>
    <s v="I0016"/>
    <d v="2026-09-29T01:41:00"/>
    <d v="2026-09-29T01:45:00"/>
    <n v="5"/>
    <n v="4"/>
    <b v="0"/>
    <b v="0"/>
    <b v="0"/>
    <n v="15"/>
    <s v="Normal"/>
    <d v="2026-09-28T23:53:00"/>
    <b v="0"/>
    <s v="Unknown"/>
    <x v="0"/>
    <s v="Bulk"/>
    <s v="Unknown"/>
    <s v="Intermediate"/>
    <s v="Fast-Moving"/>
    <s v="Near"/>
    <n v="23"/>
    <s v="Monday"/>
    <s v="Large (11-20)"/>
    <n v="0.8"/>
  </r>
  <r>
    <x v="905"/>
    <x v="7"/>
    <x v="7"/>
    <s v="A"/>
    <s v="I0006"/>
    <d v="2026-09-09T14:01:00"/>
    <d v="2026-09-09T14:05:00"/>
    <n v="4"/>
    <n v="4"/>
    <b v="0"/>
    <b v="0"/>
    <b v="0"/>
    <n v="10"/>
    <s v="Urgent"/>
    <d v="2026-09-09T12:46:00"/>
    <b v="0"/>
    <s v="Bulk Materials"/>
    <x v="0"/>
    <s v="Bulk"/>
    <s v="Morning"/>
    <s v="Beginner"/>
    <s v="Fast-Moving"/>
    <s v="Near"/>
    <n v="12"/>
    <s v="Wednesday"/>
    <s v="Medium (6-10)"/>
    <n v="1"/>
  </r>
  <r>
    <x v="906"/>
    <x v="164"/>
    <x v="31"/>
    <s v="A"/>
    <s v="I0056"/>
    <d v="2026-09-14T00:02:00"/>
    <d v="2026-09-14T00:06:00"/>
    <n v="3"/>
    <n v="4"/>
    <b v="0"/>
    <b v="0"/>
    <b v="0"/>
    <n v="8"/>
    <s v="Urgent"/>
    <d v="2026-09-13T22:48:00"/>
    <b v="0"/>
    <s v="Apparel"/>
    <x v="1"/>
    <s v="Fragile"/>
    <s v="Morning"/>
    <s v="Experienced"/>
    <s v="Fast-Moving"/>
    <s v="Near"/>
    <n v="22"/>
    <s v="Sunday"/>
    <s v="Medium (6-10)"/>
    <n v="1.333333333333333"/>
  </r>
  <r>
    <x v="907"/>
    <x v="78"/>
    <x v="18"/>
    <s v="E"/>
    <s v="I0068"/>
    <d v="2026-09-07T10:15:00"/>
    <d v="2026-09-07T10:19:00"/>
    <n v="4"/>
    <n v="4"/>
    <b v="0"/>
    <b v="0"/>
    <b v="0"/>
    <n v="5"/>
    <s v="Normal"/>
    <d v="2026-09-07T08:08:00"/>
    <b v="0"/>
    <s v="Electronics"/>
    <x v="1"/>
    <s v="Climate-Controlled"/>
    <s v="Night"/>
    <s v="Intermediate"/>
    <s v="Fast-Moving"/>
    <s v="Medium"/>
    <n v="8"/>
    <s v="Monday"/>
    <s v="Small (1-5)"/>
    <n v="1"/>
  </r>
  <r>
    <x v="908"/>
    <x v="0"/>
    <x v="6"/>
    <s v="A"/>
    <s v="I0049"/>
    <d v="2026-09-29T07:54:00"/>
    <d v="2026-09-29T07:58:00"/>
    <n v="6"/>
    <n v="4"/>
    <b v="0"/>
    <b v="0"/>
    <b v="0"/>
    <n v="15"/>
    <s v="Normal"/>
    <d v="2026-09-29T05:12:00"/>
    <b v="0"/>
    <s v="Small Parts"/>
    <x v="1"/>
    <s v="Standard"/>
    <s v="Night"/>
    <s v="Intermediate"/>
    <s v="Fast-Moving"/>
    <s v="Near"/>
    <n v="5"/>
    <s v="Tuesday"/>
    <s v="Large (11-20)"/>
    <n v="0.6666666666666666"/>
  </r>
  <r>
    <x v="909"/>
    <x v="105"/>
    <x v="26"/>
    <s v="C"/>
    <s v="I0047"/>
    <d v="2026-09-07T14:04:00"/>
    <d v="2026-09-07T14:08:00"/>
    <n v="4"/>
    <n v="4"/>
    <b v="0"/>
    <b v="0"/>
    <b v="0"/>
    <n v="10"/>
    <s v="Low"/>
    <d v="2026-09-07T13:56:00"/>
    <b v="0"/>
    <s v="Electronics"/>
    <x v="0"/>
    <s v="Unknown"/>
    <s v="Morning"/>
    <s v="Experienced"/>
    <s v="Small Parts"/>
    <s v="Medium"/>
    <n v="13"/>
    <s v="Monday"/>
    <s v="Medium (6-10)"/>
    <n v="1"/>
  </r>
  <r>
    <x v="910"/>
    <x v="130"/>
    <x v="13"/>
    <s v="A"/>
    <s v="I0052"/>
    <d v="2026-09-11T22:02:00"/>
    <d v="2026-09-11T22:06:00"/>
    <n v="3"/>
    <n v="4"/>
    <b v="0"/>
    <b v="0"/>
    <b v="0"/>
    <n v="12"/>
    <s v="Normal"/>
    <d v="2026-09-11T19:25:00"/>
    <b v="0"/>
    <s v="Bulk Materials"/>
    <x v="3"/>
    <s v="Bulk"/>
    <s v="Night"/>
    <s v="Intermediate"/>
    <s v="Fast-Moving"/>
    <s v="Near"/>
    <n v="19"/>
    <s v="Friday"/>
    <s v="Large (11-20)"/>
    <n v="1.333333333333333"/>
  </r>
  <r>
    <x v="911"/>
    <x v="130"/>
    <x v="29"/>
    <s v="A"/>
    <s v="I0059"/>
    <d v="2026-09-11T21:45:00"/>
    <d v="2026-09-11T21:49:00"/>
    <n v="1"/>
    <n v="4"/>
    <b v="0"/>
    <b v="0"/>
    <b v="0"/>
    <n v="12"/>
    <s v="Normal"/>
    <d v="2026-09-11T19:25:00"/>
    <b v="0"/>
    <s v="Electronics"/>
    <x v="1"/>
    <s v="Bulk"/>
    <s v="Morning"/>
    <s v="Experienced"/>
    <s v="Fast-Moving"/>
    <s v="Near"/>
    <n v="19"/>
    <s v="Friday"/>
    <s v="Large (11-20)"/>
    <n v="4"/>
  </r>
  <r>
    <x v="912"/>
    <x v="134"/>
    <x v="30"/>
    <s v="A"/>
    <s v="I0070"/>
    <d v="2026-09-15T03:52:00"/>
    <d v="2026-09-15T03:56:00"/>
    <n v="7"/>
    <n v="4"/>
    <b v="0"/>
    <b v="0"/>
    <b v="0"/>
    <n v="6"/>
    <s v="Low"/>
    <d v="2026-09-15T01:53:00"/>
    <b v="0"/>
    <s v="Bulk Materials"/>
    <x v="0"/>
    <s v="Standard"/>
    <s v="Night"/>
    <s v="Experienced"/>
    <s v="Fast-Moving"/>
    <s v="Near"/>
    <n v="1"/>
    <s v="Tuesday"/>
    <s v="Medium (6-10)"/>
    <n v="0.5714285714285714"/>
  </r>
  <r>
    <x v="913"/>
    <x v="36"/>
    <x v="22"/>
    <s v="E"/>
    <s v="I0002"/>
    <d v="2026-09-08T11:07:00"/>
    <d v="2026-09-08T11:11:00"/>
    <n v="2"/>
    <n v="4"/>
    <b v="0"/>
    <b v="0"/>
    <b v="0"/>
    <n v="8"/>
    <s v="Normal"/>
    <d v="2026-09-08T10:31:00"/>
    <b v="0"/>
    <s v="Small Parts"/>
    <x v="0"/>
    <s v="Fragile"/>
    <s v="Unknown"/>
    <s v="Unknown"/>
    <s v="Fast-Moving"/>
    <s v="Medium"/>
    <n v="10"/>
    <s v="Tuesday"/>
    <s v="Medium (6-10)"/>
    <n v="2"/>
  </r>
  <r>
    <x v="914"/>
    <x v="146"/>
    <x v="10"/>
    <s v="E"/>
    <s v="I0047"/>
    <d v="2026-09-22T12:19:00"/>
    <d v="2026-09-22T12:23:00"/>
    <n v="4"/>
    <n v="4"/>
    <b v="0"/>
    <b v="0"/>
    <b v="0"/>
    <n v="12"/>
    <s v="Normal"/>
    <d v="2026-09-22T10:39:00"/>
    <b v="0"/>
    <s v="Electronics"/>
    <x v="0"/>
    <s v="Unknown"/>
    <s v="Night"/>
    <s v="Unknown"/>
    <s v="Fast-Moving"/>
    <s v="Medium"/>
    <n v="10"/>
    <s v="Tuesday"/>
    <s v="Large (11-20)"/>
    <n v="1"/>
  </r>
  <r>
    <x v="915"/>
    <x v="116"/>
    <x v="13"/>
    <s v="A"/>
    <s v="I0077"/>
    <d v="2026-09-12T10:37:00"/>
    <d v="2026-09-12T10:41:00"/>
    <n v="4"/>
    <n v="4"/>
    <b v="0"/>
    <b v="0"/>
    <b v="0"/>
    <n v="6"/>
    <s v="Normal"/>
    <d v="2026-09-12T08:40:00"/>
    <b v="0"/>
    <s v="Bulk Materials"/>
    <x v="0"/>
    <s v="Unknown"/>
    <s v="Night"/>
    <s v="Intermediate"/>
    <s v="Fast-Moving"/>
    <s v="Near"/>
    <n v="8"/>
    <s v="Saturday"/>
    <s v="Medium (6-10)"/>
    <n v="1"/>
  </r>
  <r>
    <x v="916"/>
    <x v="149"/>
    <x v="31"/>
    <s v="A"/>
    <s v="I0076"/>
    <d v="2026-09-17T06:28:00"/>
    <d v="2026-09-17T06:32:00"/>
    <n v="5"/>
    <n v="4"/>
    <b v="0"/>
    <b v="0"/>
    <b v="0"/>
    <n v="6"/>
    <s v="High"/>
    <d v="2026-09-17T04:31:00"/>
    <b v="0"/>
    <s v="Fragile Goods"/>
    <x v="3"/>
    <s v="Climate-Controlled"/>
    <s v="Morning"/>
    <s v="Experienced"/>
    <s v="Fast-Moving"/>
    <s v="Near"/>
    <n v="4"/>
    <s v="Thursday"/>
    <s v="Medium (6-10)"/>
    <n v="0.8"/>
  </r>
  <r>
    <x v="917"/>
    <x v="142"/>
    <x v="15"/>
    <s v="A"/>
    <s v="I0065"/>
    <d v="2026-09-08T11:04:00"/>
    <d v="2026-09-08T11:08:00"/>
    <n v="1"/>
    <n v="4"/>
    <b v="0"/>
    <b v="0"/>
    <b v="0"/>
    <n v="4"/>
    <s v="High"/>
    <d v="2026-09-08T08:18:00"/>
    <b v="0"/>
    <s v="Small Parts"/>
    <x v="1"/>
    <s v="Fragile"/>
    <s v="Morning"/>
    <s v="Unknown"/>
    <s v="Fast-Moving"/>
    <s v="Near"/>
    <n v="8"/>
    <s v="Tuesday"/>
    <s v="Small (1-5)"/>
    <n v="4"/>
  </r>
  <r>
    <x v="918"/>
    <x v="103"/>
    <x v="15"/>
    <s v="E"/>
    <s v="I0041"/>
    <d v="2026-09-19T22:49:00"/>
    <d v="2026-09-19T22:53:00"/>
    <n v="1"/>
    <n v="4"/>
    <b v="0"/>
    <b v="0"/>
    <b v="0"/>
    <n v="10"/>
    <s v="Normal"/>
    <d v="2026-09-19T22:42:00"/>
    <b v="0"/>
    <s v="Bulk Materials"/>
    <x v="2"/>
    <s v="Bulk"/>
    <s v="Morning"/>
    <s v="Unknown"/>
    <s v="Fast-Moving"/>
    <s v="Medium"/>
    <n v="22"/>
    <s v="Saturday"/>
    <s v="Medium (6-10)"/>
    <n v="4"/>
  </r>
  <r>
    <x v="919"/>
    <x v="180"/>
    <x v="9"/>
    <s v="B"/>
    <s v="I0042"/>
    <d v="2026-09-05T10:08:00"/>
    <d v="2026-09-05T10:12:00"/>
    <n v="1"/>
    <n v="4"/>
    <b v="0"/>
    <b v="0"/>
    <b v="0"/>
    <n v="10"/>
    <s v="Normal"/>
    <d v="2026-09-05T07:46:00"/>
    <b v="0"/>
    <s v="Electronics"/>
    <x v="1"/>
    <s v="Standard"/>
    <s v="Unknown"/>
    <s v="Intermediate"/>
    <s v="Bulk Storage"/>
    <s v="Far"/>
    <n v="7"/>
    <s v="Saturday"/>
    <s v="Medium (6-10)"/>
    <n v="4"/>
  </r>
  <r>
    <x v="920"/>
    <x v="180"/>
    <x v="15"/>
    <s v="E"/>
    <s v="I0043"/>
    <d v="2026-09-05T09:21:00"/>
    <d v="2026-09-05T09:25:00"/>
    <n v="1"/>
    <n v="4"/>
    <b v="0"/>
    <b v="0"/>
    <b v="0"/>
    <n v="10"/>
    <s v="Normal"/>
    <d v="2026-09-05T07:46:00"/>
    <b v="0"/>
    <s v="Small Parts"/>
    <x v="0"/>
    <s v="Fragile"/>
    <s v="Morning"/>
    <s v="Unknown"/>
    <s v="Fast-Moving"/>
    <s v="Medium"/>
    <n v="7"/>
    <s v="Saturday"/>
    <s v="Medium (6-10)"/>
    <n v="4"/>
  </r>
  <r>
    <x v="921"/>
    <x v="48"/>
    <x v="24"/>
    <s v="H"/>
    <s v="I0035"/>
    <d v="2026-09-20T13:29:00"/>
    <d v="2026-09-20T13:33:00"/>
    <n v="1"/>
    <n v="4"/>
    <b v="0"/>
    <b v="0"/>
    <b v="0"/>
    <n v="3"/>
    <s v="Low"/>
    <d v="2026-09-20T10:51:00"/>
    <b v="0"/>
    <s v="Unknown"/>
    <x v="1"/>
    <s v="Fragile"/>
    <s v="Night"/>
    <s v="Experienced"/>
    <s v="Small Parts"/>
    <s v="Near"/>
    <n v="10"/>
    <s v="Sunday"/>
    <s v="Small (1-5)"/>
    <n v="4"/>
  </r>
  <r>
    <x v="922"/>
    <x v="187"/>
    <x v="13"/>
    <s v="H"/>
    <s v="I0011"/>
    <d v="2026-09-18T09:31:00"/>
    <d v="2026-09-18T09:35:00"/>
    <n v="1"/>
    <n v="4"/>
    <b v="0"/>
    <b v="0"/>
    <b v="0"/>
    <n v="20"/>
    <s v="High"/>
    <d v="2026-09-18T07:26:00"/>
    <b v="0"/>
    <s v="Fragile Goods"/>
    <x v="1"/>
    <s v="Climate-Controlled"/>
    <s v="Night"/>
    <s v="Intermediate"/>
    <s v="Small Parts"/>
    <s v="Near"/>
    <n v="7"/>
    <s v="Friday"/>
    <s v="Large (11-20)"/>
    <n v="4"/>
  </r>
  <r>
    <x v="923"/>
    <x v="197"/>
    <x v="8"/>
    <s v="A"/>
    <s v="I0049"/>
    <d v="2026-09-24T13:15:00"/>
    <d v="2026-09-24T13:19:00"/>
    <n v="3"/>
    <n v="4"/>
    <b v="0"/>
    <b v="0"/>
    <b v="0"/>
    <n v="3"/>
    <s v="Normal"/>
    <d v="2026-09-24T12:10:00"/>
    <b v="0"/>
    <s v="Small Parts"/>
    <x v="1"/>
    <s v="Standard"/>
    <s v="Evening"/>
    <s v="Unknown"/>
    <s v="Fast-Moving"/>
    <s v="Near"/>
    <n v="12"/>
    <s v="Thursday"/>
    <s v="Small (1-5)"/>
    <n v="1.333333333333333"/>
  </r>
  <r>
    <x v="924"/>
    <x v="64"/>
    <x v="19"/>
    <s v="H"/>
    <s v="I0041"/>
    <d v="2026-09-19T14:59:00"/>
    <d v="2026-09-19T15:03:00"/>
    <n v="3"/>
    <n v="4"/>
    <b v="0"/>
    <b v="0"/>
    <b v="0"/>
    <n v="20"/>
    <s v="Low"/>
    <d v="2026-09-19T14:23:00"/>
    <b v="0"/>
    <s v="Bulk Materials"/>
    <x v="2"/>
    <s v="Bulk"/>
    <s v="Unknown"/>
    <s v="Experienced"/>
    <s v="Small Parts"/>
    <s v="Near"/>
    <n v="14"/>
    <s v="Saturday"/>
    <s v="Large (11-20)"/>
    <n v="1.333333333333333"/>
  </r>
  <r>
    <x v="925"/>
    <x v="190"/>
    <x v="26"/>
    <s v="H"/>
    <s v="I0007"/>
    <d v="2026-09-11T19:10:00"/>
    <d v="2026-09-11T19:14:00"/>
    <n v="3"/>
    <n v="4"/>
    <b v="0"/>
    <b v="0"/>
    <b v="0"/>
    <n v="6"/>
    <s v="Normal"/>
    <d v="2026-09-11T16:40:00"/>
    <b v="0"/>
    <s v="Small Parts"/>
    <x v="1"/>
    <s v="Fragile"/>
    <s v="Morning"/>
    <s v="Experienced"/>
    <s v="Small Parts"/>
    <s v="Near"/>
    <n v="16"/>
    <s v="Friday"/>
    <s v="Medium (6-10)"/>
    <n v="1.333333333333333"/>
  </r>
  <r>
    <x v="926"/>
    <x v="6"/>
    <x v="20"/>
    <s v="E"/>
    <s v="I0079"/>
    <d v="2026-09-17T21:15:00"/>
    <d v="2026-09-17T21:19:00"/>
    <n v="3"/>
    <n v="4"/>
    <b v="0"/>
    <b v="0"/>
    <b v="0"/>
    <n v="5"/>
    <s v="Normal"/>
    <d v="2026-09-17T20:54:00"/>
    <b v="0"/>
    <s v="Fragile Goods"/>
    <x v="0"/>
    <s v="Bulk"/>
    <s v="Night"/>
    <s v="Unknown"/>
    <s v="Fast-Moving"/>
    <s v="Medium"/>
    <n v="20"/>
    <s v="Thursday"/>
    <s v="Small (1-5)"/>
    <n v="1.333333333333333"/>
  </r>
  <r>
    <x v="927"/>
    <x v="107"/>
    <x v="17"/>
    <s v="E"/>
    <s v="I0067"/>
    <d v="2026-09-23T08:05:00"/>
    <d v="2026-09-23T08:09:00"/>
    <n v="4"/>
    <n v="4"/>
    <b v="0"/>
    <b v="0"/>
    <b v="0"/>
    <n v="5"/>
    <s v="Normal"/>
    <d v="2026-09-23T06:18:00"/>
    <b v="0"/>
    <s v="Bulk Materials"/>
    <x v="0"/>
    <s v="Climate-Controlled"/>
    <s v="Night"/>
    <s v="Intermediate"/>
    <s v="Fast-Moving"/>
    <s v="Medium"/>
    <n v="6"/>
    <s v="Wednesday"/>
    <s v="Small (1-5)"/>
    <n v="1"/>
  </r>
  <r>
    <x v="928"/>
    <x v="217"/>
    <x v="25"/>
    <s v="A"/>
    <s v="I0003"/>
    <d v="2026-09-22T14:37:00"/>
    <d v="2026-09-22T14:41:00"/>
    <n v="2"/>
    <n v="4"/>
    <b v="0"/>
    <b v="0"/>
    <b v="0"/>
    <n v="5"/>
    <s v="Normal"/>
    <d v="2026-09-22T12:15:00"/>
    <b v="0"/>
    <s v="Unknown"/>
    <x v="0"/>
    <s v="Climate-Controlled"/>
    <s v="Night"/>
    <s v="Experienced"/>
    <s v="Fast-Moving"/>
    <s v="Near"/>
    <n v="12"/>
    <s v="Tuesday"/>
    <s v="Small (1-5)"/>
    <n v="2"/>
  </r>
  <r>
    <x v="929"/>
    <x v="108"/>
    <x v="16"/>
    <s v="A"/>
    <s v="I0050"/>
    <d v="2026-09-05T03:11:00"/>
    <d v="2026-09-05T03:15:00"/>
    <n v="3"/>
    <n v="4"/>
    <b v="0"/>
    <b v="0"/>
    <b v="0"/>
    <m/>
    <s v="Normal"/>
    <d v="2026-09-05T00:52:00"/>
    <b v="1"/>
    <s v="Home Goods"/>
    <x v="1"/>
    <s v="Bulk"/>
    <s v="Night"/>
    <s v="Intermediate"/>
    <s v="Fast-Moving"/>
    <s v="Near"/>
    <n v="0"/>
    <s v="Saturday"/>
    <m/>
    <n v="1.333333333333333"/>
  </r>
  <r>
    <x v="930"/>
    <x v="26"/>
    <x v="16"/>
    <s v="A"/>
    <s v="I0018"/>
    <d v="2026-09-21T20:58:00"/>
    <d v="2026-09-21T21:02:00"/>
    <n v="2"/>
    <n v="4"/>
    <b v="0"/>
    <b v="0"/>
    <b v="0"/>
    <n v="10"/>
    <s v="High"/>
    <d v="2026-09-21T19:02:00"/>
    <b v="0"/>
    <s v="Bulk Materials"/>
    <x v="0"/>
    <s v="Bulk"/>
    <s v="Night"/>
    <s v="Intermediate"/>
    <s v="Fast-Moving"/>
    <s v="Near"/>
    <n v="19"/>
    <s v="Monday"/>
    <s v="Medium (6-10)"/>
    <n v="2"/>
  </r>
  <r>
    <x v="931"/>
    <x v="113"/>
    <x v="14"/>
    <s v="H"/>
    <s v="I0030"/>
    <d v="2026-09-09T14:27:00"/>
    <d v="2026-09-09T14:31:00"/>
    <n v="1"/>
    <n v="4"/>
    <b v="0"/>
    <b v="0"/>
    <b v="0"/>
    <n v="12"/>
    <s v="Low"/>
    <d v="2026-09-09T12:24:00"/>
    <b v="0"/>
    <s v="Electronics"/>
    <x v="0"/>
    <s v="Fragile"/>
    <s v="Night"/>
    <s v="Unknown"/>
    <s v="Small Parts"/>
    <s v="Near"/>
    <n v="12"/>
    <s v="Wednesday"/>
    <s v="Large (11-20)"/>
    <n v="4"/>
  </r>
  <r>
    <x v="932"/>
    <x v="57"/>
    <x v="31"/>
    <s v="A"/>
    <s v="I0011"/>
    <d v="2026-09-04T04:54:00"/>
    <d v="2026-09-04T04:58:00"/>
    <n v="2"/>
    <n v="4"/>
    <b v="0"/>
    <b v="0"/>
    <b v="0"/>
    <n v="8"/>
    <s v="Normal"/>
    <d v="2026-09-04T04:38:00"/>
    <b v="0"/>
    <s v="Fragile Goods"/>
    <x v="1"/>
    <s v="Climate-Controlled"/>
    <s v="Morning"/>
    <s v="Experienced"/>
    <s v="Fast-Moving"/>
    <s v="Near"/>
    <n v="4"/>
    <s v="Friday"/>
    <s v="Medium (6-10)"/>
    <n v="2"/>
  </r>
  <r>
    <x v="933"/>
    <x v="144"/>
    <x v="6"/>
    <s v="C"/>
    <s v="I0016"/>
    <d v="2026-09-05T20:36:00"/>
    <d v="2026-09-05T20:40:00"/>
    <n v="3"/>
    <n v="4"/>
    <b v="0"/>
    <b v="0"/>
    <b v="0"/>
    <n v="8"/>
    <s v="Normal"/>
    <d v="2026-09-05T19:14:00"/>
    <b v="0"/>
    <s v="Unknown"/>
    <x v="0"/>
    <s v="Bulk"/>
    <s v="Night"/>
    <s v="Intermediate"/>
    <s v="Small Parts"/>
    <s v="Medium"/>
    <n v="19"/>
    <s v="Saturday"/>
    <s v="Medium (6-10)"/>
    <n v="1.333333333333333"/>
  </r>
  <r>
    <x v="934"/>
    <x v="247"/>
    <x v="9"/>
    <s v="E"/>
    <s v="I0017"/>
    <d v="2026-09-18T18:30:00"/>
    <d v="2026-09-18T18:34:00"/>
    <n v="2"/>
    <n v="4"/>
    <b v="0"/>
    <b v="0"/>
    <b v="0"/>
    <n v="4"/>
    <s v="Normal"/>
    <d v="2026-09-18T15:47:00"/>
    <b v="0"/>
    <s v="Bulk Materials"/>
    <x v="1"/>
    <s v="Bulk"/>
    <s v="Unknown"/>
    <s v="Intermediate"/>
    <s v="Fast-Moving"/>
    <s v="Medium"/>
    <n v="15"/>
    <s v="Friday"/>
    <s v="Small (1-5)"/>
    <n v="2"/>
  </r>
  <r>
    <x v="935"/>
    <x v="72"/>
    <x v="22"/>
    <s v="F"/>
    <s v="I0044"/>
    <d v="2026-09-17T13:32:00"/>
    <d v="2026-09-17T13:36:00"/>
    <n v="3"/>
    <n v="4"/>
    <b v="0"/>
    <b v="0"/>
    <b v="0"/>
    <n v="20"/>
    <s v="High"/>
    <d v="2026-09-17T12:47:00"/>
    <b v="0"/>
    <s v="Electronics"/>
    <x v="1"/>
    <s v="Bulk"/>
    <s v="Unknown"/>
    <s v="Unknown"/>
    <s v="Bulk Storage"/>
    <s v="Near"/>
    <n v="12"/>
    <s v="Thursday"/>
    <s v="Large (11-20)"/>
    <n v="1.333333333333333"/>
  </r>
  <r>
    <x v="936"/>
    <x v="44"/>
    <x v="20"/>
    <s v="A"/>
    <s v="I0072"/>
    <d v="2026-09-27T22:54:00"/>
    <d v="2026-09-27T22:58:00"/>
    <n v="4"/>
    <n v="4"/>
    <b v="0"/>
    <b v="0"/>
    <b v="0"/>
    <n v="12"/>
    <s v="High"/>
    <d v="2026-09-27T19:57:00"/>
    <b v="0"/>
    <s v="Electronics"/>
    <x v="1"/>
    <s v="Climate-Controlled"/>
    <s v="Night"/>
    <s v="Unknown"/>
    <s v="Fast-Moving"/>
    <s v="Near"/>
    <n v="19"/>
    <s v="Sunday"/>
    <s v="Large (11-20)"/>
    <n v="1"/>
  </r>
  <r>
    <x v="937"/>
    <x v="73"/>
    <x v="28"/>
    <s v="E"/>
    <s v="I0005"/>
    <d v="2026-09-25T08:16:00"/>
    <d v="2026-09-25T08:20:00"/>
    <n v="3"/>
    <n v="4"/>
    <b v="0"/>
    <b v="0"/>
    <b v="0"/>
    <n v="15"/>
    <s v="Normal"/>
    <d v="2026-09-25T07:16:00"/>
    <b v="0"/>
    <s v="Apparel"/>
    <x v="0"/>
    <s v="Climate-Controlled"/>
    <s v="Night"/>
    <s v="Experienced"/>
    <s v="Fast-Moving"/>
    <s v="Medium"/>
    <n v="7"/>
    <s v="Friday"/>
    <s v="Large (11-20)"/>
    <n v="1.333333333333333"/>
  </r>
  <r>
    <x v="938"/>
    <x v="172"/>
    <x v="30"/>
    <s v="H"/>
    <s v="I0041"/>
    <d v="2026-09-18T20:15:00"/>
    <d v="2026-09-18T20:19:00"/>
    <n v="2"/>
    <n v="4"/>
    <b v="0"/>
    <b v="0"/>
    <b v="0"/>
    <n v="6"/>
    <s v="High"/>
    <d v="2026-09-18T20:12:00"/>
    <b v="0"/>
    <s v="Bulk Materials"/>
    <x v="2"/>
    <s v="Bulk"/>
    <s v="Night"/>
    <s v="Experienced"/>
    <s v="Small Parts"/>
    <s v="Near"/>
    <n v="20"/>
    <s v="Friday"/>
    <s v="Medium (6-10)"/>
    <n v="2"/>
  </r>
  <r>
    <x v="939"/>
    <x v="46"/>
    <x v="10"/>
    <s v="H"/>
    <s v="I0042"/>
    <d v="2026-09-08T03:54:00"/>
    <d v="2026-09-08T03:58:00"/>
    <n v="2"/>
    <n v="4"/>
    <b v="0"/>
    <b v="0"/>
    <b v="0"/>
    <n v="10"/>
    <s v="Low"/>
    <d v="2026-09-08T01:04:00"/>
    <b v="0"/>
    <s v="Electronics"/>
    <x v="1"/>
    <s v="Standard"/>
    <s v="Night"/>
    <s v="Unknown"/>
    <s v="Small Parts"/>
    <s v="Near"/>
    <n v="1"/>
    <s v="Tuesday"/>
    <s v="Medium (6-10)"/>
    <n v="2"/>
  </r>
  <r>
    <x v="940"/>
    <x v="136"/>
    <x v="31"/>
    <s v="H"/>
    <s v="I0001"/>
    <d v="2026-09-20T11:57:00"/>
    <d v="2026-09-20T12:01:00"/>
    <n v="2"/>
    <n v="4"/>
    <b v="0"/>
    <b v="0"/>
    <b v="0"/>
    <n v="8"/>
    <s v="Normal"/>
    <d v="2026-09-20T09:05:00"/>
    <b v="0"/>
    <s v="Fragile Goods"/>
    <x v="0"/>
    <s v="Standard"/>
    <s v="Morning"/>
    <s v="Experienced"/>
    <s v="Small Parts"/>
    <s v="Near"/>
    <n v="9"/>
    <s v="Sunday"/>
    <s v="Medium (6-10)"/>
    <n v="2"/>
  </r>
  <r>
    <x v="941"/>
    <x v="187"/>
    <x v="0"/>
    <s v="A"/>
    <s v="I0029"/>
    <d v="2026-09-18T09:14:00"/>
    <d v="2026-09-18T09:18:00"/>
    <n v="2"/>
    <n v="4"/>
    <b v="0"/>
    <b v="0"/>
    <b v="0"/>
    <n v="20"/>
    <s v="High"/>
    <d v="2026-09-18T07:26:00"/>
    <b v="0"/>
    <s v="Small Parts"/>
    <x v="1"/>
    <s v="Standard"/>
    <s v="Night"/>
    <s v="Beginner"/>
    <s v="Fast-Moving"/>
    <s v="Near"/>
    <n v="7"/>
    <s v="Friday"/>
    <s v="Large (11-20)"/>
    <n v="2"/>
  </r>
  <r>
    <x v="942"/>
    <x v="131"/>
    <x v="29"/>
    <s v="C"/>
    <s v="I0008"/>
    <d v="2026-09-13T12:02:00"/>
    <d v="2026-09-13T12:06:00"/>
    <n v="3"/>
    <n v="4"/>
    <b v="0"/>
    <b v="0"/>
    <b v="0"/>
    <n v="15"/>
    <s v="Urgent"/>
    <d v="2026-09-13T09:26:00"/>
    <b v="0"/>
    <s v="Bulk Materials"/>
    <x v="0"/>
    <s v="Unknown"/>
    <s v="Morning"/>
    <s v="Experienced"/>
    <s v="Small Parts"/>
    <s v="Medium"/>
    <n v="9"/>
    <s v="Sunday"/>
    <s v="Large (11-20)"/>
    <n v="1.333333333333333"/>
  </r>
  <r>
    <x v="943"/>
    <x v="162"/>
    <x v="28"/>
    <s v="H"/>
    <s v="I0049"/>
    <d v="2026-09-24T02:06:00"/>
    <d v="2026-09-24T02:10:00"/>
    <n v="2"/>
    <n v="4"/>
    <b v="0"/>
    <b v="0"/>
    <b v="0"/>
    <n v="12"/>
    <s v="Normal"/>
    <d v="2026-09-24T01:08:00"/>
    <b v="0"/>
    <s v="Small Parts"/>
    <x v="1"/>
    <s v="Standard"/>
    <s v="Night"/>
    <s v="Experienced"/>
    <s v="Small Parts"/>
    <s v="Near"/>
    <n v="1"/>
    <s v="Thursday"/>
    <s v="Large (11-20)"/>
    <n v="2"/>
  </r>
  <r>
    <x v="944"/>
    <x v="163"/>
    <x v="7"/>
    <s v="A"/>
    <s v="I0042"/>
    <d v="2026-09-22T21:11:00"/>
    <d v="2026-09-22T21:15:00"/>
    <n v="1"/>
    <n v="4"/>
    <b v="0"/>
    <b v="0"/>
    <b v="0"/>
    <n v="2"/>
    <s v="Normal"/>
    <d v="2026-09-22T19:39:00"/>
    <b v="0"/>
    <s v="Electronics"/>
    <x v="1"/>
    <s v="Standard"/>
    <s v="Morning"/>
    <s v="Beginner"/>
    <s v="Fast-Moving"/>
    <s v="Near"/>
    <n v="19"/>
    <s v="Tuesday"/>
    <s v="Small (1-5)"/>
    <n v="4"/>
  </r>
  <r>
    <x v="945"/>
    <x v="215"/>
    <x v="29"/>
    <s v="F"/>
    <s v="I0060"/>
    <d v="2026-09-22T10:56:00"/>
    <d v="2026-09-22T11:00:00"/>
    <n v="4"/>
    <n v="4"/>
    <b v="0"/>
    <b v="0"/>
    <b v="0"/>
    <n v="4"/>
    <s v="High"/>
    <d v="2026-09-22T10:19:00"/>
    <b v="0"/>
    <s v="Small Parts"/>
    <x v="2"/>
    <s v="Climate-Controlled"/>
    <s v="Morning"/>
    <s v="Experienced"/>
    <s v="Bulk Storage"/>
    <s v="Near"/>
    <n v="10"/>
    <s v="Tuesday"/>
    <s v="Small (1-5)"/>
    <n v="1"/>
  </r>
  <r>
    <x v="946"/>
    <x v="249"/>
    <x v="30"/>
    <s v="A"/>
    <s v="I0066"/>
    <d v="2026-09-28T13:56:00"/>
    <d v="2026-09-28T14:00:00"/>
    <n v="1"/>
    <n v="4"/>
    <b v="0"/>
    <b v="0"/>
    <b v="0"/>
    <n v="2"/>
    <s v="High"/>
    <m/>
    <b v="0"/>
    <s v="Bulk Materials"/>
    <x v="2"/>
    <s v="Bulk"/>
    <s v="Night"/>
    <s v="Experienced"/>
    <s v="Fast-Moving"/>
    <s v="Near"/>
    <m/>
    <m/>
    <s v="Small (1-5)"/>
    <n v="4"/>
  </r>
  <r>
    <x v="947"/>
    <x v="200"/>
    <x v="28"/>
    <s v="E"/>
    <s v="I0030"/>
    <d v="2026-09-13T14:14:00"/>
    <d v="2026-09-13T14:18:00"/>
    <n v="3"/>
    <n v="4"/>
    <b v="0"/>
    <b v="0"/>
    <b v="0"/>
    <n v="4"/>
    <s v="Normal"/>
    <d v="2026-09-13T11:45:00"/>
    <b v="0"/>
    <s v="Electronics"/>
    <x v="0"/>
    <s v="Fragile"/>
    <s v="Night"/>
    <s v="Experienced"/>
    <s v="Fast-Moving"/>
    <s v="Medium"/>
    <n v="11"/>
    <s v="Sunday"/>
    <s v="Small (1-5)"/>
    <n v="1.333333333333333"/>
  </r>
  <r>
    <x v="948"/>
    <x v="62"/>
    <x v="29"/>
    <s v="A"/>
    <s v="I0039"/>
    <d v="2026-09-05T01:28:00"/>
    <d v="2026-09-05T01:32:00"/>
    <n v="4"/>
    <n v="4"/>
    <b v="0"/>
    <b v="0"/>
    <b v="0"/>
    <n v="5"/>
    <s v="High"/>
    <m/>
    <b v="0"/>
    <s v="Apparel"/>
    <x v="0"/>
    <s v="Fragile"/>
    <s v="Morning"/>
    <s v="Experienced"/>
    <s v="Fast-Moving"/>
    <s v="Near"/>
    <m/>
    <m/>
    <s v="Small (1-5)"/>
    <n v="1"/>
  </r>
  <r>
    <x v="949"/>
    <x v="200"/>
    <x v="27"/>
    <s v="H"/>
    <s v="I0059"/>
    <d v="2026-09-13T14:13:00"/>
    <d v="2026-09-13T14:17:00"/>
    <n v="2"/>
    <n v="4"/>
    <b v="0"/>
    <b v="0"/>
    <b v="0"/>
    <n v="4"/>
    <s v="Normal"/>
    <d v="2026-09-13T11:45:00"/>
    <b v="0"/>
    <s v="Electronics"/>
    <x v="1"/>
    <s v="Bulk"/>
    <s v="Night"/>
    <s v="Experienced"/>
    <s v="Small Parts"/>
    <s v="Near"/>
    <n v="11"/>
    <s v="Sunday"/>
    <s v="Small (1-5)"/>
    <n v="2"/>
  </r>
  <r>
    <x v="950"/>
    <x v="7"/>
    <x v="22"/>
    <s v="A"/>
    <s v="I0075"/>
    <d v="2026-09-09T15:26:00"/>
    <d v="2026-09-09T15:30:00"/>
    <n v="2"/>
    <n v="4"/>
    <b v="0"/>
    <b v="0"/>
    <b v="0"/>
    <n v="10"/>
    <s v="Urgent"/>
    <d v="2026-09-09T12:46:00"/>
    <b v="0"/>
    <s v="Fragile Goods"/>
    <x v="0"/>
    <s v="Standard"/>
    <s v="Unknown"/>
    <s v="Unknown"/>
    <s v="Fast-Moving"/>
    <s v="Near"/>
    <n v="12"/>
    <s v="Wednesday"/>
    <s v="Medium (6-10)"/>
    <n v="2"/>
  </r>
  <r>
    <x v="951"/>
    <x v="250"/>
    <x v="24"/>
    <s v="A"/>
    <s v="I0003"/>
    <d v="2026-09-19T17:05:00"/>
    <d v="2026-09-19T17:09:00"/>
    <n v="6"/>
    <n v="4"/>
    <b v="0"/>
    <b v="0"/>
    <b v="0"/>
    <n v="2"/>
    <s v="Urgent"/>
    <d v="2026-09-19T14:42:00"/>
    <b v="0"/>
    <s v="Unknown"/>
    <x v="0"/>
    <s v="Climate-Controlled"/>
    <s v="Night"/>
    <s v="Experienced"/>
    <s v="Fast-Moving"/>
    <s v="Near"/>
    <n v="14"/>
    <s v="Saturday"/>
    <s v="Small (1-5)"/>
    <n v="0.6666666666666666"/>
  </r>
  <r>
    <x v="952"/>
    <x v="205"/>
    <x v="19"/>
    <s v="C"/>
    <s v="I0067"/>
    <d v="2026-09-13T10:35:00"/>
    <d v="2026-09-13T10:39:00"/>
    <n v="1"/>
    <n v="4"/>
    <b v="0"/>
    <b v="0"/>
    <b v="0"/>
    <n v="4"/>
    <s v="High"/>
    <d v="2026-09-13T08:50:00"/>
    <b v="0"/>
    <s v="Bulk Materials"/>
    <x v="0"/>
    <s v="Climate-Controlled"/>
    <s v="Unknown"/>
    <s v="Experienced"/>
    <s v="Small Parts"/>
    <s v="Medium"/>
    <n v="8"/>
    <s v="Sunday"/>
    <s v="Small (1-5)"/>
    <n v="4"/>
  </r>
  <r>
    <x v="953"/>
    <x v="4"/>
    <x v="15"/>
    <s v="E"/>
    <s v="I0006"/>
    <d v="2026-09-10T03:10:00"/>
    <d v="2026-09-10T03:14:00"/>
    <n v="2"/>
    <n v="4"/>
    <b v="0"/>
    <b v="0"/>
    <b v="0"/>
    <n v="10"/>
    <s v="Normal"/>
    <d v="2026-09-10T01:19:00"/>
    <b v="0"/>
    <s v="Bulk Materials"/>
    <x v="0"/>
    <s v="Bulk"/>
    <s v="Morning"/>
    <s v="Unknown"/>
    <s v="Fast-Moving"/>
    <s v="Medium"/>
    <n v="1"/>
    <s v="Thursday"/>
    <s v="Medium (6-10)"/>
    <n v="2"/>
  </r>
  <r>
    <x v="954"/>
    <x v="141"/>
    <x v="5"/>
    <s v="H"/>
    <s v="I0014"/>
    <d v="2026-09-28T05:54:00"/>
    <d v="2026-09-28T05:58:00"/>
    <n v="1"/>
    <n v="4"/>
    <b v="0"/>
    <b v="0"/>
    <b v="0"/>
    <n v="5"/>
    <s v="Normal"/>
    <d v="2026-09-28T04:06:00"/>
    <b v="0"/>
    <s v="Unknown"/>
    <x v="1"/>
    <s v="Standard"/>
    <s v="Unknown"/>
    <s v="Beginner"/>
    <s v="Small Parts"/>
    <s v="Near"/>
    <n v="4"/>
    <s v="Monday"/>
    <s v="Small (1-5)"/>
    <n v="4"/>
  </r>
  <r>
    <x v="955"/>
    <x v="228"/>
    <x v="17"/>
    <s v="A"/>
    <s v="I0022"/>
    <d v="2026-09-14T13:53:00"/>
    <d v="2026-09-14T13:57:00"/>
    <n v="1"/>
    <n v="4"/>
    <b v="0"/>
    <b v="0"/>
    <b v="0"/>
    <n v="4"/>
    <s v="Normal"/>
    <d v="2026-09-14T12:16:00"/>
    <b v="0"/>
    <s v="Unknown"/>
    <x v="0"/>
    <s v="Standard"/>
    <s v="Night"/>
    <s v="Intermediate"/>
    <s v="Fast-Moving"/>
    <s v="Near"/>
    <n v="12"/>
    <s v="Monday"/>
    <s v="Small (1-5)"/>
    <n v="4"/>
  </r>
  <r>
    <x v="956"/>
    <x v="191"/>
    <x v="4"/>
    <s v="H"/>
    <s v="I0070"/>
    <d v="2026-09-11T00:09:00"/>
    <d v="2026-09-11T00:13:00"/>
    <n v="4"/>
    <n v="4"/>
    <b v="0"/>
    <b v="0"/>
    <b v="0"/>
    <n v="10"/>
    <s v="Normal"/>
    <d v="2026-09-11T00:02:00"/>
    <b v="0"/>
    <s v="Bulk Materials"/>
    <x v="0"/>
    <s v="Standard"/>
    <s v="Night"/>
    <s v="Unknown"/>
    <s v="Small Parts"/>
    <s v="Near"/>
    <n v="0"/>
    <s v="Friday"/>
    <s v="Medium (6-10)"/>
    <n v="1"/>
  </r>
  <r>
    <x v="957"/>
    <x v="190"/>
    <x v="24"/>
    <s v="C"/>
    <s v="I0048"/>
    <d v="2026-09-11T17:56:00"/>
    <d v="2026-09-11T18:00:00"/>
    <n v="5"/>
    <n v="4"/>
    <b v="0"/>
    <b v="0"/>
    <b v="0"/>
    <n v="6"/>
    <s v="Normal"/>
    <d v="2026-09-11T16:40:00"/>
    <b v="0"/>
    <s v="Electronics"/>
    <x v="2"/>
    <s v="Standard"/>
    <s v="Night"/>
    <s v="Experienced"/>
    <s v="Small Parts"/>
    <s v="Medium"/>
    <n v="16"/>
    <s v="Friday"/>
    <s v="Medium (6-10)"/>
    <n v="0.8"/>
  </r>
  <r>
    <x v="958"/>
    <x v="191"/>
    <x v="18"/>
    <s v="C"/>
    <s v="I0033"/>
    <d v="2026-09-11T02:30:00"/>
    <d v="2026-09-11T02:34:00"/>
    <n v="3"/>
    <n v="4"/>
    <b v="0"/>
    <b v="0"/>
    <b v="0"/>
    <n v="10"/>
    <s v="Normal"/>
    <d v="2026-09-11T00:02:00"/>
    <b v="0"/>
    <s v="Small Parts"/>
    <x v="1"/>
    <s v="Bulk"/>
    <s v="Night"/>
    <s v="Intermediate"/>
    <s v="Small Parts"/>
    <s v="Medium"/>
    <n v="0"/>
    <s v="Friday"/>
    <s v="Medium (6-10)"/>
    <n v="1.333333333333333"/>
  </r>
  <r>
    <x v="959"/>
    <x v="177"/>
    <x v="14"/>
    <s v="E"/>
    <s v="I0077"/>
    <d v="2026-09-24T23:38:00"/>
    <d v="2026-09-24T23:42:00"/>
    <n v="2"/>
    <n v="4"/>
    <b v="0"/>
    <b v="0"/>
    <b v="0"/>
    <n v="20"/>
    <s v="Normal"/>
    <d v="2026-09-24T23:08:00"/>
    <b v="0"/>
    <s v="Bulk Materials"/>
    <x v="0"/>
    <s v="Unknown"/>
    <s v="Night"/>
    <s v="Unknown"/>
    <s v="Fast-Moving"/>
    <s v="Medium"/>
    <n v="23"/>
    <s v="Thursday"/>
    <s v="Large (11-20)"/>
    <n v="2"/>
  </r>
  <r>
    <x v="960"/>
    <x v="136"/>
    <x v="28"/>
    <s v="E"/>
    <s v="I0035"/>
    <d v="2026-09-20T10:09:00"/>
    <d v="2026-09-20T10:13:00"/>
    <n v="5"/>
    <n v="4"/>
    <b v="0"/>
    <b v="0"/>
    <b v="0"/>
    <n v="8"/>
    <s v="Normal"/>
    <d v="2026-09-20T09:05:00"/>
    <b v="0"/>
    <s v="Unknown"/>
    <x v="1"/>
    <s v="Fragile"/>
    <s v="Night"/>
    <s v="Experienced"/>
    <s v="Fast-Moving"/>
    <s v="Medium"/>
    <n v="9"/>
    <s v="Sunday"/>
    <s v="Medium (6-10)"/>
    <n v="0.8"/>
  </r>
  <r>
    <x v="961"/>
    <x v="49"/>
    <x v="20"/>
    <s v="C"/>
    <s v="I0047"/>
    <d v="2026-09-28T04:19:00"/>
    <d v="2026-09-28T04:23:00"/>
    <n v="1"/>
    <n v="4"/>
    <b v="0"/>
    <b v="0"/>
    <b v="0"/>
    <n v="3"/>
    <s v="Low"/>
    <d v="2026-09-28T03:54:00"/>
    <b v="0"/>
    <s v="Electronics"/>
    <x v="0"/>
    <s v="Unknown"/>
    <s v="Night"/>
    <s v="Unknown"/>
    <s v="Small Parts"/>
    <s v="Medium"/>
    <n v="3"/>
    <s v="Monday"/>
    <s v="Small (1-5)"/>
    <n v="4"/>
  </r>
  <r>
    <x v="962"/>
    <x v="84"/>
    <x v="28"/>
    <s v="F"/>
    <s v="I0028"/>
    <d v="2026-09-03T03:16:00"/>
    <d v="2026-09-03T03:20:00"/>
    <n v="1"/>
    <n v="4"/>
    <b v="0"/>
    <b v="0"/>
    <b v="0"/>
    <n v="15"/>
    <s v="Normal"/>
    <d v="2026-09-03T02:35:00"/>
    <b v="0"/>
    <s v="Fragile Goods"/>
    <x v="1"/>
    <s v="Standard"/>
    <s v="Night"/>
    <s v="Experienced"/>
    <s v="Bulk Storage"/>
    <s v="Near"/>
    <n v="2"/>
    <s v="Thursday"/>
    <s v="Large (11-20)"/>
    <n v="4"/>
  </r>
  <r>
    <x v="963"/>
    <x v="54"/>
    <x v="31"/>
    <s v="A"/>
    <s v="I0069"/>
    <d v="2026-09-12T14:09:00"/>
    <d v="2026-09-12T14:12:00"/>
    <n v="3"/>
    <n v="3"/>
    <b v="0"/>
    <b v="0"/>
    <b v="0"/>
    <m/>
    <s v="High"/>
    <d v="2026-09-12T13:21:00"/>
    <b v="1"/>
    <s v="Electronics"/>
    <x v="2"/>
    <s v="Climate-Controlled"/>
    <s v="Morning"/>
    <s v="Experienced"/>
    <s v="Fast-Moving"/>
    <s v="Near"/>
    <n v="13"/>
    <s v="Saturday"/>
    <m/>
    <n v="1"/>
  </r>
  <r>
    <x v="964"/>
    <x v="185"/>
    <x v="19"/>
    <s v="E"/>
    <s v="I0065"/>
    <d v="2026-09-16T12:21:00"/>
    <d v="2026-09-16T12:24:00"/>
    <n v="3"/>
    <n v="3"/>
    <b v="0"/>
    <b v="0"/>
    <b v="0"/>
    <n v="6"/>
    <s v="High"/>
    <m/>
    <b v="0"/>
    <s v="Small Parts"/>
    <x v="1"/>
    <s v="Fragile"/>
    <s v="Unknown"/>
    <s v="Experienced"/>
    <s v="Fast-Moving"/>
    <s v="Medium"/>
    <m/>
    <m/>
    <s v="Medium (6-10)"/>
    <n v="1"/>
  </r>
  <r>
    <x v="965"/>
    <x v="229"/>
    <x v="16"/>
    <s v="A"/>
    <s v="I0022"/>
    <d v="2026-09-29T01:04:00"/>
    <d v="2026-09-29T01:07:00"/>
    <n v="2"/>
    <n v="3"/>
    <b v="0"/>
    <b v="0"/>
    <b v="0"/>
    <n v="15"/>
    <s v="Normal"/>
    <d v="2026-09-28T23:53:00"/>
    <b v="0"/>
    <s v="Unknown"/>
    <x v="0"/>
    <s v="Standard"/>
    <s v="Night"/>
    <s v="Intermediate"/>
    <s v="Fast-Moving"/>
    <s v="Near"/>
    <n v="23"/>
    <s v="Monday"/>
    <s v="Large (11-20)"/>
    <n v="1.5"/>
  </r>
  <r>
    <x v="966"/>
    <x v="229"/>
    <x v="17"/>
    <s v="E"/>
    <s v="I0006"/>
    <d v="2026-09-29T00:43:00"/>
    <d v="2026-09-29T00:46:00"/>
    <n v="1"/>
    <n v="3"/>
    <b v="0"/>
    <b v="0"/>
    <b v="0"/>
    <n v="15"/>
    <s v="Normal"/>
    <d v="2026-09-28T23:53:00"/>
    <b v="0"/>
    <s v="Bulk Materials"/>
    <x v="0"/>
    <s v="Bulk"/>
    <s v="Night"/>
    <s v="Intermediate"/>
    <s v="Fast-Moving"/>
    <s v="Medium"/>
    <n v="23"/>
    <s v="Monday"/>
    <s v="Large (11-20)"/>
    <n v="3"/>
  </r>
  <r>
    <x v="967"/>
    <x v="251"/>
    <x v="4"/>
    <s v="E"/>
    <s v="I0076"/>
    <d v="2026-09-26T00:16:00"/>
    <d v="2026-09-26T00:19:00"/>
    <n v="2"/>
    <n v="3"/>
    <b v="0"/>
    <b v="0"/>
    <b v="0"/>
    <n v="1"/>
    <s v="Normal"/>
    <d v="2026-09-25T23:47:00"/>
    <b v="0"/>
    <s v="Fragile Goods"/>
    <x v="3"/>
    <s v="Climate-Controlled"/>
    <s v="Night"/>
    <s v="Unknown"/>
    <s v="Fast-Moving"/>
    <s v="Medium"/>
    <n v="23"/>
    <s v="Friday"/>
    <s v="Small (1-5)"/>
    <n v="1.5"/>
  </r>
  <r>
    <x v="968"/>
    <x v="19"/>
    <x v="31"/>
    <s v="A"/>
    <s v="I0029"/>
    <d v="2026-09-19T03:24:00"/>
    <d v="2026-09-19T03:27:00"/>
    <n v="3"/>
    <n v="3"/>
    <b v="0"/>
    <b v="0"/>
    <b v="0"/>
    <n v="12"/>
    <s v="High"/>
    <d v="2026-09-19T01:42:00"/>
    <b v="0"/>
    <s v="Small Parts"/>
    <x v="1"/>
    <s v="Standard"/>
    <s v="Morning"/>
    <s v="Experienced"/>
    <s v="Fast-Moving"/>
    <s v="Near"/>
    <n v="1"/>
    <s v="Saturday"/>
    <s v="Large (11-20)"/>
    <n v="1"/>
  </r>
  <r>
    <x v="969"/>
    <x v="68"/>
    <x v="25"/>
    <s v="B"/>
    <s v="I0036"/>
    <d v="2026-09-11T09:21:00"/>
    <d v="2026-09-11T09:24:00"/>
    <n v="1"/>
    <n v="3"/>
    <b v="0"/>
    <b v="0"/>
    <b v="0"/>
    <n v="10"/>
    <s v="Normal"/>
    <d v="2026-09-11T09:20:00"/>
    <b v="0"/>
    <s v="Apparel"/>
    <x v="0"/>
    <s v="Unknown"/>
    <s v="Night"/>
    <s v="Experienced"/>
    <s v="Bulk Storage"/>
    <s v="Far"/>
    <n v="9"/>
    <s v="Friday"/>
    <s v="Medium (6-10)"/>
    <n v="3"/>
  </r>
  <r>
    <x v="970"/>
    <x v="85"/>
    <x v="19"/>
    <s v="E"/>
    <s v="I0020"/>
    <d v="2026-09-23T16:55:00"/>
    <d v="2026-09-23T16:58:00"/>
    <n v="1"/>
    <n v="3"/>
    <b v="0"/>
    <b v="0"/>
    <b v="0"/>
    <n v="5"/>
    <s v="Normal"/>
    <d v="2026-09-23T16:26:00"/>
    <b v="0"/>
    <s v="Apparel"/>
    <x v="0"/>
    <s v="Bulk"/>
    <s v="Unknown"/>
    <s v="Experienced"/>
    <s v="Fast-Moving"/>
    <s v="Medium"/>
    <n v="16"/>
    <s v="Wednesday"/>
    <s v="Small (1-5)"/>
    <n v="3"/>
  </r>
  <r>
    <x v="971"/>
    <x v="209"/>
    <x v="23"/>
    <s v="E"/>
    <s v="I0039"/>
    <d v="2026-09-26T01:02:00"/>
    <d v="2026-09-26T01:05:00"/>
    <n v="1"/>
    <n v="3"/>
    <b v="0"/>
    <b v="0"/>
    <b v="0"/>
    <n v="6"/>
    <s v="Urgent"/>
    <d v="2026-09-25T23:48:00"/>
    <b v="0"/>
    <s v="Apparel"/>
    <x v="0"/>
    <s v="Fragile"/>
    <s v="Evening"/>
    <s v="Intermediate"/>
    <s v="Fast-Moving"/>
    <s v="Medium"/>
    <n v="23"/>
    <s v="Friday"/>
    <s v="Medium (6-10)"/>
    <n v="3"/>
  </r>
  <r>
    <x v="972"/>
    <x v="154"/>
    <x v="17"/>
    <s v="A"/>
    <s v="I0039"/>
    <d v="2026-09-26T01:23:00"/>
    <d v="2026-09-26T01:26:00"/>
    <n v="3"/>
    <n v="3"/>
    <b v="0"/>
    <b v="0"/>
    <b v="0"/>
    <n v="4"/>
    <s v="Normal"/>
    <d v="2026-09-26T00:01:00"/>
    <b v="0"/>
    <s v="Apparel"/>
    <x v="0"/>
    <s v="Fragile"/>
    <s v="Night"/>
    <s v="Intermediate"/>
    <s v="Fast-Moving"/>
    <s v="Near"/>
    <n v="0"/>
    <s v="Saturday"/>
    <s v="Small (1-5)"/>
    <n v="1"/>
  </r>
  <r>
    <x v="973"/>
    <x v="130"/>
    <x v="21"/>
    <s v="A"/>
    <s v="I0059"/>
    <d v="2026-09-11T21:10:00"/>
    <d v="2026-09-11T21:13:00"/>
    <n v="2"/>
    <n v="3"/>
    <b v="0"/>
    <b v="0"/>
    <b v="0"/>
    <n v="12"/>
    <s v="Normal"/>
    <d v="2026-09-11T19:25:00"/>
    <b v="0"/>
    <s v="Electronics"/>
    <x v="1"/>
    <s v="Bulk"/>
    <s v="Morning"/>
    <s v="Intermediate"/>
    <s v="Fast-Moving"/>
    <s v="Near"/>
    <n v="19"/>
    <s v="Friday"/>
    <s v="Large (11-20)"/>
    <n v="1.5"/>
  </r>
  <r>
    <x v="974"/>
    <x v="181"/>
    <x v="13"/>
    <s v="A"/>
    <s v="I0057"/>
    <d v="2026-09-12T15:42:00"/>
    <d v="2026-09-12T15:45:00"/>
    <n v="1"/>
    <n v="3"/>
    <b v="0"/>
    <b v="0"/>
    <b v="0"/>
    <n v="6"/>
    <s v="Low"/>
    <d v="2026-09-12T14:03:00"/>
    <b v="0"/>
    <s v="Apparel"/>
    <x v="1"/>
    <s v="Bulk"/>
    <s v="Night"/>
    <s v="Intermediate"/>
    <s v="Fast-Moving"/>
    <s v="Near"/>
    <n v="14"/>
    <s v="Saturday"/>
    <s v="Medium (6-10)"/>
    <n v="3"/>
  </r>
  <r>
    <x v="975"/>
    <x v="159"/>
    <x v="8"/>
    <s v="A"/>
    <s v="I0058"/>
    <d v="2026-09-26T07:43:00"/>
    <d v="2026-09-26T07:46:00"/>
    <n v="2"/>
    <n v="3"/>
    <b v="0"/>
    <b v="0"/>
    <b v="0"/>
    <n v="10"/>
    <s v="Normal"/>
    <d v="2026-09-26T05:21:00"/>
    <b v="0"/>
    <s v="Home Goods"/>
    <x v="1"/>
    <s v="Unknown"/>
    <s v="Evening"/>
    <s v="Unknown"/>
    <s v="Fast-Moving"/>
    <s v="Near"/>
    <n v="5"/>
    <s v="Saturday"/>
    <s v="Medium (6-10)"/>
    <n v="1.5"/>
  </r>
  <r>
    <x v="976"/>
    <x v="117"/>
    <x v="27"/>
    <s v="E"/>
    <s v="I0048"/>
    <d v="2026-09-28T02:38:00"/>
    <d v="2026-09-28T02:41:00"/>
    <n v="1"/>
    <n v="3"/>
    <b v="0"/>
    <b v="0"/>
    <b v="0"/>
    <n v="2"/>
    <s v="High"/>
    <d v="2026-09-28T01:06:00"/>
    <b v="0"/>
    <s v="Electronics"/>
    <x v="2"/>
    <s v="Standard"/>
    <s v="Night"/>
    <s v="Experienced"/>
    <s v="Fast-Moving"/>
    <s v="Medium"/>
    <n v="1"/>
    <s v="Monday"/>
    <s v="Small (1-5)"/>
    <n v="3"/>
  </r>
  <r>
    <x v="977"/>
    <x v="26"/>
    <x v="25"/>
    <s v="H"/>
    <s v="I0023"/>
    <d v="2026-09-21T19:05:00"/>
    <d v="2026-09-21T19:08:00"/>
    <n v="2"/>
    <n v="3"/>
    <b v="0"/>
    <b v="0"/>
    <b v="0"/>
    <n v="10"/>
    <s v="High"/>
    <d v="2026-09-21T19:02:00"/>
    <b v="0"/>
    <s v="Home Goods"/>
    <x v="1"/>
    <s v="Bulk"/>
    <s v="Night"/>
    <s v="Experienced"/>
    <s v="Small Parts"/>
    <s v="Near"/>
    <n v="19"/>
    <s v="Monday"/>
    <s v="Medium (6-10)"/>
    <n v="1.5"/>
  </r>
  <r>
    <x v="978"/>
    <x v="111"/>
    <x v="16"/>
    <s v="A"/>
    <s v="I0053"/>
    <d v="2026-09-29T00:58:00"/>
    <d v="2026-09-29T01:01:00"/>
    <n v="2"/>
    <n v="3"/>
    <b v="0"/>
    <b v="0"/>
    <b v="0"/>
    <n v="4"/>
    <s v="High"/>
    <d v="2026-09-28T23:34:00"/>
    <b v="0"/>
    <s v="Small Parts"/>
    <x v="3"/>
    <s v="Standard"/>
    <s v="Night"/>
    <s v="Intermediate"/>
    <s v="Fast-Moving"/>
    <s v="Near"/>
    <n v="23"/>
    <s v="Monday"/>
    <s v="Small (1-5)"/>
    <n v="1.5"/>
  </r>
  <r>
    <x v="979"/>
    <x v="177"/>
    <x v="4"/>
    <s v="H"/>
    <s v="I0027"/>
    <d v="2026-09-24T23:17:00"/>
    <d v="2026-09-24T23:20:00"/>
    <n v="1"/>
    <n v="3"/>
    <b v="0"/>
    <b v="0"/>
    <b v="0"/>
    <n v="20"/>
    <s v="Normal"/>
    <d v="2026-09-24T23:08:00"/>
    <b v="0"/>
    <s v="Unknown"/>
    <x v="2"/>
    <s v="Bulk"/>
    <s v="Night"/>
    <s v="Unknown"/>
    <s v="Small Parts"/>
    <s v="Near"/>
    <n v="23"/>
    <s v="Thursday"/>
    <s v="Large (11-20)"/>
    <n v="3"/>
  </r>
  <r>
    <x v="980"/>
    <x v="110"/>
    <x v="19"/>
    <s v="A"/>
    <s v="I0048"/>
    <d v="2026-09-24T10:48:00"/>
    <d v="2026-09-24T10:51:00"/>
    <n v="5"/>
    <n v="3"/>
    <b v="0"/>
    <b v="0"/>
    <b v="0"/>
    <n v="6"/>
    <s v="Normal"/>
    <d v="2026-09-24T08:20:00"/>
    <b v="0"/>
    <s v="Electronics"/>
    <x v="2"/>
    <s v="Standard"/>
    <s v="Unknown"/>
    <s v="Experienced"/>
    <s v="Fast-Moving"/>
    <s v="Near"/>
    <n v="8"/>
    <s v="Thursday"/>
    <s v="Medium (6-10)"/>
    <n v="0.6"/>
  </r>
  <r>
    <x v="981"/>
    <x v="27"/>
    <x v="27"/>
    <s v="E"/>
    <s v="I0046"/>
    <d v="2026-09-28T03:32:00"/>
    <d v="2026-09-28T03:35:00"/>
    <n v="2"/>
    <n v="3"/>
    <b v="0"/>
    <b v="0"/>
    <b v="0"/>
    <n v="8"/>
    <s v="Normal"/>
    <d v="2026-09-28T03:05:00"/>
    <b v="0"/>
    <s v="Small Parts"/>
    <x v="2"/>
    <s v="Standard"/>
    <s v="Night"/>
    <s v="Experienced"/>
    <s v="Fast-Moving"/>
    <s v="Medium"/>
    <n v="3"/>
    <s v="Monday"/>
    <s v="Medium (6-10)"/>
    <n v="1.5"/>
  </r>
  <r>
    <x v="982"/>
    <x v="236"/>
    <x v="18"/>
    <s v="A"/>
    <s v="I0022"/>
    <d v="2026-09-17T13:16:00"/>
    <d v="2026-09-17T13:19:00"/>
    <n v="5"/>
    <n v="3"/>
    <b v="0"/>
    <b v="0"/>
    <b v="0"/>
    <n v="8"/>
    <s v="Normal"/>
    <d v="2026-09-17T11:57:00"/>
    <b v="0"/>
    <s v="Unknown"/>
    <x v="0"/>
    <s v="Standard"/>
    <s v="Night"/>
    <s v="Intermediate"/>
    <s v="Fast-Moving"/>
    <s v="Near"/>
    <n v="11"/>
    <s v="Thursday"/>
    <s v="Medium (6-10)"/>
    <n v="0.6"/>
  </r>
  <r>
    <x v="983"/>
    <x v="103"/>
    <x v="30"/>
    <s v="H"/>
    <s v="I0054"/>
    <d v="2026-09-20T01:16:00"/>
    <d v="2026-09-20T01:19:00"/>
    <n v="1"/>
    <n v="3"/>
    <b v="0"/>
    <b v="0"/>
    <b v="0"/>
    <n v="10"/>
    <s v="Normal"/>
    <d v="2026-09-19T22:42:00"/>
    <b v="0"/>
    <s v="Small Parts"/>
    <x v="0"/>
    <s v="Bulk"/>
    <s v="Night"/>
    <s v="Experienced"/>
    <s v="Small Parts"/>
    <s v="Near"/>
    <n v="22"/>
    <s v="Saturday"/>
    <s v="Medium (6-10)"/>
    <n v="3"/>
  </r>
  <r>
    <x v="984"/>
    <x v="18"/>
    <x v="10"/>
    <s v="A"/>
    <s v="I0013"/>
    <d v="2026-09-08T05:26:00"/>
    <d v="2026-09-08T05:29:00"/>
    <n v="3"/>
    <n v="3"/>
    <b v="0"/>
    <b v="0"/>
    <b v="0"/>
    <n v="6"/>
    <s v="Normal"/>
    <d v="2026-09-08T03:19:00"/>
    <b v="0"/>
    <s v="Home Goods"/>
    <x v="1"/>
    <s v="Unknown"/>
    <s v="Night"/>
    <s v="Unknown"/>
    <s v="Fast-Moving"/>
    <s v="Near"/>
    <n v="3"/>
    <s v="Tuesday"/>
    <s v="Medium (6-10)"/>
    <n v="1"/>
  </r>
  <r>
    <x v="985"/>
    <x v="88"/>
    <x v="27"/>
    <s v="H"/>
    <s v="I0077"/>
    <d v="2026-09-22T14:46:00"/>
    <d v="2026-09-22T14:49:00"/>
    <n v="1"/>
    <n v="3"/>
    <b v="0"/>
    <b v="0"/>
    <b v="0"/>
    <n v="6"/>
    <s v="Normal"/>
    <d v="2026-09-22T13:03:00"/>
    <b v="0"/>
    <s v="Bulk Materials"/>
    <x v="0"/>
    <s v="Unknown"/>
    <s v="Night"/>
    <s v="Experienced"/>
    <s v="Small Parts"/>
    <s v="Near"/>
    <n v="13"/>
    <s v="Tuesday"/>
    <s v="Medium (6-10)"/>
    <n v="3"/>
  </r>
  <r>
    <x v="986"/>
    <x v="66"/>
    <x v="28"/>
    <s v="A"/>
    <s v="I0001"/>
    <d v="2026-09-12T13:49:00"/>
    <d v="2026-09-12T13:52:00"/>
    <n v="2"/>
    <n v="3"/>
    <b v="0"/>
    <b v="0"/>
    <b v="0"/>
    <n v="6"/>
    <s v="Normal"/>
    <d v="2026-09-12T11:01:00"/>
    <b v="0"/>
    <s v="Fragile Goods"/>
    <x v="0"/>
    <s v="Standard"/>
    <s v="Night"/>
    <s v="Experienced"/>
    <s v="Fast-Moving"/>
    <s v="Near"/>
    <n v="11"/>
    <s v="Saturday"/>
    <s v="Medium (6-10)"/>
    <n v="1.5"/>
  </r>
  <r>
    <x v="987"/>
    <x v="216"/>
    <x v="25"/>
    <s v="H"/>
    <s v="I0036"/>
    <d v="2026-09-19T15:34:00"/>
    <d v="2026-09-19T15:37:00"/>
    <n v="3"/>
    <n v="3"/>
    <b v="0"/>
    <b v="0"/>
    <b v="0"/>
    <n v="3"/>
    <s v="Normal"/>
    <d v="2026-09-19T13:21:00"/>
    <b v="0"/>
    <s v="Apparel"/>
    <x v="0"/>
    <s v="Unknown"/>
    <s v="Night"/>
    <s v="Experienced"/>
    <s v="Small Parts"/>
    <s v="Near"/>
    <n v="13"/>
    <s v="Saturday"/>
    <s v="Small (1-5)"/>
    <n v="1"/>
  </r>
  <r>
    <x v="988"/>
    <x v="30"/>
    <x v="16"/>
    <s v="E"/>
    <s v="I0012"/>
    <d v="2026-09-01T21:24:00"/>
    <d v="2026-09-01T21:27:00"/>
    <n v="3"/>
    <n v="3"/>
    <b v="0"/>
    <b v="0"/>
    <b v="0"/>
    <m/>
    <s v="High"/>
    <d v="2026-09-01T20:14:00"/>
    <b v="1"/>
    <s v="Unknown"/>
    <x v="2"/>
    <s v="Bulk"/>
    <s v="Night"/>
    <s v="Intermediate"/>
    <s v="Fast-Moving"/>
    <s v="Medium"/>
    <n v="20"/>
    <s v="Tuesday"/>
    <m/>
    <n v="1"/>
  </r>
  <r>
    <x v="989"/>
    <x v="93"/>
    <x v="14"/>
    <s v="E"/>
    <s v="I0047"/>
    <d v="2026-09-28T22:38:00"/>
    <d v="2026-09-28T22:41:00"/>
    <n v="2"/>
    <n v="3"/>
    <b v="0"/>
    <b v="0"/>
    <b v="0"/>
    <n v="8"/>
    <s v="High"/>
    <d v="2026-09-28T19:48:00"/>
    <b v="0"/>
    <s v="Electronics"/>
    <x v="0"/>
    <s v="Unknown"/>
    <s v="Night"/>
    <s v="Unknown"/>
    <s v="Fast-Moving"/>
    <s v="Medium"/>
    <n v="19"/>
    <s v="Monday"/>
    <s v="Medium (6-10)"/>
    <n v="1.5"/>
  </r>
  <r>
    <x v="990"/>
    <x v="81"/>
    <x v="17"/>
    <s v="C"/>
    <s v="I0036"/>
    <d v="2026-09-04T19:41:00"/>
    <d v="2026-09-04T19:44:00"/>
    <n v="3"/>
    <n v="3"/>
    <b v="0"/>
    <b v="0"/>
    <b v="0"/>
    <n v="8"/>
    <s v="Urgent"/>
    <d v="2026-09-04T17:27:00"/>
    <b v="0"/>
    <s v="Apparel"/>
    <x v="0"/>
    <s v="Unknown"/>
    <s v="Night"/>
    <s v="Intermediate"/>
    <s v="Small Parts"/>
    <s v="Medium"/>
    <n v="17"/>
    <s v="Friday"/>
    <s v="Medium (6-10)"/>
    <n v="1"/>
  </r>
  <r>
    <x v="991"/>
    <x v="240"/>
    <x v="24"/>
    <s v="C"/>
    <s v="I0010"/>
    <d v="2026-09-14T10:57:00"/>
    <d v="2026-09-14T11:00:00"/>
    <n v="1"/>
    <n v="3"/>
    <b v="0"/>
    <b v="0"/>
    <b v="0"/>
    <n v="4"/>
    <s v="Normal"/>
    <d v="2026-09-14T10:32:00"/>
    <b v="0"/>
    <s v="Fragile Goods"/>
    <x v="1"/>
    <s v="Standard"/>
    <s v="Night"/>
    <s v="Experienced"/>
    <s v="Small Parts"/>
    <s v="Medium"/>
    <n v="10"/>
    <s v="Monday"/>
    <s v="Small (1-5)"/>
    <n v="3"/>
  </r>
  <r>
    <x v="992"/>
    <x v="38"/>
    <x v="10"/>
    <s v="H"/>
    <s v="I0053"/>
    <d v="2026-09-09T18:04:00"/>
    <d v="2026-09-09T18:07:00"/>
    <n v="3"/>
    <n v="3"/>
    <b v="0"/>
    <b v="0"/>
    <b v="0"/>
    <n v="10"/>
    <s v="High"/>
    <d v="2026-09-09T16:40:00"/>
    <b v="0"/>
    <s v="Small Parts"/>
    <x v="3"/>
    <s v="Standard"/>
    <s v="Night"/>
    <s v="Unknown"/>
    <s v="Small Parts"/>
    <s v="Near"/>
    <n v="16"/>
    <s v="Wednesday"/>
    <s v="Medium (6-10)"/>
    <n v="1"/>
  </r>
  <r>
    <x v="993"/>
    <x v="17"/>
    <x v="23"/>
    <s v="E"/>
    <s v="I0041"/>
    <d v="2026-09-09T18:33:00"/>
    <d v="2026-09-09T18:36:00"/>
    <n v="4"/>
    <n v="3"/>
    <b v="0"/>
    <b v="0"/>
    <b v="0"/>
    <n v="10"/>
    <s v="Normal"/>
    <d v="2026-09-09T15:39:00"/>
    <b v="0"/>
    <s v="Bulk Materials"/>
    <x v="2"/>
    <s v="Bulk"/>
    <s v="Evening"/>
    <s v="Intermediate"/>
    <s v="Fast-Moving"/>
    <s v="Medium"/>
    <n v="15"/>
    <s v="Wednesday"/>
    <s v="Medium (6-10)"/>
    <n v="0.75"/>
  </r>
  <r>
    <x v="994"/>
    <x v="93"/>
    <x v="22"/>
    <s v="A"/>
    <s v="I0010"/>
    <d v="2026-09-28T22:37:00"/>
    <d v="2026-09-28T22:40:00"/>
    <n v="2"/>
    <n v="3"/>
    <b v="0"/>
    <b v="0"/>
    <b v="0"/>
    <n v="8"/>
    <s v="High"/>
    <d v="2026-09-28T19:48:00"/>
    <b v="0"/>
    <s v="Fragile Goods"/>
    <x v="1"/>
    <s v="Standard"/>
    <s v="Unknown"/>
    <s v="Unknown"/>
    <s v="Fast-Moving"/>
    <s v="Near"/>
    <n v="19"/>
    <s v="Monday"/>
    <s v="Medium (6-10)"/>
    <n v="1.5"/>
  </r>
  <r>
    <x v="995"/>
    <x v="59"/>
    <x v="22"/>
    <s v="H"/>
    <s v="I0080"/>
    <d v="2026-09-22T13:27:00"/>
    <d v="2026-09-22T13:30:00"/>
    <n v="2"/>
    <n v="3"/>
    <b v="0"/>
    <b v="0"/>
    <b v="0"/>
    <n v="10"/>
    <s v="Normal"/>
    <d v="2026-09-22T11:34:00"/>
    <b v="0"/>
    <s v="Fragile Goods"/>
    <x v="0"/>
    <s v="Bulk"/>
    <s v="Unknown"/>
    <s v="Unknown"/>
    <s v="Small Parts"/>
    <s v="Near"/>
    <n v="11"/>
    <s v="Tuesday"/>
    <s v="Medium (6-10)"/>
    <n v="1.5"/>
  </r>
  <r>
    <x v="996"/>
    <x v="214"/>
    <x v="22"/>
    <s v="H"/>
    <s v="I0040"/>
    <d v="2026-09-07T08:35:00"/>
    <d v="2026-09-07T08:38:00"/>
    <n v="5"/>
    <n v="3"/>
    <b v="0"/>
    <b v="0"/>
    <b v="0"/>
    <n v="4"/>
    <s v="Normal"/>
    <d v="2026-09-07T05:38:00"/>
    <b v="0"/>
    <s v="Unknown"/>
    <x v="1"/>
    <s v="Standard"/>
    <s v="Unknown"/>
    <s v="Unknown"/>
    <s v="Small Parts"/>
    <s v="Near"/>
    <n v="5"/>
    <s v="Monday"/>
    <s v="Small (1-5)"/>
    <n v="0.6"/>
  </r>
  <r>
    <x v="997"/>
    <x v="8"/>
    <x v="27"/>
    <s v="E"/>
    <s v="I0026"/>
    <d v="2026-09-02T22:02:00"/>
    <d v="2026-09-02T22:05:00"/>
    <n v="3"/>
    <n v="3"/>
    <b v="0"/>
    <b v="0"/>
    <b v="0"/>
    <n v="15"/>
    <s v="High"/>
    <d v="2026-09-02T21:30:00"/>
    <b v="0"/>
    <s v="Bulk Materials"/>
    <x v="0"/>
    <s v="Climate-Controlled"/>
    <s v="Night"/>
    <s v="Experienced"/>
    <s v="Fast-Moving"/>
    <s v="Medium"/>
    <n v="21"/>
    <s v="Wednesday"/>
    <s v="Large (11-20)"/>
    <n v="1"/>
  </r>
  <r>
    <x v="998"/>
    <x v="67"/>
    <x v="31"/>
    <s v="A"/>
    <s v="I0004"/>
    <d v="2026-09-05T16:14:00"/>
    <d v="2026-09-05T16:17:00"/>
    <n v="5"/>
    <n v="3"/>
    <b v="0"/>
    <b v="0"/>
    <b v="0"/>
    <n v="6"/>
    <s v="High"/>
    <m/>
    <b v="0"/>
    <s v="Electronics"/>
    <x v="0"/>
    <s v="Standard"/>
    <s v="Morning"/>
    <s v="Experienced"/>
    <s v="Fast-Moving"/>
    <s v="Near"/>
    <m/>
    <m/>
    <s v="Medium (6-10)"/>
    <n v="0.6"/>
  </r>
  <r>
    <x v="999"/>
    <x v="242"/>
    <x v="18"/>
    <s v="A"/>
    <s v="I0021"/>
    <d v="2026-09-04T19:44:00"/>
    <d v="2026-09-04T19:46:00"/>
    <n v="4"/>
    <n v="2"/>
    <b v="0"/>
    <b v="0"/>
    <b v="0"/>
    <n v="4"/>
    <s v="Urgent"/>
    <d v="2026-09-04T19:12:00"/>
    <b v="0"/>
    <s v="Apparel"/>
    <x v="0"/>
    <s v="Standard"/>
    <s v="Night"/>
    <s v="Intermediate"/>
    <s v="Fast-Moving"/>
    <s v="Near"/>
    <n v="19"/>
    <s v="Friday"/>
    <s v="Small (1-5)"/>
    <n v="0.5"/>
  </r>
  <r>
    <x v="1000"/>
    <x v="33"/>
    <x v="14"/>
    <s v="A"/>
    <s v="I0007"/>
    <d v="2026-09-27T14:00:00"/>
    <d v="2026-09-27T14:02:00"/>
    <n v="1"/>
    <n v="2"/>
    <b v="0"/>
    <b v="0"/>
    <b v="0"/>
    <n v="10"/>
    <s v="High"/>
    <d v="2026-09-27T12:45:00"/>
    <b v="0"/>
    <s v="Small Parts"/>
    <x v="1"/>
    <s v="Fragile"/>
    <s v="Night"/>
    <s v="Unknown"/>
    <s v="Fast-Moving"/>
    <s v="Near"/>
    <n v="12"/>
    <s v="Sunday"/>
    <s v="Medium (6-10)"/>
    <n v="2"/>
  </r>
  <r>
    <x v="1001"/>
    <x v="178"/>
    <x v="28"/>
    <s v="H"/>
    <s v="I0018"/>
    <d v="2026-09-15T17:36:00"/>
    <d v="2026-09-15T17:38:00"/>
    <n v="1"/>
    <n v="2"/>
    <b v="0"/>
    <b v="0"/>
    <b v="0"/>
    <m/>
    <s v="Normal"/>
    <d v="2026-09-15T15:29:00"/>
    <b v="1"/>
    <s v="Bulk Materials"/>
    <x v="0"/>
    <s v="Bulk"/>
    <s v="Night"/>
    <s v="Experienced"/>
    <s v="Small Parts"/>
    <s v="Near"/>
    <n v="15"/>
    <s v="Tuesday"/>
    <m/>
    <n v="2"/>
  </r>
  <r>
    <x v="1002"/>
    <x v="248"/>
    <x v="15"/>
    <s v="E"/>
    <s v="I0019"/>
    <d v="2026-09-20T21:39:00"/>
    <d v="2026-09-20T21:41:00"/>
    <n v="4"/>
    <n v="2"/>
    <b v="0"/>
    <b v="0"/>
    <b v="0"/>
    <n v="5"/>
    <s v="Normal"/>
    <d v="2026-09-20T18:50:00"/>
    <b v="0"/>
    <s v="Fragile Goods"/>
    <x v="1"/>
    <s v="Bulk"/>
    <s v="Morning"/>
    <s v="Unknown"/>
    <s v="Fast-Moving"/>
    <s v="Medium"/>
    <n v="18"/>
    <s v="Sunday"/>
    <s v="Small (1-5)"/>
    <n v="0.5"/>
  </r>
  <r>
    <x v="1003"/>
    <x v="207"/>
    <x v="24"/>
    <s v="A"/>
    <s v="I0012"/>
    <d v="2026-09-20T11:57:00"/>
    <d v="2026-09-20T11:59:00"/>
    <n v="1"/>
    <n v="2"/>
    <b v="0"/>
    <b v="0"/>
    <b v="0"/>
    <n v="4"/>
    <s v="High"/>
    <d v="2026-09-20T11:21:00"/>
    <b v="0"/>
    <s v="Unknown"/>
    <x v="2"/>
    <s v="Bulk"/>
    <s v="Night"/>
    <s v="Experienced"/>
    <s v="Fast-Moving"/>
    <s v="Near"/>
    <n v="11"/>
    <s v="Sunday"/>
    <s v="Small (1-5)"/>
    <n v="2"/>
  </r>
  <r>
    <x v="1004"/>
    <x v="32"/>
    <x v="20"/>
    <s v="A"/>
    <s v="I0046"/>
    <d v="2026-09-19T13:10:00"/>
    <d v="2026-09-19T13:12:00"/>
    <n v="2"/>
    <n v="2"/>
    <b v="0"/>
    <b v="0"/>
    <b v="0"/>
    <n v="15"/>
    <s v="Low"/>
    <d v="2026-09-19T12:37:00"/>
    <b v="0"/>
    <s v="Small Parts"/>
    <x v="2"/>
    <s v="Standard"/>
    <s v="Night"/>
    <s v="Unknown"/>
    <s v="Fast-Moving"/>
    <s v="Near"/>
    <n v="12"/>
    <s v="Saturday"/>
    <s v="Large (11-20)"/>
    <n v="1"/>
  </r>
  <r>
    <x v="1005"/>
    <x v="30"/>
    <x v="14"/>
    <s v="A"/>
    <s v="I0037"/>
    <d v="2026-09-01T22:58:00"/>
    <d v="2026-09-01T23:00:00"/>
    <n v="1"/>
    <n v="2"/>
    <b v="0"/>
    <b v="0"/>
    <b v="0"/>
    <m/>
    <s v="High"/>
    <d v="2026-09-01T20:14:00"/>
    <b v="1"/>
    <s v="Electronics"/>
    <x v="1"/>
    <s v="Climate-Controlled"/>
    <s v="Night"/>
    <s v="Unknown"/>
    <s v="Fast-Moving"/>
    <s v="Near"/>
    <n v="20"/>
    <s v="Tuesday"/>
    <m/>
    <n v="2"/>
  </r>
  <r>
    <x v="1006"/>
    <x v="17"/>
    <x v="12"/>
    <s v="A"/>
    <s v="I0068"/>
    <d v="2026-09-09T16:01:00"/>
    <d v="2026-09-09T16:03:00"/>
    <n v="3"/>
    <n v="2"/>
    <b v="0"/>
    <b v="0"/>
    <b v="0"/>
    <n v="10"/>
    <s v="Normal"/>
    <d v="2026-09-09T15:39:00"/>
    <b v="0"/>
    <s v="Electronics"/>
    <x v="1"/>
    <s v="Climate-Controlled"/>
    <s v="Unknown"/>
    <s v="Intermediate"/>
    <s v="Fast-Moving"/>
    <s v="Near"/>
    <n v="15"/>
    <s v="Wednesday"/>
    <s v="Medium (6-10)"/>
    <n v="0.6666666666666666"/>
  </r>
  <r>
    <x v="1007"/>
    <x v="47"/>
    <x v="20"/>
    <s v="H"/>
    <s v="I0035"/>
    <d v="2026-09-21T04:06:00"/>
    <d v="2026-09-21T04:08:00"/>
    <n v="1"/>
    <n v="2"/>
    <b v="0"/>
    <b v="0"/>
    <b v="0"/>
    <n v="20"/>
    <s v="Urgent"/>
    <d v="2026-09-21T03:14:00"/>
    <b v="0"/>
    <s v="Unknown"/>
    <x v="1"/>
    <s v="Fragile"/>
    <s v="Night"/>
    <s v="Unknown"/>
    <s v="Small Parts"/>
    <s v="Near"/>
    <n v="3"/>
    <s v="Monday"/>
    <s v="Large (11-20)"/>
    <n v="2"/>
  </r>
  <r>
    <x v="1008"/>
    <x v="71"/>
    <x v="3"/>
    <s v="A"/>
    <s v="I0015"/>
    <d v="2026-09-09T07:22:00"/>
    <d v="2026-09-09T07:24:00"/>
    <n v="1"/>
    <n v="2"/>
    <b v="0"/>
    <b v="0"/>
    <b v="0"/>
    <n v="12"/>
    <s v="Normal"/>
    <d v="2026-09-09T07:12:00"/>
    <b v="0"/>
    <s v="Bulk Materials"/>
    <x v="1"/>
    <s v="Fragile"/>
    <s v="Night"/>
    <s v="Beginner"/>
    <s v="Fast-Moving"/>
    <s v="Near"/>
    <n v="7"/>
    <s v="Wednesday"/>
    <s v="Large (11-20)"/>
    <n v="2"/>
  </r>
  <r>
    <x v="1009"/>
    <x v="158"/>
    <x v="30"/>
    <s v="H"/>
    <s v="I0050"/>
    <d v="2026-09-02T22:29:00"/>
    <d v="2026-09-02T22:30:00"/>
    <n v="1"/>
    <n v="1"/>
    <b v="0"/>
    <b v="0"/>
    <b v="0"/>
    <n v="6"/>
    <s v="Normal"/>
    <d v="2026-09-02T21:08:00"/>
    <b v="0"/>
    <s v="Home Goods"/>
    <x v="1"/>
    <s v="Bulk"/>
    <s v="Night"/>
    <s v="Experienced"/>
    <s v="Small Parts"/>
    <s v="Near"/>
    <n v="21"/>
    <s v="Wednesday"/>
    <s v="Medium (6-10)"/>
    <n v="1"/>
  </r>
  <r>
    <x v="1010"/>
    <x v="224"/>
    <x v="6"/>
    <s v="A"/>
    <s v="I0002"/>
    <d v="2026-09-16T18:33:00"/>
    <d v="2026-09-16T18:34:00"/>
    <n v="1"/>
    <n v="1"/>
    <b v="0"/>
    <b v="0"/>
    <b v="0"/>
    <n v="3"/>
    <s v="High"/>
    <d v="2026-09-16T15:59:00"/>
    <b v="0"/>
    <s v="Small Parts"/>
    <x v="0"/>
    <s v="Fragile"/>
    <s v="Night"/>
    <s v="Intermediate"/>
    <s v="Fast-Moving"/>
    <s v="Near"/>
    <n v="15"/>
    <s v="Wednesday"/>
    <s v="Small (1-5)"/>
    <n v="1"/>
  </r>
  <r>
    <x v="1011"/>
    <x v="79"/>
    <x v="19"/>
    <s v="E"/>
    <s v="I0057"/>
    <d v="2026-09-24T23:56:00"/>
    <d v="2026-09-24T23:57:00"/>
    <n v="1"/>
    <n v="1"/>
    <b v="0"/>
    <b v="0"/>
    <b v="0"/>
    <n v="15"/>
    <s v="Urgent"/>
    <d v="2026-09-24T23:31:00"/>
    <b v="0"/>
    <s v="Apparel"/>
    <x v="1"/>
    <s v="Bulk"/>
    <s v="Unknown"/>
    <s v="Experienced"/>
    <s v="Fast-Moving"/>
    <s v="Medium"/>
    <n v="23"/>
    <s v="Thursday"/>
    <s v="Large (11-20)"/>
    <n v="1"/>
  </r>
  <r>
    <x v="1012"/>
    <x v="11"/>
    <x v="19"/>
    <s v="A"/>
    <s v="I0025"/>
    <d v="2026-09-12T01:37:00"/>
    <d v="2026-09-12T01:37:00"/>
    <n v="2"/>
    <n v="0"/>
    <b v="0"/>
    <b v="0"/>
    <b v="0"/>
    <n v="20"/>
    <s v="Normal"/>
    <d v="2026-09-12T00:55:00"/>
    <b v="0"/>
    <s v="Home Goods"/>
    <x v="0"/>
    <s v="Fragile"/>
    <s v="Unknown"/>
    <s v="Experienced"/>
    <s v="Fast-Moving"/>
    <s v="Near"/>
    <n v="0"/>
    <s v="Saturday"/>
    <s v="Large (11-20)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MA37" firstHeaderRow="1" firstDataRow="2" firstDataCol="1" rowPageCount="1" colPageCount="1"/>
  <pivotFields count="27">
    <pivotField axis="axisCol" showAll="0">
      <items count="1014">
        <item x="386"/>
        <item x="389"/>
        <item x="37"/>
        <item x="383"/>
        <item x="687"/>
        <item x="688"/>
        <item x="526"/>
        <item x="387"/>
        <item x="13"/>
        <item x="96"/>
        <item x="907"/>
        <item x="188"/>
        <item x="872"/>
        <item x="5"/>
        <item x="790"/>
        <item x="44"/>
        <item x="791"/>
        <item x="388"/>
        <item x="789"/>
        <item x="904"/>
        <item x="966"/>
        <item x="965"/>
        <item x="668"/>
        <item x="801"/>
        <item x="799"/>
        <item x="999"/>
        <item x="800"/>
        <item x="34"/>
        <item x="1004"/>
        <item x="95"/>
        <item x="803"/>
        <item x="667"/>
        <item x="384"/>
        <item x="783"/>
        <item x="903"/>
        <item x="94"/>
        <item x="397"/>
        <item x="235"/>
        <item x="693"/>
        <item x="665"/>
        <item x="60"/>
        <item x="396"/>
        <item x="666"/>
        <item x="240"/>
        <item x="366"/>
        <item x="395"/>
        <item x="914"/>
        <item x="692"/>
        <item x="521"/>
        <item x="367"/>
        <item x="522"/>
        <item x="371"/>
        <item x="247"/>
        <item x="646"/>
        <item x="1001"/>
        <item x="372"/>
        <item x="414"/>
        <item x="647"/>
        <item x="868"/>
        <item x="710"/>
        <item x="981"/>
        <item x="210"/>
        <item x="28"/>
        <item x="120"/>
        <item x="1002"/>
        <item x="852"/>
        <item x="854"/>
        <item x="718"/>
        <item x="717"/>
        <item x="629"/>
        <item x="229"/>
        <item x="425"/>
        <item x="355"/>
        <item x="129"/>
        <item x="716"/>
        <item x="630"/>
        <item x="631"/>
        <item x="1010"/>
        <item x="55"/>
        <item x="884"/>
        <item x="605"/>
        <item x="345"/>
        <item x="606"/>
        <item x="346"/>
        <item x="1007"/>
        <item x="607"/>
        <item x="881"/>
        <item x="726"/>
        <item x="444"/>
        <item x="80"/>
        <item x="347"/>
        <item x="119"/>
        <item x="216"/>
        <item x="52"/>
        <item x="725"/>
        <item x="936"/>
        <item x="128"/>
        <item x="351"/>
        <item x="352"/>
        <item x="737"/>
        <item x="127"/>
        <item x="984"/>
        <item x="353"/>
        <item x="354"/>
        <item x="49"/>
        <item x="18"/>
        <item x="334"/>
        <item x="453"/>
        <item x="587"/>
        <item x="738"/>
        <item x="847"/>
        <item x="937"/>
        <item x="323"/>
        <item x="88"/>
        <item x="82"/>
        <item x="582"/>
        <item x="998"/>
        <item x="938"/>
        <item x="844"/>
        <item x="348"/>
        <item x="845"/>
        <item x="349"/>
        <item x="350"/>
        <item x="846"/>
        <item x="180"/>
        <item x="752"/>
        <item x="493"/>
        <item x="201"/>
        <item x="136"/>
        <item x="821"/>
        <item x="492"/>
        <item x="137"/>
        <item x="491"/>
        <item x="45"/>
        <item x="897"/>
        <item x="540"/>
        <item x="541"/>
        <item x="193"/>
        <item x="542"/>
        <item x="81"/>
        <item x="986"/>
        <item x="309"/>
        <item x="557"/>
        <item x="131"/>
        <item x="11"/>
        <item x="840"/>
        <item x="133"/>
        <item x="1012"/>
        <item x="479"/>
        <item x="324"/>
        <item x="818"/>
        <item x="500"/>
        <item x="325"/>
        <item x="763"/>
        <item x="499"/>
        <item x="48"/>
        <item x="199"/>
        <item x="772"/>
        <item x="564"/>
        <item x="470"/>
        <item x="17"/>
        <item x="993"/>
        <item x="1006"/>
        <item x="771"/>
        <item x="945"/>
        <item x="565"/>
        <item x="314"/>
        <item x="469"/>
        <item x="569"/>
        <item x="305"/>
        <item x="306"/>
        <item x="796"/>
        <item x="225"/>
        <item x="575"/>
        <item x="781"/>
        <item x="948"/>
        <item x="72"/>
        <item x="988"/>
        <item x="811"/>
        <item x="209"/>
        <item x="1005"/>
        <item x="780"/>
        <item x="117"/>
        <item x="31"/>
        <item x="208"/>
        <item x="950"/>
        <item x="597"/>
        <item x="598"/>
        <item x="205"/>
        <item x="776"/>
        <item x="291"/>
        <item x="7"/>
        <item x="905"/>
        <item x="307"/>
        <item x="73"/>
        <item x="946"/>
        <item x="599"/>
        <item x="447"/>
        <item x="600"/>
        <item x="601"/>
        <item x="407"/>
        <item x="712"/>
        <item x="922"/>
        <item x="941"/>
        <item x="857"/>
        <item x="641"/>
        <item x="416"/>
        <item x="956"/>
        <item x="642"/>
        <item x="643"/>
        <item x="958"/>
        <item x="415"/>
        <item x="925"/>
        <item x="957"/>
        <item x="644"/>
        <item x="154"/>
        <item x="698"/>
        <item x="277"/>
        <item x="292"/>
        <item x="697"/>
        <item x="507"/>
        <item x="929"/>
        <item x="520"/>
        <item x="506"/>
        <item x="33"/>
        <item x="977"/>
        <item x="410"/>
        <item x="27"/>
        <item x="930"/>
        <item x="653"/>
        <item x="683"/>
        <item x="516"/>
        <item x="682"/>
        <item x="151"/>
        <item x="511"/>
        <item x="255"/>
        <item x="681"/>
        <item x="165"/>
        <item x="680"/>
        <item x="517"/>
        <item x="510"/>
        <item x="164"/>
        <item x="700"/>
        <item x="509"/>
        <item x="508"/>
        <item x="243"/>
        <item x="429"/>
        <item x="428"/>
        <item x="617"/>
        <item x="830"/>
        <item x="427"/>
        <item x="618"/>
        <item x="619"/>
        <item x="251"/>
        <item x="826"/>
        <item x="620"/>
        <item x="746"/>
        <item x="272"/>
        <item x="252"/>
        <item x="893"/>
        <item x="827"/>
        <item x="62"/>
        <item x="593"/>
        <item x="1"/>
        <item x="35"/>
        <item x="594"/>
        <item x="169"/>
        <item x="202"/>
        <item x="256"/>
        <item x="595"/>
        <item x="819"/>
        <item x="26"/>
        <item x="450"/>
        <item x="449"/>
        <item x="448"/>
        <item x="949"/>
        <item x="947"/>
        <item x="566"/>
        <item x="118"/>
        <item x="204"/>
        <item x="567"/>
        <item x="568"/>
        <item x="12"/>
        <item x="901"/>
        <item x="288"/>
        <item x="944"/>
        <item x="465"/>
        <item x="769"/>
        <item x="768"/>
        <item x="300"/>
        <item x="23"/>
        <item x="817"/>
        <item x="813"/>
        <item x="124"/>
        <item x="197"/>
        <item x="482"/>
        <item x="551"/>
        <item x="1003"/>
        <item x="481"/>
        <item x="552"/>
        <item x="480"/>
        <item x="553"/>
        <item x="196"/>
        <item x="554"/>
        <item x="132"/>
        <item x="315"/>
        <item x="286"/>
        <item x="319"/>
        <item x="835"/>
        <item x="115"/>
        <item x="834"/>
        <item x="15"/>
        <item x="330"/>
        <item x="99"/>
        <item x="535"/>
        <item x="39"/>
        <item x="496"/>
        <item x="495"/>
        <item x="302"/>
        <item x="536"/>
        <item x="537"/>
        <item x="303"/>
        <item x="339"/>
        <item x="107"/>
        <item x="544"/>
        <item x="340"/>
        <item x="545"/>
        <item x="14"/>
        <item x="890"/>
        <item x="546"/>
        <item x="898"/>
        <item x="222"/>
        <item x="70"/>
        <item x="488"/>
        <item x="750"/>
        <item x="47"/>
        <item x="487"/>
        <item x="820"/>
        <item x="927"/>
        <item x="153"/>
        <item x="455"/>
        <item x="736"/>
        <item x="583"/>
        <item x="928"/>
        <item x="735"/>
        <item x="584"/>
        <item x="454"/>
        <item x="232"/>
        <item x="331"/>
        <item x="87"/>
        <item x="935"/>
        <item x="734"/>
        <item x="116"/>
        <item x="585"/>
        <item x="860"/>
        <item x="249"/>
        <item x="985"/>
        <item x="859"/>
        <item x="714"/>
        <item x="246"/>
        <item x="141"/>
        <item x="382"/>
        <item x="89"/>
        <item x="84"/>
        <item x="713"/>
        <item x="634"/>
        <item x="635"/>
        <item x="22"/>
        <item x="701"/>
        <item x="263"/>
        <item x="972"/>
        <item x="695"/>
        <item x="185"/>
        <item x="875"/>
        <item x="264"/>
        <item x="265"/>
        <item x="694"/>
        <item x="266"/>
        <item x="43"/>
        <item x="144"/>
        <item x="143"/>
        <item x="373"/>
        <item x="374"/>
        <item x="3"/>
        <item x="864"/>
        <item x="527"/>
        <item x="191"/>
        <item x="528"/>
        <item x="184"/>
        <item x="866"/>
        <item x="908"/>
        <item x="502"/>
        <item x="97"/>
        <item x="863"/>
        <item x="0"/>
        <item x="501"/>
        <item x="529"/>
        <item x="902"/>
        <item x="703"/>
        <item x="662"/>
        <item x="183"/>
        <item x="93"/>
        <item x="663"/>
        <item x="401"/>
        <item x="400"/>
        <item x="702"/>
        <item x="104"/>
        <item x="399"/>
        <item x="398"/>
        <item x="91"/>
        <item x="90"/>
        <item x="105"/>
        <item x="106"/>
        <item x="158"/>
        <item x="30"/>
        <item x="664"/>
        <item x="157"/>
        <item x="980"/>
        <item x="156"/>
        <item x="648"/>
        <item x="233"/>
        <item x="709"/>
        <item x="234"/>
        <item x="933"/>
        <item x="413"/>
        <item x="853"/>
        <item x="649"/>
        <item x="412"/>
        <item x="650"/>
        <item x="708"/>
        <item x="707"/>
        <item x="982"/>
        <item x="238"/>
        <item x="155"/>
        <item x="411"/>
        <item x="16"/>
        <item x="237"/>
        <item x="236"/>
        <item x="632"/>
        <item x="715"/>
        <item x="633"/>
        <item x="177"/>
        <item x="109"/>
        <item x="123"/>
        <item x="962"/>
        <item x="636"/>
        <item x="851"/>
        <item x="917"/>
        <item x="230"/>
        <item x="50"/>
        <item x="443"/>
        <item x="880"/>
        <item x="923"/>
        <item x="442"/>
        <item x="79"/>
        <item x="341"/>
        <item x="879"/>
        <item x="441"/>
        <item x="342"/>
        <item x="722"/>
        <item x="721"/>
        <item x="440"/>
        <item x="343"/>
        <item x="924"/>
        <item x="720"/>
        <item x="76"/>
        <item x="365"/>
        <item x="719"/>
        <item x="75"/>
        <item x="608"/>
        <item x="609"/>
        <item x="861"/>
        <item x="942"/>
        <item x="586"/>
        <item x="195"/>
        <item x="194"/>
        <item x="842"/>
        <item x="843"/>
        <item x="885"/>
        <item x="475"/>
        <item x="474"/>
        <item x="1011"/>
        <item x="832"/>
        <item x="747"/>
        <item x="473"/>
        <item x="100"/>
        <item x="561"/>
        <item x="181"/>
        <item x="967"/>
        <item x="562"/>
        <item x="332"/>
        <item x="333"/>
        <item x="831"/>
        <item x="968"/>
        <item x="472"/>
        <item x="46"/>
        <item x="19"/>
        <item x="471"/>
        <item x="563"/>
        <item x="108"/>
        <item x="489"/>
        <item x="825"/>
        <item x="486"/>
        <item x="485"/>
        <item x="316"/>
        <item x="896"/>
        <item x="317"/>
        <item x="824"/>
        <item x="135"/>
        <item x="200"/>
        <item x="224"/>
        <item x="318"/>
        <item x="547"/>
        <item x="996"/>
        <item x="533"/>
        <item x="497"/>
        <item x="223"/>
        <item x="534"/>
        <item x="756"/>
        <item x="9"/>
        <item x="494"/>
        <item x="304"/>
        <item x="538"/>
        <item x="539"/>
        <item x="220"/>
        <item x="219"/>
        <item x="213"/>
        <item x="764"/>
        <item x="550"/>
        <item x="218"/>
        <item x="995"/>
        <item x="483"/>
        <item x="163"/>
        <item x="203"/>
        <item x="68"/>
        <item x="287"/>
        <item x="555"/>
        <item x="59"/>
        <item x="812"/>
        <item x="58"/>
        <item x="556"/>
        <item x="770"/>
        <item x="952"/>
        <item x="809"/>
        <item x="468"/>
        <item x="467"/>
        <item x="466"/>
        <item x="806"/>
        <item x="301"/>
        <item x="987"/>
        <item x="576"/>
        <item x="577"/>
        <item x="951"/>
        <item x="77"/>
        <item x="273"/>
        <item x="274"/>
        <item x="779"/>
        <item x="64"/>
        <item x="275"/>
        <item x="578"/>
        <item x="140"/>
        <item x="778"/>
        <item x="461"/>
        <item x="777"/>
        <item x="460"/>
        <item x="32"/>
        <item x="139"/>
        <item x="63"/>
        <item x="579"/>
        <item x="963"/>
        <item x="53"/>
        <item x="459"/>
        <item x="231"/>
        <item x="774"/>
        <item x="458"/>
        <item x="773"/>
        <item x="592"/>
        <item x="757"/>
        <item x="285"/>
        <item x="807"/>
        <item x="596"/>
        <item x="808"/>
        <item x="943"/>
        <item x="439"/>
        <item x="257"/>
        <item x="254"/>
        <item x="1009"/>
        <item x="271"/>
        <item x="611"/>
        <item x="762"/>
        <item x="29"/>
        <item x="612"/>
        <item x="836"/>
        <item x="438"/>
        <item x="437"/>
        <item x="839"/>
        <item x="613"/>
        <item x="436"/>
        <item x="838"/>
        <item x="36"/>
        <item x="837"/>
        <item x="1000"/>
        <item x="435"/>
        <item x="142"/>
        <item x="430"/>
        <item x="253"/>
        <item x="745"/>
        <item x="744"/>
        <item x="173"/>
        <item x="638"/>
        <item x="6"/>
        <item x="926"/>
        <item x="245"/>
        <item x="882"/>
        <item x="421"/>
        <item x="278"/>
        <item x="172"/>
        <item x="241"/>
        <item x="730"/>
        <item x="729"/>
        <item x="978"/>
        <item x="639"/>
        <item x="420"/>
        <item x="159"/>
        <item x="279"/>
        <item x="419"/>
        <item x="418"/>
        <item x="728"/>
        <item x="417"/>
        <item x="640"/>
        <item x="406"/>
        <item x="939"/>
        <item x="405"/>
        <item x="54"/>
        <item x="56"/>
        <item x="921"/>
        <item x="244"/>
        <item x="858"/>
        <item x="270"/>
        <item x="404"/>
        <item x="955"/>
        <item x="657"/>
        <item x="848"/>
        <item x="934"/>
        <item x="658"/>
        <item x="403"/>
        <item x="259"/>
        <item x="849"/>
        <item x="258"/>
        <item x="850"/>
        <item x="518"/>
        <item x="519"/>
        <item x="915"/>
        <item x="166"/>
        <item x="167"/>
        <item x="976"/>
        <item x="699"/>
        <item x="675"/>
        <item x="676"/>
        <item x="686"/>
        <item x="391"/>
        <item x="281"/>
        <item x="677"/>
        <item x="282"/>
        <item x="168"/>
        <item x="913"/>
        <item x="242"/>
        <item x="390"/>
        <item x="283"/>
        <item x="513"/>
        <item x="284"/>
        <item x="40"/>
        <item x="871"/>
        <item x="276"/>
        <item x="975"/>
        <item x="685"/>
        <item x="512"/>
        <item x="514"/>
        <item x="515"/>
        <item x="239"/>
        <item x="684"/>
        <item x="912"/>
        <item x="206"/>
        <item x="293"/>
        <item x="160"/>
        <item x="294"/>
        <item x="931"/>
        <item x="161"/>
        <item x="295"/>
        <item x="296"/>
        <item x="67"/>
        <item x="696"/>
        <item x="654"/>
        <item x="655"/>
        <item x="69"/>
        <item x="409"/>
        <item x="280"/>
        <item x="408"/>
        <item x="171"/>
        <item x="876"/>
        <item x="170"/>
        <item x="961"/>
        <item x="57"/>
        <item x="940"/>
        <item x="297"/>
        <item x="212"/>
        <item x="856"/>
        <item x="298"/>
        <item x="656"/>
        <item x="960"/>
        <item x="727"/>
        <item x="877"/>
        <item x="616"/>
        <item x="621"/>
        <item x="743"/>
        <item x="622"/>
        <item x="623"/>
        <item x="624"/>
        <item x="162"/>
        <item x="742"/>
        <item x="215"/>
        <item x="828"/>
        <item x="741"/>
        <item x="625"/>
        <item x="426"/>
        <item x="610"/>
        <item x="740"/>
        <item x="829"/>
        <item x="299"/>
        <item x="761"/>
        <item x="221"/>
        <item x="614"/>
        <item x="434"/>
        <item x="433"/>
        <item x="760"/>
        <item x="833"/>
        <item x="432"/>
        <item x="615"/>
        <item x="759"/>
        <item x="758"/>
        <item x="2"/>
        <item x="431"/>
        <item x="900"/>
        <item x="74"/>
        <item x="451"/>
        <item x="591"/>
        <item x="889"/>
        <item x="289"/>
        <item x="888"/>
        <item x="290"/>
        <item x="906"/>
        <item x="464"/>
        <item x="126"/>
        <item x="463"/>
        <item x="989"/>
        <item x="810"/>
        <item x="994"/>
        <item x="574"/>
        <item x="775"/>
        <item x="227"/>
        <item x="954"/>
        <item x="798"/>
        <item x="797"/>
        <item x="308"/>
        <item x="226"/>
        <item x="782"/>
        <item x="207"/>
        <item x="198"/>
        <item x="462"/>
        <item x="457"/>
        <item x="580"/>
        <item x="456"/>
        <item x="310"/>
        <item x="804"/>
        <item x="134"/>
        <item x="311"/>
        <item x="953"/>
        <item x="312"/>
        <item x="313"/>
        <item x="805"/>
        <item x="4"/>
        <item x="816"/>
        <item x="570"/>
        <item x="20"/>
        <item x="78"/>
        <item x="571"/>
        <item x="125"/>
        <item x="24"/>
        <item x="112"/>
        <item x="572"/>
        <item x="111"/>
        <item x="767"/>
        <item x="815"/>
        <item x="573"/>
        <item x="21"/>
        <item x="192"/>
        <item x="320"/>
        <item x="321"/>
        <item x="548"/>
        <item x="766"/>
        <item x="1008"/>
        <item x="765"/>
        <item x="86"/>
        <item x="114"/>
        <item x="113"/>
        <item x="549"/>
        <item x="484"/>
        <item x="175"/>
        <item x="891"/>
        <item x="814"/>
        <item x="886"/>
        <item x="887"/>
        <item x="174"/>
        <item x="326"/>
        <item x="498"/>
        <item x="327"/>
        <item x="182"/>
        <item x="532"/>
        <item x="755"/>
        <item x="969"/>
        <item x="754"/>
        <item x="83"/>
        <item x="753"/>
        <item x="98"/>
        <item x="328"/>
        <item x="329"/>
        <item x="490"/>
        <item x="543"/>
        <item x="751"/>
        <item x="822"/>
        <item x="478"/>
        <item x="336"/>
        <item x="138"/>
        <item x="823"/>
        <item x="337"/>
        <item x="477"/>
        <item x="899"/>
        <item x="749"/>
        <item x="558"/>
        <item x="178"/>
        <item x="748"/>
        <item x="559"/>
        <item x="179"/>
        <item x="10"/>
        <item x="110"/>
        <item x="176"/>
        <item x="970"/>
        <item x="560"/>
        <item x="894"/>
        <item x="476"/>
        <item x="85"/>
        <item x="338"/>
        <item x="895"/>
        <item x="892"/>
        <item x="739"/>
        <item x="581"/>
        <item x="322"/>
        <item x="452"/>
        <item x="101"/>
        <item x="335"/>
        <item x="102"/>
        <item x="588"/>
        <item x="130"/>
        <item x="589"/>
        <item x="590"/>
        <item x="733"/>
        <item x="228"/>
        <item x="71"/>
        <item x="732"/>
        <item x="356"/>
        <item x="841"/>
        <item x="357"/>
        <item x="358"/>
        <item x="359"/>
        <item x="360"/>
        <item x="211"/>
        <item x="446"/>
        <item x="122"/>
        <item x="344"/>
        <item x="602"/>
        <item x="603"/>
        <item x="604"/>
        <item x="445"/>
        <item x="979"/>
        <item x="883"/>
        <item x="731"/>
        <item x="724"/>
        <item x="878"/>
        <item x="959"/>
        <item x="362"/>
        <item x="8"/>
        <item x="51"/>
        <item x="723"/>
        <item x="363"/>
        <item x="626"/>
        <item x="997"/>
        <item x="214"/>
        <item x="121"/>
        <item x="627"/>
        <item x="364"/>
        <item x="628"/>
        <item x="855"/>
        <item x="424"/>
        <item x="368"/>
        <item x="369"/>
        <item x="65"/>
        <item x="423"/>
        <item x="66"/>
        <item x="932"/>
        <item x="637"/>
        <item x="711"/>
        <item x="422"/>
        <item x="61"/>
        <item x="370"/>
        <item x="645"/>
        <item x="152"/>
        <item x="706"/>
        <item x="217"/>
        <item x="361"/>
        <item x="651"/>
        <item x="375"/>
        <item x="376"/>
        <item x="920"/>
        <item x="919"/>
        <item x="652"/>
        <item x="377"/>
        <item x="705"/>
        <item x="248"/>
        <item x="916"/>
        <item x="704"/>
        <item x="378"/>
        <item x="659"/>
        <item x="379"/>
        <item x="974"/>
        <item x="145"/>
        <item x="983"/>
        <item x="660"/>
        <item x="380"/>
        <item x="402"/>
        <item x="250"/>
        <item x="661"/>
        <item x="918"/>
        <item x="869"/>
        <item x="146"/>
        <item x="381"/>
        <item x="873"/>
        <item x="874"/>
        <item x="523"/>
        <item x="524"/>
        <item x="691"/>
        <item x="690"/>
        <item x="92"/>
        <item x="862"/>
        <item x="505"/>
        <item x="689"/>
        <item x="911"/>
        <item x="190"/>
        <item x="260"/>
        <item x="910"/>
        <item x="973"/>
        <item x="504"/>
        <item x="267"/>
        <item x="150"/>
        <item x="909"/>
        <item x="865"/>
        <item x="147"/>
        <item x="503"/>
        <item x="971"/>
        <item x="679"/>
        <item x="785"/>
        <item x="802"/>
        <item x="268"/>
        <item x="148"/>
        <item x="784"/>
        <item x="269"/>
        <item x="990"/>
        <item x="530"/>
        <item x="103"/>
        <item x="795"/>
        <item x="788"/>
        <item x="787"/>
        <item x="672"/>
        <item x="792"/>
        <item x="261"/>
        <item x="41"/>
        <item x="42"/>
        <item x="393"/>
        <item x="262"/>
        <item x="786"/>
        <item x="673"/>
        <item x="992"/>
        <item x="870"/>
        <item x="189"/>
        <item x="669"/>
        <item x="670"/>
        <item x="794"/>
        <item x="186"/>
        <item x="991"/>
        <item x="793"/>
        <item x="187"/>
        <item x="38"/>
        <item x="671"/>
        <item x="394"/>
        <item x="964"/>
        <item x="678"/>
        <item x="867"/>
        <item x="525"/>
        <item x="149"/>
        <item x="25"/>
        <item x="392"/>
        <item x="674"/>
        <item x="385"/>
        <item x="531"/>
        <item t="default"/>
      </items>
    </pivotField>
    <pivotField axis="axisPage" showAll="0">
      <items count="253">
        <item x="183"/>
        <item x="34"/>
        <item x="234"/>
        <item x="13"/>
        <item x="78"/>
        <item x="5"/>
        <item x="229"/>
        <item x="242"/>
        <item x="32"/>
        <item x="182"/>
        <item x="77"/>
        <item x="51"/>
        <item x="146"/>
        <item x="148"/>
        <item x="178"/>
        <item x="27"/>
        <item x="90"/>
        <item x="248"/>
        <item x="223"/>
        <item x="95"/>
        <item x="237"/>
        <item x="224"/>
        <item x="47"/>
        <item x="238"/>
        <item x="44"/>
        <item x="94"/>
        <item x="18"/>
        <item x="73"/>
        <item x="67"/>
        <item x="172"/>
        <item x="124"/>
        <item x="98"/>
        <item x="244"/>
        <item x="99"/>
        <item x="40"/>
        <item x="66"/>
        <item x="11"/>
        <item x="169"/>
        <item x="42"/>
        <item x="17"/>
        <item x="215"/>
        <item x="167"/>
        <item x="140"/>
        <item x="62"/>
        <item x="30"/>
        <item x="7"/>
        <item x="63"/>
        <item x="249"/>
        <item x="199"/>
        <item x="219"/>
        <item x="187"/>
        <item x="191"/>
        <item x="190"/>
        <item x="108"/>
        <item x="211"/>
        <item x="26"/>
        <item x="227"/>
        <item x="106"/>
        <item x="233"/>
        <item x="115"/>
        <item x="193"/>
        <item x="192"/>
        <item x="150"/>
        <item x="151"/>
        <item x="53"/>
        <item x="1"/>
        <item x="118"/>
        <item x="25"/>
        <item x="200"/>
        <item x="89"/>
        <item x="12"/>
        <item x="163"/>
        <item x="203"/>
        <item x="23"/>
        <item x="207"/>
        <item x="132"/>
        <item x="87"/>
        <item x="15"/>
        <item x="166"/>
        <item x="82"/>
        <item x="14"/>
        <item x="41"/>
        <item x="107"/>
        <item x="217"/>
        <item x="72"/>
        <item x="88"/>
        <item x="69"/>
        <item x="225"/>
        <item x="22"/>
        <item x="235"/>
        <item x="154"/>
        <item x="127"/>
        <item x="155"/>
        <item x="156"/>
        <item x="39"/>
        <item x="102"/>
        <item x="179"/>
        <item x="3"/>
        <item x="212"/>
        <item x="126"/>
        <item x="0"/>
        <item x="213"/>
        <item x="76"/>
        <item x="74"/>
        <item x="29"/>
        <item x="110"/>
        <item x="144"/>
        <item x="189"/>
        <item x="188"/>
        <item x="226"/>
        <item x="236"/>
        <item x="109"/>
        <item x="16"/>
        <item x="145"/>
        <item x="84"/>
        <item x="142"/>
        <item x="43"/>
        <item x="197"/>
        <item x="65"/>
        <item x="64"/>
        <item x="131"/>
        <item x="206"/>
        <item x="79"/>
        <item x="251"/>
        <item x="170"/>
        <item x="19"/>
        <item x="83"/>
        <item x="208"/>
        <item x="168"/>
        <item x="97"/>
        <item x="214"/>
        <item x="9"/>
        <item x="137"/>
        <item x="59"/>
        <item x="50"/>
        <item x="205"/>
        <item x="204"/>
        <item x="165"/>
        <item x="216"/>
        <item x="250"/>
        <item x="55"/>
        <item x="31"/>
        <item x="54"/>
        <item x="45"/>
        <item x="143"/>
        <item x="202"/>
        <item x="239"/>
        <item x="162"/>
        <item x="152"/>
        <item x="158"/>
        <item x="28"/>
        <item x="221"/>
        <item x="196"/>
        <item x="246"/>
        <item x="33"/>
        <item x="101"/>
        <item x="6"/>
        <item x="121"/>
        <item x="111"/>
        <item x="160"/>
        <item x="46"/>
        <item x="48"/>
        <item x="147"/>
        <item x="228"/>
        <item x="247"/>
        <item x="186"/>
        <item x="153"/>
        <item x="116"/>
        <item x="117"/>
        <item x="232"/>
        <item x="184"/>
        <item x="161"/>
        <item x="36"/>
        <item x="159"/>
        <item x="134"/>
        <item x="112"/>
        <item x="113"/>
        <item x="58"/>
        <item x="60"/>
        <item x="120"/>
        <item x="119"/>
        <item x="49"/>
        <item x="136"/>
        <item x="222"/>
        <item x="114"/>
        <item x="138"/>
        <item x="139"/>
        <item x="195"/>
        <item x="194"/>
        <item x="2"/>
        <item x="164"/>
        <item x="93"/>
        <item x="141"/>
        <item x="135"/>
        <item x="133"/>
        <item x="201"/>
        <item x="96"/>
        <item x="4"/>
        <item x="243"/>
        <item x="20"/>
        <item x="86"/>
        <item x="21"/>
        <item x="71"/>
        <item x="123"/>
        <item x="122"/>
        <item x="125"/>
        <item x="68"/>
        <item x="100"/>
        <item x="245"/>
        <item x="171"/>
        <item x="10"/>
        <item x="85"/>
        <item x="70"/>
        <item x="80"/>
        <item x="218"/>
        <item x="61"/>
        <item x="173"/>
        <item x="174"/>
        <item x="175"/>
        <item x="92"/>
        <item x="220"/>
        <item x="198"/>
        <item x="177"/>
        <item x="8"/>
        <item x="91"/>
        <item x="56"/>
        <item x="57"/>
        <item x="52"/>
        <item x="176"/>
        <item x="180"/>
        <item x="149"/>
        <item x="181"/>
        <item x="103"/>
        <item x="104"/>
        <item x="75"/>
        <item x="210"/>
        <item x="130"/>
        <item x="105"/>
        <item x="209"/>
        <item x="157"/>
        <item x="81"/>
        <item x="37"/>
        <item x="38"/>
        <item x="129"/>
        <item x="230"/>
        <item x="231"/>
        <item x="241"/>
        <item x="128"/>
        <item x="240"/>
        <item x="35"/>
        <item x="185"/>
        <item x="24"/>
        <item t="default"/>
      </items>
    </pivotField>
    <pivotField axis="axisRow" showAll="0">
      <items count="33">
        <item x="13"/>
        <item x="10"/>
        <item x="16"/>
        <item x="8"/>
        <item x="9"/>
        <item x="3"/>
        <item x="17"/>
        <item x="1"/>
        <item x="31"/>
        <item x="24"/>
        <item x="26"/>
        <item x="0"/>
        <item x="23"/>
        <item x="15"/>
        <item x="4"/>
        <item x="21"/>
        <item x="28"/>
        <item x="22"/>
        <item x="11"/>
        <item x="18"/>
        <item x="6"/>
        <item x="12"/>
        <item x="5"/>
        <item x="30"/>
        <item x="29"/>
        <item x="20"/>
        <item x="7"/>
        <item x="25"/>
        <item x="27"/>
        <item x="14"/>
        <item x="19"/>
        <item x="2"/>
        <item t="default"/>
      </items>
    </pivotField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0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 t="grand">
      <x/>
    </i>
  </colItems>
  <pageFields count="1">
    <pageField fld="1" hier="-1"/>
  </pageFields>
  <dataFields count="1">
    <dataField name="Count of size" fld="17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2" customWidth="1"/>
    <col min="2" max="2" width="40" customWidth="1"/>
    <col min="3" max="4" width="48" customWidth="1"/>
  </cols>
  <sheetData>
    <row r="1" spans="1:4" ht="28.05" customHeight="1" x14ac:dyDescent="0.4">
      <c r="A1" s="10" t="s">
        <v>0</v>
      </c>
      <c r="B1" s="11"/>
      <c r="C1" s="11"/>
      <c r="D1" s="11"/>
    </row>
    <row r="2" spans="1:4" x14ac:dyDescent="0.3">
      <c r="A2" s="12" t="s">
        <v>1</v>
      </c>
      <c r="B2" s="11"/>
      <c r="C2" s="11"/>
      <c r="D2" s="11"/>
    </row>
    <row r="4" spans="1:4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ht="48" customHeight="1" x14ac:dyDescent="0.3">
      <c r="A5" s="5" t="s">
        <v>6</v>
      </c>
      <c r="B5" s="5" t="s">
        <v>7</v>
      </c>
      <c r="C5" s="5" t="s">
        <v>8</v>
      </c>
      <c r="D5" s="5" t="s">
        <v>9</v>
      </c>
    </row>
    <row r="6" spans="1:4" ht="48" customHeight="1" x14ac:dyDescent="0.3">
      <c r="A6" s="5" t="s">
        <v>10</v>
      </c>
      <c r="B6" s="5" t="s">
        <v>11</v>
      </c>
      <c r="C6" s="5" t="s">
        <v>12</v>
      </c>
      <c r="D6" s="5" t="s">
        <v>13</v>
      </c>
    </row>
    <row r="7" spans="1:4" ht="48" customHeight="1" x14ac:dyDescent="0.3">
      <c r="A7" s="5" t="s">
        <v>14</v>
      </c>
      <c r="B7" s="5" t="s">
        <v>15</v>
      </c>
      <c r="C7" s="5" t="s">
        <v>16</v>
      </c>
      <c r="D7" s="5" t="s">
        <v>17</v>
      </c>
    </row>
    <row r="8" spans="1:4" ht="48" customHeight="1" x14ac:dyDescent="0.3">
      <c r="A8" s="5" t="s">
        <v>18</v>
      </c>
      <c r="B8" s="5" t="s">
        <v>19</v>
      </c>
      <c r="C8" s="5" t="s">
        <v>20</v>
      </c>
      <c r="D8" s="5" t="s">
        <v>21</v>
      </c>
    </row>
    <row r="9" spans="1:4" ht="48" customHeight="1" x14ac:dyDescent="0.3">
      <c r="A9" s="5" t="s">
        <v>22</v>
      </c>
      <c r="B9" s="5" t="s">
        <v>23</v>
      </c>
      <c r="C9" s="5" t="s">
        <v>24</v>
      </c>
      <c r="D9" s="5" t="s">
        <v>25</v>
      </c>
    </row>
    <row r="10" spans="1:4" ht="48" customHeight="1" x14ac:dyDescent="0.3">
      <c r="A10" s="5" t="s">
        <v>26</v>
      </c>
      <c r="B10" s="5" t="s">
        <v>27</v>
      </c>
      <c r="C10" s="5" t="s">
        <v>28</v>
      </c>
      <c r="D10" s="5" t="s">
        <v>29</v>
      </c>
    </row>
    <row r="11" spans="1:4" ht="48" customHeight="1" x14ac:dyDescent="0.3">
      <c r="A11" s="5" t="s">
        <v>30</v>
      </c>
      <c r="B11" s="5" t="s">
        <v>31</v>
      </c>
      <c r="C11" s="5" t="s">
        <v>32</v>
      </c>
      <c r="D11" s="5" t="s">
        <v>33</v>
      </c>
    </row>
    <row r="12" spans="1:4" ht="48" customHeight="1" x14ac:dyDescent="0.3">
      <c r="A12" s="5" t="s">
        <v>34</v>
      </c>
      <c r="B12" s="5" t="s">
        <v>35</v>
      </c>
      <c r="C12" s="5" t="s">
        <v>36</v>
      </c>
      <c r="D12" s="5" t="s">
        <v>37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A37"/>
  <sheetViews>
    <sheetView workbookViewId="0">
      <selection activeCell="K14" sqref="K1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1014" width="8.109375" bestFit="1" customWidth="1"/>
    <col min="1015" max="1015" width="10.77734375" bestFit="1" customWidth="1"/>
  </cols>
  <sheetData>
    <row r="1" spans="1:1015" x14ac:dyDescent="0.3">
      <c r="A1" s="2" t="s">
        <v>38</v>
      </c>
      <c r="B1" t="s">
        <v>39</v>
      </c>
    </row>
    <row r="3" spans="1:1015" x14ac:dyDescent="0.3">
      <c r="A3" s="2" t="s">
        <v>40</v>
      </c>
      <c r="B3" s="2" t="s">
        <v>41</v>
      </c>
    </row>
    <row r="4" spans="1:1015" x14ac:dyDescent="0.3">
      <c r="A4" s="2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76</v>
      </c>
      <c r="AJ4" t="s">
        <v>77</v>
      </c>
      <c r="AK4" t="s">
        <v>78</v>
      </c>
      <c r="AL4" t="s">
        <v>79</v>
      </c>
      <c r="AM4" t="s">
        <v>80</v>
      </c>
      <c r="AN4" t="s">
        <v>81</v>
      </c>
      <c r="AO4" t="s">
        <v>82</v>
      </c>
      <c r="AP4" t="s">
        <v>83</v>
      </c>
      <c r="AQ4" t="s">
        <v>84</v>
      </c>
      <c r="AR4" t="s">
        <v>85</v>
      </c>
      <c r="AS4" t="s">
        <v>86</v>
      </c>
      <c r="AT4" t="s">
        <v>87</v>
      </c>
      <c r="AU4" t="s">
        <v>88</v>
      </c>
      <c r="AV4" t="s">
        <v>89</v>
      </c>
      <c r="AW4" t="s">
        <v>90</v>
      </c>
      <c r="AX4" t="s">
        <v>91</v>
      </c>
      <c r="AY4" t="s">
        <v>92</v>
      </c>
      <c r="AZ4" t="s">
        <v>93</v>
      </c>
      <c r="BA4" t="s">
        <v>94</v>
      </c>
      <c r="BB4" t="s">
        <v>95</v>
      </c>
      <c r="BC4" t="s">
        <v>96</v>
      </c>
      <c r="BD4" t="s">
        <v>97</v>
      </c>
      <c r="BE4" t="s">
        <v>98</v>
      </c>
      <c r="BF4" t="s">
        <v>99</v>
      </c>
      <c r="BG4" t="s">
        <v>100</v>
      </c>
      <c r="BH4" t="s">
        <v>101</v>
      </c>
      <c r="BI4" t="s">
        <v>102</v>
      </c>
      <c r="BJ4" t="s">
        <v>103</v>
      </c>
      <c r="BK4" t="s">
        <v>104</v>
      </c>
      <c r="BL4" t="s">
        <v>105</v>
      </c>
      <c r="BM4" t="s">
        <v>106</v>
      </c>
      <c r="BN4" t="s">
        <v>107</v>
      </c>
      <c r="BO4" t="s">
        <v>108</v>
      </c>
      <c r="BP4" t="s">
        <v>109</v>
      </c>
      <c r="BQ4" t="s">
        <v>110</v>
      </c>
      <c r="BR4" t="s">
        <v>111</v>
      </c>
      <c r="BS4" t="s">
        <v>112</v>
      </c>
      <c r="BT4" t="s">
        <v>113</v>
      </c>
      <c r="BU4" t="s">
        <v>114</v>
      </c>
      <c r="BV4" t="s">
        <v>115</v>
      </c>
      <c r="BW4" t="s">
        <v>116</v>
      </c>
      <c r="BX4" t="s">
        <v>117</v>
      </c>
      <c r="BY4" t="s">
        <v>118</v>
      </c>
      <c r="BZ4" t="s">
        <v>119</v>
      </c>
      <c r="CA4" t="s">
        <v>120</v>
      </c>
      <c r="CB4" t="s">
        <v>121</v>
      </c>
      <c r="CC4" t="s">
        <v>122</v>
      </c>
      <c r="CD4" t="s">
        <v>123</v>
      </c>
      <c r="CE4" t="s">
        <v>124</v>
      </c>
      <c r="CF4" t="s">
        <v>125</v>
      </c>
      <c r="CG4" t="s">
        <v>126</v>
      </c>
      <c r="CH4" t="s">
        <v>127</v>
      </c>
      <c r="CI4" t="s">
        <v>128</v>
      </c>
      <c r="CJ4" t="s">
        <v>129</v>
      </c>
      <c r="CK4" t="s">
        <v>130</v>
      </c>
      <c r="CL4" t="s">
        <v>131</v>
      </c>
      <c r="CM4" t="s">
        <v>132</v>
      </c>
      <c r="CN4" t="s">
        <v>133</v>
      </c>
      <c r="CO4" t="s">
        <v>134</v>
      </c>
      <c r="CP4" t="s">
        <v>135</v>
      </c>
      <c r="CQ4" t="s">
        <v>136</v>
      </c>
      <c r="CR4" t="s">
        <v>137</v>
      </c>
      <c r="CS4" t="s">
        <v>138</v>
      </c>
      <c r="CT4" t="s">
        <v>139</v>
      </c>
      <c r="CU4" t="s">
        <v>140</v>
      </c>
      <c r="CV4" t="s">
        <v>141</v>
      </c>
      <c r="CW4" t="s">
        <v>142</v>
      </c>
      <c r="CX4" t="s">
        <v>143</v>
      </c>
      <c r="CY4" t="s">
        <v>144</v>
      </c>
      <c r="CZ4" t="s">
        <v>145</v>
      </c>
      <c r="DA4" t="s">
        <v>146</v>
      </c>
      <c r="DB4" t="s">
        <v>147</v>
      </c>
      <c r="DC4" t="s">
        <v>148</v>
      </c>
      <c r="DD4" t="s">
        <v>149</v>
      </c>
      <c r="DE4" t="s">
        <v>150</v>
      </c>
      <c r="DF4" t="s">
        <v>151</v>
      </c>
      <c r="DG4" t="s">
        <v>152</v>
      </c>
      <c r="DH4" t="s">
        <v>153</v>
      </c>
      <c r="DI4" t="s">
        <v>154</v>
      </c>
      <c r="DJ4" t="s">
        <v>155</v>
      </c>
      <c r="DK4" t="s">
        <v>156</v>
      </c>
      <c r="DL4" t="s">
        <v>157</v>
      </c>
      <c r="DM4" t="s">
        <v>158</v>
      </c>
      <c r="DN4" t="s">
        <v>159</v>
      </c>
      <c r="DO4" t="s">
        <v>160</v>
      </c>
      <c r="DP4" t="s">
        <v>161</v>
      </c>
      <c r="DQ4" t="s">
        <v>162</v>
      </c>
      <c r="DR4" t="s">
        <v>163</v>
      </c>
      <c r="DS4" t="s">
        <v>164</v>
      </c>
      <c r="DT4" t="s">
        <v>165</v>
      </c>
      <c r="DU4" t="s">
        <v>166</v>
      </c>
      <c r="DV4" t="s">
        <v>167</v>
      </c>
      <c r="DW4" t="s">
        <v>168</v>
      </c>
      <c r="DX4" t="s">
        <v>169</v>
      </c>
      <c r="DY4" t="s">
        <v>170</v>
      </c>
      <c r="DZ4" t="s">
        <v>171</v>
      </c>
      <c r="EA4" t="s">
        <v>172</v>
      </c>
      <c r="EB4" t="s">
        <v>173</v>
      </c>
      <c r="EC4" t="s">
        <v>174</v>
      </c>
      <c r="ED4" t="s">
        <v>175</v>
      </c>
      <c r="EE4" t="s">
        <v>176</v>
      </c>
      <c r="EF4" t="s">
        <v>177</v>
      </c>
      <c r="EG4" t="s">
        <v>178</v>
      </c>
      <c r="EH4" t="s">
        <v>179</v>
      </c>
      <c r="EI4" t="s">
        <v>180</v>
      </c>
      <c r="EJ4" t="s">
        <v>181</v>
      </c>
      <c r="EK4" t="s">
        <v>182</v>
      </c>
      <c r="EL4" t="s">
        <v>183</v>
      </c>
      <c r="EM4" t="s">
        <v>184</v>
      </c>
      <c r="EN4" t="s">
        <v>185</v>
      </c>
      <c r="EO4" t="s">
        <v>186</v>
      </c>
      <c r="EP4" t="s">
        <v>187</v>
      </c>
      <c r="EQ4" t="s">
        <v>188</v>
      </c>
      <c r="ER4" t="s">
        <v>189</v>
      </c>
      <c r="ES4" t="s">
        <v>190</v>
      </c>
      <c r="ET4" t="s">
        <v>191</v>
      </c>
      <c r="EU4" t="s">
        <v>192</v>
      </c>
      <c r="EV4" t="s">
        <v>193</v>
      </c>
      <c r="EW4" t="s">
        <v>194</v>
      </c>
      <c r="EX4" t="s">
        <v>195</v>
      </c>
      <c r="EY4" t="s">
        <v>196</v>
      </c>
      <c r="EZ4" t="s">
        <v>197</v>
      </c>
      <c r="FA4" t="s">
        <v>198</v>
      </c>
      <c r="FB4" t="s">
        <v>199</v>
      </c>
      <c r="FC4" t="s">
        <v>200</v>
      </c>
      <c r="FD4" t="s">
        <v>201</v>
      </c>
      <c r="FE4" t="s">
        <v>202</v>
      </c>
      <c r="FF4" t="s">
        <v>203</v>
      </c>
      <c r="FG4" t="s">
        <v>204</v>
      </c>
      <c r="FH4" t="s">
        <v>205</v>
      </c>
      <c r="FI4" t="s">
        <v>206</v>
      </c>
      <c r="FJ4" t="s">
        <v>207</v>
      </c>
      <c r="FK4" t="s">
        <v>208</v>
      </c>
      <c r="FL4" t="s">
        <v>209</v>
      </c>
      <c r="FM4" t="s">
        <v>210</v>
      </c>
      <c r="FN4" t="s">
        <v>211</v>
      </c>
      <c r="FO4" t="s">
        <v>212</v>
      </c>
      <c r="FP4" t="s">
        <v>213</v>
      </c>
      <c r="FQ4" t="s">
        <v>214</v>
      </c>
      <c r="FR4" t="s">
        <v>215</v>
      </c>
      <c r="FS4" t="s">
        <v>216</v>
      </c>
      <c r="FT4" t="s">
        <v>217</v>
      </c>
      <c r="FU4" t="s">
        <v>218</v>
      </c>
      <c r="FV4" t="s">
        <v>219</v>
      </c>
      <c r="FW4" t="s">
        <v>220</v>
      </c>
      <c r="FX4" t="s">
        <v>221</v>
      </c>
      <c r="FY4" t="s">
        <v>222</v>
      </c>
      <c r="FZ4" t="s">
        <v>223</v>
      </c>
      <c r="GA4" t="s">
        <v>224</v>
      </c>
      <c r="GB4" t="s">
        <v>225</v>
      </c>
      <c r="GC4" t="s">
        <v>226</v>
      </c>
      <c r="GD4" t="s">
        <v>227</v>
      </c>
      <c r="GE4" t="s">
        <v>228</v>
      </c>
      <c r="GF4" t="s">
        <v>229</v>
      </c>
      <c r="GG4" t="s">
        <v>230</v>
      </c>
      <c r="GH4" t="s">
        <v>231</v>
      </c>
      <c r="GI4" t="s">
        <v>232</v>
      </c>
      <c r="GJ4" t="s">
        <v>233</v>
      </c>
      <c r="GK4" t="s">
        <v>234</v>
      </c>
      <c r="GL4" t="s">
        <v>235</v>
      </c>
      <c r="GM4" t="s">
        <v>236</v>
      </c>
      <c r="GN4" t="s">
        <v>237</v>
      </c>
      <c r="GO4" t="s">
        <v>238</v>
      </c>
      <c r="GP4" t="s">
        <v>239</v>
      </c>
      <c r="GQ4" t="s">
        <v>240</v>
      </c>
      <c r="GR4" t="s">
        <v>241</v>
      </c>
      <c r="GS4" t="s">
        <v>242</v>
      </c>
      <c r="GT4" t="s">
        <v>243</v>
      </c>
      <c r="GU4" t="s">
        <v>244</v>
      </c>
      <c r="GV4" t="s">
        <v>245</v>
      </c>
      <c r="GW4" t="s">
        <v>246</v>
      </c>
      <c r="GX4" t="s">
        <v>247</v>
      </c>
      <c r="GY4" t="s">
        <v>248</v>
      </c>
      <c r="GZ4" t="s">
        <v>249</v>
      </c>
      <c r="HA4" t="s">
        <v>250</v>
      </c>
      <c r="HB4" t="s">
        <v>251</v>
      </c>
      <c r="HC4" t="s">
        <v>252</v>
      </c>
      <c r="HD4" t="s">
        <v>253</v>
      </c>
      <c r="HE4" t="s">
        <v>254</v>
      </c>
      <c r="HF4" t="s">
        <v>255</v>
      </c>
      <c r="HG4" t="s">
        <v>256</v>
      </c>
      <c r="HH4" t="s">
        <v>257</v>
      </c>
      <c r="HI4" t="s">
        <v>258</v>
      </c>
      <c r="HJ4" t="s">
        <v>259</v>
      </c>
      <c r="HK4" t="s">
        <v>260</v>
      </c>
      <c r="HL4" t="s">
        <v>261</v>
      </c>
      <c r="HM4" t="s">
        <v>262</v>
      </c>
      <c r="HN4" t="s">
        <v>263</v>
      </c>
      <c r="HO4" t="s">
        <v>264</v>
      </c>
      <c r="HP4" t="s">
        <v>265</v>
      </c>
      <c r="HQ4" t="s">
        <v>266</v>
      </c>
      <c r="HR4" t="s">
        <v>267</v>
      </c>
      <c r="HS4" t="s">
        <v>268</v>
      </c>
      <c r="HT4" t="s">
        <v>269</v>
      </c>
      <c r="HU4" t="s">
        <v>270</v>
      </c>
      <c r="HV4" t="s">
        <v>271</v>
      </c>
      <c r="HW4" t="s">
        <v>272</v>
      </c>
      <c r="HX4" t="s">
        <v>273</v>
      </c>
      <c r="HY4" t="s">
        <v>274</v>
      </c>
      <c r="HZ4" t="s">
        <v>275</v>
      </c>
      <c r="IA4" t="s">
        <v>276</v>
      </c>
      <c r="IB4" t="s">
        <v>277</v>
      </c>
      <c r="IC4" t="s">
        <v>278</v>
      </c>
      <c r="ID4" t="s">
        <v>279</v>
      </c>
      <c r="IE4" t="s">
        <v>280</v>
      </c>
      <c r="IF4" t="s">
        <v>281</v>
      </c>
      <c r="IG4" t="s">
        <v>282</v>
      </c>
      <c r="IH4" t="s">
        <v>283</v>
      </c>
      <c r="II4" t="s">
        <v>284</v>
      </c>
      <c r="IJ4" t="s">
        <v>285</v>
      </c>
      <c r="IK4" t="s">
        <v>286</v>
      </c>
      <c r="IL4" t="s">
        <v>287</v>
      </c>
      <c r="IM4" t="s">
        <v>288</v>
      </c>
      <c r="IN4" t="s">
        <v>289</v>
      </c>
      <c r="IO4" t="s">
        <v>290</v>
      </c>
      <c r="IP4" t="s">
        <v>291</v>
      </c>
      <c r="IQ4" t="s">
        <v>292</v>
      </c>
      <c r="IR4" t="s">
        <v>293</v>
      </c>
      <c r="IS4" t="s">
        <v>294</v>
      </c>
      <c r="IT4" t="s">
        <v>295</v>
      </c>
      <c r="IU4" t="s">
        <v>296</v>
      </c>
      <c r="IV4" t="s">
        <v>297</v>
      </c>
      <c r="IW4" t="s">
        <v>298</v>
      </c>
      <c r="IX4" t="s">
        <v>299</v>
      </c>
      <c r="IY4" t="s">
        <v>300</v>
      </c>
      <c r="IZ4" t="s">
        <v>301</v>
      </c>
      <c r="JA4" t="s">
        <v>302</v>
      </c>
      <c r="JB4" t="s">
        <v>303</v>
      </c>
      <c r="JC4" t="s">
        <v>304</v>
      </c>
      <c r="JD4" t="s">
        <v>305</v>
      </c>
      <c r="JE4" t="s">
        <v>306</v>
      </c>
      <c r="JF4" t="s">
        <v>307</v>
      </c>
      <c r="JG4" t="s">
        <v>308</v>
      </c>
      <c r="JH4" t="s">
        <v>309</v>
      </c>
      <c r="JI4" t="s">
        <v>310</v>
      </c>
      <c r="JJ4" t="s">
        <v>311</v>
      </c>
      <c r="JK4" t="s">
        <v>312</v>
      </c>
      <c r="JL4" t="s">
        <v>313</v>
      </c>
      <c r="JM4" t="s">
        <v>314</v>
      </c>
      <c r="JN4" t="s">
        <v>315</v>
      </c>
      <c r="JO4" t="s">
        <v>316</v>
      </c>
      <c r="JP4" t="s">
        <v>317</v>
      </c>
      <c r="JQ4" t="s">
        <v>318</v>
      </c>
      <c r="JR4" t="s">
        <v>319</v>
      </c>
      <c r="JS4" t="s">
        <v>320</v>
      </c>
      <c r="JT4" t="s">
        <v>321</v>
      </c>
      <c r="JU4" t="s">
        <v>322</v>
      </c>
      <c r="JV4" t="s">
        <v>323</v>
      </c>
      <c r="JW4" t="s">
        <v>324</v>
      </c>
      <c r="JX4" t="s">
        <v>325</v>
      </c>
      <c r="JY4" t="s">
        <v>326</v>
      </c>
      <c r="JZ4" t="s">
        <v>327</v>
      </c>
      <c r="KA4" t="s">
        <v>328</v>
      </c>
      <c r="KB4" t="s">
        <v>329</v>
      </c>
      <c r="KC4" t="s">
        <v>330</v>
      </c>
      <c r="KD4" t="s">
        <v>331</v>
      </c>
      <c r="KE4" t="s">
        <v>332</v>
      </c>
      <c r="KF4" t="s">
        <v>333</v>
      </c>
      <c r="KG4" t="s">
        <v>334</v>
      </c>
      <c r="KH4" t="s">
        <v>335</v>
      </c>
      <c r="KI4" t="s">
        <v>336</v>
      </c>
      <c r="KJ4" t="s">
        <v>337</v>
      </c>
      <c r="KK4" t="s">
        <v>338</v>
      </c>
      <c r="KL4" t="s">
        <v>339</v>
      </c>
      <c r="KM4" t="s">
        <v>340</v>
      </c>
      <c r="KN4" t="s">
        <v>341</v>
      </c>
      <c r="KO4" t="s">
        <v>342</v>
      </c>
      <c r="KP4" t="s">
        <v>343</v>
      </c>
      <c r="KQ4" t="s">
        <v>344</v>
      </c>
      <c r="KR4" t="s">
        <v>345</v>
      </c>
      <c r="KS4" t="s">
        <v>346</v>
      </c>
      <c r="KT4" t="s">
        <v>347</v>
      </c>
      <c r="KU4" t="s">
        <v>348</v>
      </c>
      <c r="KV4" t="s">
        <v>349</v>
      </c>
      <c r="KW4" t="s">
        <v>350</v>
      </c>
      <c r="KX4" t="s">
        <v>351</v>
      </c>
      <c r="KY4" t="s">
        <v>352</v>
      </c>
      <c r="KZ4" t="s">
        <v>353</v>
      </c>
      <c r="LA4" t="s">
        <v>354</v>
      </c>
      <c r="LB4" t="s">
        <v>355</v>
      </c>
      <c r="LC4" t="s">
        <v>356</v>
      </c>
      <c r="LD4" t="s">
        <v>357</v>
      </c>
      <c r="LE4" t="s">
        <v>358</v>
      </c>
      <c r="LF4" t="s">
        <v>359</v>
      </c>
      <c r="LG4" t="s">
        <v>360</v>
      </c>
      <c r="LH4" t="s">
        <v>361</v>
      </c>
      <c r="LI4" t="s">
        <v>362</v>
      </c>
      <c r="LJ4" t="s">
        <v>363</v>
      </c>
      <c r="LK4" t="s">
        <v>364</v>
      </c>
      <c r="LL4" t="s">
        <v>365</v>
      </c>
      <c r="LM4" t="s">
        <v>366</v>
      </c>
      <c r="LN4" t="s">
        <v>367</v>
      </c>
      <c r="LO4" t="s">
        <v>368</v>
      </c>
      <c r="LP4" t="s">
        <v>369</v>
      </c>
      <c r="LQ4" t="s">
        <v>370</v>
      </c>
      <c r="LR4" t="s">
        <v>371</v>
      </c>
      <c r="LS4" t="s">
        <v>372</v>
      </c>
      <c r="LT4" t="s">
        <v>373</v>
      </c>
      <c r="LU4" t="s">
        <v>374</v>
      </c>
      <c r="LV4" t="s">
        <v>375</v>
      </c>
      <c r="LW4" t="s">
        <v>376</v>
      </c>
      <c r="LX4" t="s">
        <v>377</v>
      </c>
      <c r="LY4" t="s">
        <v>378</v>
      </c>
      <c r="LZ4" t="s">
        <v>379</v>
      </c>
      <c r="MA4" t="s">
        <v>380</v>
      </c>
      <c r="MB4" t="s">
        <v>381</v>
      </c>
      <c r="MC4" t="s">
        <v>382</v>
      </c>
      <c r="MD4" t="s">
        <v>383</v>
      </c>
      <c r="ME4" t="s">
        <v>384</v>
      </c>
      <c r="MF4" t="s">
        <v>385</v>
      </c>
      <c r="MG4" t="s">
        <v>386</v>
      </c>
      <c r="MH4" t="s">
        <v>387</v>
      </c>
      <c r="MI4" t="s">
        <v>388</v>
      </c>
      <c r="MJ4" t="s">
        <v>389</v>
      </c>
      <c r="MK4" t="s">
        <v>390</v>
      </c>
      <c r="ML4" t="s">
        <v>391</v>
      </c>
      <c r="MM4" t="s">
        <v>392</v>
      </c>
      <c r="MN4" t="s">
        <v>393</v>
      </c>
      <c r="MO4" t="s">
        <v>394</v>
      </c>
      <c r="MP4" t="s">
        <v>395</v>
      </c>
      <c r="MQ4" t="s">
        <v>396</v>
      </c>
      <c r="MR4" t="s">
        <v>397</v>
      </c>
      <c r="MS4" t="s">
        <v>398</v>
      </c>
      <c r="MT4" t="s">
        <v>399</v>
      </c>
      <c r="MU4" t="s">
        <v>400</v>
      </c>
      <c r="MV4" t="s">
        <v>401</v>
      </c>
      <c r="MW4" t="s">
        <v>402</v>
      </c>
      <c r="MX4" t="s">
        <v>403</v>
      </c>
      <c r="MY4" t="s">
        <v>404</v>
      </c>
      <c r="MZ4" t="s">
        <v>405</v>
      </c>
      <c r="NA4" t="s">
        <v>406</v>
      </c>
      <c r="NB4" t="s">
        <v>407</v>
      </c>
      <c r="NC4" t="s">
        <v>408</v>
      </c>
      <c r="ND4" t="s">
        <v>409</v>
      </c>
      <c r="NE4" t="s">
        <v>410</v>
      </c>
      <c r="NF4" t="s">
        <v>411</v>
      </c>
      <c r="NG4" t="s">
        <v>412</v>
      </c>
      <c r="NH4" t="s">
        <v>413</v>
      </c>
      <c r="NI4" t="s">
        <v>414</v>
      </c>
      <c r="NJ4" t="s">
        <v>415</v>
      </c>
      <c r="NK4" t="s">
        <v>416</v>
      </c>
      <c r="NL4" t="s">
        <v>417</v>
      </c>
      <c r="NM4" t="s">
        <v>418</v>
      </c>
      <c r="NN4" t="s">
        <v>419</v>
      </c>
      <c r="NO4" t="s">
        <v>420</v>
      </c>
      <c r="NP4" t="s">
        <v>421</v>
      </c>
      <c r="NQ4" t="s">
        <v>422</v>
      </c>
      <c r="NR4" t="s">
        <v>423</v>
      </c>
      <c r="NS4" t="s">
        <v>424</v>
      </c>
      <c r="NT4" t="s">
        <v>425</v>
      </c>
      <c r="NU4" t="s">
        <v>426</v>
      </c>
      <c r="NV4" t="s">
        <v>427</v>
      </c>
      <c r="NW4" t="s">
        <v>428</v>
      </c>
      <c r="NX4" t="s">
        <v>429</v>
      </c>
      <c r="NY4" t="s">
        <v>430</v>
      </c>
      <c r="NZ4" t="s">
        <v>431</v>
      </c>
      <c r="OA4" t="s">
        <v>432</v>
      </c>
      <c r="OB4" t="s">
        <v>433</v>
      </c>
      <c r="OC4" t="s">
        <v>434</v>
      </c>
      <c r="OD4" t="s">
        <v>435</v>
      </c>
      <c r="OE4" t="s">
        <v>436</v>
      </c>
      <c r="OF4" t="s">
        <v>437</v>
      </c>
      <c r="OG4" t="s">
        <v>438</v>
      </c>
      <c r="OH4" t="s">
        <v>439</v>
      </c>
      <c r="OI4" t="s">
        <v>440</v>
      </c>
      <c r="OJ4" t="s">
        <v>441</v>
      </c>
      <c r="OK4" t="s">
        <v>442</v>
      </c>
      <c r="OL4" t="s">
        <v>443</v>
      </c>
      <c r="OM4" t="s">
        <v>444</v>
      </c>
      <c r="ON4" t="s">
        <v>445</v>
      </c>
      <c r="OO4" t="s">
        <v>446</v>
      </c>
      <c r="OP4" t="s">
        <v>447</v>
      </c>
      <c r="OQ4" t="s">
        <v>448</v>
      </c>
      <c r="OR4" t="s">
        <v>449</v>
      </c>
      <c r="OS4" t="s">
        <v>450</v>
      </c>
      <c r="OT4" t="s">
        <v>451</v>
      </c>
      <c r="OU4" t="s">
        <v>452</v>
      </c>
      <c r="OV4" t="s">
        <v>453</v>
      </c>
      <c r="OW4" t="s">
        <v>454</v>
      </c>
      <c r="OX4" t="s">
        <v>455</v>
      </c>
      <c r="OY4" t="s">
        <v>456</v>
      </c>
      <c r="OZ4" t="s">
        <v>457</v>
      </c>
      <c r="PA4" t="s">
        <v>458</v>
      </c>
      <c r="PB4" t="s">
        <v>459</v>
      </c>
      <c r="PC4" t="s">
        <v>460</v>
      </c>
      <c r="PD4" t="s">
        <v>461</v>
      </c>
      <c r="PE4" t="s">
        <v>462</v>
      </c>
      <c r="PF4" t="s">
        <v>463</v>
      </c>
      <c r="PG4" t="s">
        <v>464</v>
      </c>
      <c r="PH4" t="s">
        <v>465</v>
      </c>
      <c r="PI4" t="s">
        <v>466</v>
      </c>
      <c r="PJ4" t="s">
        <v>467</v>
      </c>
      <c r="PK4" t="s">
        <v>468</v>
      </c>
      <c r="PL4" t="s">
        <v>469</v>
      </c>
      <c r="PM4" t="s">
        <v>470</v>
      </c>
      <c r="PN4" t="s">
        <v>471</v>
      </c>
      <c r="PO4" t="s">
        <v>472</v>
      </c>
      <c r="PP4" t="s">
        <v>473</v>
      </c>
      <c r="PQ4" t="s">
        <v>474</v>
      </c>
      <c r="PR4" t="s">
        <v>475</v>
      </c>
      <c r="PS4" t="s">
        <v>476</v>
      </c>
      <c r="PT4" t="s">
        <v>477</v>
      </c>
      <c r="PU4" t="s">
        <v>478</v>
      </c>
      <c r="PV4" t="s">
        <v>479</v>
      </c>
      <c r="PW4" t="s">
        <v>480</v>
      </c>
      <c r="PX4" t="s">
        <v>481</v>
      </c>
      <c r="PY4" t="s">
        <v>482</v>
      </c>
      <c r="PZ4" t="s">
        <v>483</v>
      </c>
      <c r="QA4" t="s">
        <v>484</v>
      </c>
      <c r="QB4" t="s">
        <v>485</v>
      </c>
      <c r="QC4" t="s">
        <v>486</v>
      </c>
      <c r="QD4" t="s">
        <v>487</v>
      </c>
      <c r="QE4" t="s">
        <v>488</v>
      </c>
      <c r="QF4" t="s">
        <v>489</v>
      </c>
      <c r="QG4" t="s">
        <v>490</v>
      </c>
      <c r="QH4" t="s">
        <v>491</v>
      </c>
      <c r="QI4" t="s">
        <v>492</v>
      </c>
      <c r="QJ4" t="s">
        <v>493</v>
      </c>
      <c r="QK4" t="s">
        <v>494</v>
      </c>
      <c r="QL4" t="s">
        <v>495</v>
      </c>
      <c r="QM4" t="s">
        <v>496</v>
      </c>
      <c r="QN4" t="s">
        <v>497</v>
      </c>
      <c r="QO4" t="s">
        <v>498</v>
      </c>
      <c r="QP4" t="s">
        <v>499</v>
      </c>
      <c r="QQ4" t="s">
        <v>500</v>
      </c>
      <c r="QR4" t="s">
        <v>501</v>
      </c>
      <c r="QS4" t="s">
        <v>502</v>
      </c>
      <c r="QT4" t="s">
        <v>503</v>
      </c>
      <c r="QU4" t="s">
        <v>504</v>
      </c>
      <c r="QV4" t="s">
        <v>505</v>
      </c>
      <c r="QW4" t="s">
        <v>506</v>
      </c>
      <c r="QX4" t="s">
        <v>507</v>
      </c>
      <c r="QY4" t="s">
        <v>508</v>
      </c>
      <c r="QZ4" t="s">
        <v>509</v>
      </c>
      <c r="RA4" t="s">
        <v>510</v>
      </c>
      <c r="RB4" t="s">
        <v>511</v>
      </c>
      <c r="RC4" t="s">
        <v>512</v>
      </c>
      <c r="RD4" t="s">
        <v>513</v>
      </c>
      <c r="RE4" t="s">
        <v>514</v>
      </c>
      <c r="RF4" t="s">
        <v>515</v>
      </c>
      <c r="RG4" t="s">
        <v>516</v>
      </c>
      <c r="RH4" t="s">
        <v>517</v>
      </c>
      <c r="RI4" t="s">
        <v>518</v>
      </c>
      <c r="RJ4" t="s">
        <v>519</v>
      </c>
      <c r="RK4" t="s">
        <v>520</v>
      </c>
      <c r="RL4" t="s">
        <v>521</v>
      </c>
      <c r="RM4" t="s">
        <v>522</v>
      </c>
      <c r="RN4" t="s">
        <v>523</v>
      </c>
      <c r="RO4" t="s">
        <v>524</v>
      </c>
      <c r="RP4" t="s">
        <v>525</v>
      </c>
      <c r="RQ4" t="s">
        <v>526</v>
      </c>
      <c r="RR4" t="s">
        <v>527</v>
      </c>
      <c r="RS4" t="s">
        <v>528</v>
      </c>
      <c r="RT4" t="s">
        <v>529</v>
      </c>
      <c r="RU4" t="s">
        <v>530</v>
      </c>
      <c r="RV4" t="s">
        <v>531</v>
      </c>
      <c r="RW4" t="s">
        <v>532</v>
      </c>
      <c r="RX4" t="s">
        <v>533</v>
      </c>
      <c r="RY4" t="s">
        <v>534</v>
      </c>
      <c r="RZ4" t="s">
        <v>535</v>
      </c>
      <c r="SA4" t="s">
        <v>536</v>
      </c>
      <c r="SB4" t="s">
        <v>537</v>
      </c>
      <c r="SC4" t="s">
        <v>538</v>
      </c>
      <c r="SD4" t="s">
        <v>539</v>
      </c>
      <c r="SE4" t="s">
        <v>540</v>
      </c>
      <c r="SF4" t="s">
        <v>541</v>
      </c>
      <c r="SG4" t="s">
        <v>542</v>
      </c>
      <c r="SH4" t="s">
        <v>543</v>
      </c>
      <c r="SI4" t="s">
        <v>544</v>
      </c>
      <c r="SJ4" t="s">
        <v>545</v>
      </c>
      <c r="SK4" t="s">
        <v>546</v>
      </c>
      <c r="SL4" t="s">
        <v>547</v>
      </c>
      <c r="SM4" t="s">
        <v>548</v>
      </c>
      <c r="SN4" t="s">
        <v>549</v>
      </c>
      <c r="SO4" t="s">
        <v>550</v>
      </c>
      <c r="SP4" t="s">
        <v>551</v>
      </c>
      <c r="SQ4" t="s">
        <v>552</v>
      </c>
      <c r="SR4" t="s">
        <v>553</v>
      </c>
      <c r="SS4" t="s">
        <v>554</v>
      </c>
      <c r="ST4" t="s">
        <v>555</v>
      </c>
      <c r="SU4" t="s">
        <v>556</v>
      </c>
      <c r="SV4" t="s">
        <v>557</v>
      </c>
      <c r="SW4" t="s">
        <v>558</v>
      </c>
      <c r="SX4" t="s">
        <v>559</v>
      </c>
      <c r="SY4" t="s">
        <v>560</v>
      </c>
      <c r="SZ4" t="s">
        <v>561</v>
      </c>
      <c r="TA4" t="s">
        <v>562</v>
      </c>
      <c r="TB4" t="s">
        <v>563</v>
      </c>
      <c r="TC4" t="s">
        <v>564</v>
      </c>
      <c r="TD4" t="s">
        <v>565</v>
      </c>
      <c r="TE4" t="s">
        <v>566</v>
      </c>
      <c r="TF4" t="s">
        <v>567</v>
      </c>
      <c r="TG4" t="s">
        <v>568</v>
      </c>
      <c r="TH4" t="s">
        <v>569</v>
      </c>
      <c r="TI4" t="s">
        <v>570</v>
      </c>
      <c r="TJ4" t="s">
        <v>571</v>
      </c>
      <c r="TK4" t="s">
        <v>572</v>
      </c>
      <c r="TL4" t="s">
        <v>573</v>
      </c>
      <c r="TM4" t="s">
        <v>574</v>
      </c>
      <c r="TN4" t="s">
        <v>575</v>
      </c>
      <c r="TO4" t="s">
        <v>576</v>
      </c>
      <c r="TP4" t="s">
        <v>577</v>
      </c>
      <c r="TQ4" t="s">
        <v>578</v>
      </c>
      <c r="TR4" t="s">
        <v>579</v>
      </c>
      <c r="TS4" t="s">
        <v>580</v>
      </c>
      <c r="TT4" t="s">
        <v>581</v>
      </c>
      <c r="TU4" t="s">
        <v>582</v>
      </c>
      <c r="TV4" t="s">
        <v>583</v>
      </c>
      <c r="TW4" t="s">
        <v>584</v>
      </c>
      <c r="TX4" t="s">
        <v>585</v>
      </c>
      <c r="TY4" t="s">
        <v>586</v>
      </c>
      <c r="TZ4" t="s">
        <v>587</v>
      </c>
      <c r="UA4" t="s">
        <v>588</v>
      </c>
      <c r="UB4" t="s">
        <v>589</v>
      </c>
      <c r="UC4" t="s">
        <v>590</v>
      </c>
      <c r="UD4" t="s">
        <v>591</v>
      </c>
      <c r="UE4" t="s">
        <v>592</v>
      </c>
      <c r="UF4" t="s">
        <v>593</v>
      </c>
      <c r="UG4" t="s">
        <v>594</v>
      </c>
      <c r="UH4" t="s">
        <v>595</v>
      </c>
      <c r="UI4" t="s">
        <v>596</v>
      </c>
      <c r="UJ4" t="s">
        <v>597</v>
      </c>
      <c r="UK4" t="s">
        <v>598</v>
      </c>
      <c r="UL4" t="s">
        <v>599</v>
      </c>
      <c r="UM4" t="s">
        <v>600</v>
      </c>
      <c r="UN4" t="s">
        <v>601</v>
      </c>
      <c r="UO4" t="s">
        <v>602</v>
      </c>
      <c r="UP4" t="s">
        <v>603</v>
      </c>
      <c r="UQ4" t="s">
        <v>604</v>
      </c>
      <c r="UR4" t="s">
        <v>605</v>
      </c>
      <c r="US4" t="s">
        <v>606</v>
      </c>
      <c r="UT4" t="s">
        <v>607</v>
      </c>
      <c r="UU4" t="s">
        <v>608</v>
      </c>
      <c r="UV4" t="s">
        <v>609</v>
      </c>
      <c r="UW4" t="s">
        <v>610</v>
      </c>
      <c r="UX4" t="s">
        <v>611</v>
      </c>
      <c r="UY4" t="s">
        <v>612</v>
      </c>
      <c r="UZ4" t="s">
        <v>613</v>
      </c>
      <c r="VA4" t="s">
        <v>614</v>
      </c>
      <c r="VB4" t="s">
        <v>615</v>
      </c>
      <c r="VC4" t="s">
        <v>616</v>
      </c>
      <c r="VD4" t="s">
        <v>617</v>
      </c>
      <c r="VE4" t="s">
        <v>618</v>
      </c>
      <c r="VF4" t="s">
        <v>619</v>
      </c>
      <c r="VG4" t="s">
        <v>620</v>
      </c>
      <c r="VH4" t="s">
        <v>621</v>
      </c>
      <c r="VI4" t="s">
        <v>622</v>
      </c>
      <c r="VJ4" t="s">
        <v>623</v>
      </c>
      <c r="VK4" t="s">
        <v>624</v>
      </c>
      <c r="VL4" t="s">
        <v>625</v>
      </c>
      <c r="VM4" t="s">
        <v>626</v>
      </c>
      <c r="VN4" t="s">
        <v>627</v>
      </c>
      <c r="VO4" t="s">
        <v>628</v>
      </c>
      <c r="VP4" t="s">
        <v>629</v>
      </c>
      <c r="VQ4" t="s">
        <v>630</v>
      </c>
      <c r="VR4" t="s">
        <v>631</v>
      </c>
      <c r="VS4" t="s">
        <v>632</v>
      </c>
      <c r="VT4" t="s">
        <v>633</v>
      </c>
      <c r="VU4" t="s">
        <v>634</v>
      </c>
      <c r="VV4" t="s">
        <v>635</v>
      </c>
      <c r="VW4" t="s">
        <v>636</v>
      </c>
      <c r="VX4" t="s">
        <v>637</v>
      </c>
      <c r="VY4" t="s">
        <v>638</v>
      </c>
      <c r="VZ4" t="s">
        <v>639</v>
      </c>
      <c r="WA4" t="s">
        <v>640</v>
      </c>
      <c r="WB4" t="s">
        <v>641</v>
      </c>
      <c r="WC4" t="s">
        <v>642</v>
      </c>
      <c r="WD4" t="s">
        <v>643</v>
      </c>
      <c r="WE4" t="s">
        <v>644</v>
      </c>
      <c r="WF4" t="s">
        <v>645</v>
      </c>
      <c r="WG4" t="s">
        <v>646</v>
      </c>
      <c r="WH4" t="s">
        <v>647</v>
      </c>
      <c r="WI4" t="s">
        <v>648</v>
      </c>
      <c r="WJ4" t="s">
        <v>649</v>
      </c>
      <c r="WK4" t="s">
        <v>650</v>
      </c>
      <c r="WL4" t="s">
        <v>651</v>
      </c>
      <c r="WM4" t="s">
        <v>652</v>
      </c>
      <c r="WN4" t="s">
        <v>653</v>
      </c>
      <c r="WO4" t="s">
        <v>654</v>
      </c>
      <c r="WP4" t="s">
        <v>655</v>
      </c>
      <c r="WQ4" t="s">
        <v>656</v>
      </c>
      <c r="WR4" t="s">
        <v>657</v>
      </c>
      <c r="WS4" t="s">
        <v>658</v>
      </c>
      <c r="WT4" t="s">
        <v>659</v>
      </c>
      <c r="WU4" t="s">
        <v>660</v>
      </c>
      <c r="WV4" t="s">
        <v>661</v>
      </c>
      <c r="WW4" t="s">
        <v>662</v>
      </c>
      <c r="WX4" t="s">
        <v>663</v>
      </c>
      <c r="WY4" t="s">
        <v>664</v>
      </c>
      <c r="WZ4" t="s">
        <v>665</v>
      </c>
      <c r="XA4" t="s">
        <v>666</v>
      </c>
      <c r="XB4" t="s">
        <v>667</v>
      </c>
      <c r="XC4" t="s">
        <v>668</v>
      </c>
      <c r="XD4" t="s">
        <v>669</v>
      </c>
      <c r="XE4" t="s">
        <v>670</v>
      </c>
      <c r="XF4" t="s">
        <v>671</v>
      </c>
      <c r="XG4" t="s">
        <v>672</v>
      </c>
      <c r="XH4" t="s">
        <v>673</v>
      </c>
      <c r="XI4" t="s">
        <v>674</v>
      </c>
      <c r="XJ4" t="s">
        <v>675</v>
      </c>
      <c r="XK4" t="s">
        <v>676</v>
      </c>
      <c r="XL4" t="s">
        <v>677</v>
      </c>
      <c r="XM4" t="s">
        <v>678</v>
      </c>
      <c r="XN4" t="s">
        <v>679</v>
      </c>
      <c r="XO4" t="s">
        <v>680</v>
      </c>
      <c r="XP4" t="s">
        <v>681</v>
      </c>
      <c r="XQ4" t="s">
        <v>682</v>
      </c>
      <c r="XR4" t="s">
        <v>683</v>
      </c>
      <c r="XS4" t="s">
        <v>684</v>
      </c>
      <c r="XT4" t="s">
        <v>685</v>
      </c>
      <c r="XU4" t="s">
        <v>686</v>
      </c>
      <c r="XV4" t="s">
        <v>687</v>
      </c>
      <c r="XW4" t="s">
        <v>688</v>
      </c>
      <c r="XX4" t="s">
        <v>689</v>
      </c>
      <c r="XY4" t="s">
        <v>690</v>
      </c>
      <c r="XZ4" t="s">
        <v>691</v>
      </c>
      <c r="YA4" t="s">
        <v>692</v>
      </c>
      <c r="YB4" t="s">
        <v>693</v>
      </c>
      <c r="YC4" t="s">
        <v>694</v>
      </c>
      <c r="YD4" t="s">
        <v>695</v>
      </c>
      <c r="YE4" t="s">
        <v>696</v>
      </c>
      <c r="YF4" t="s">
        <v>697</v>
      </c>
      <c r="YG4" t="s">
        <v>698</v>
      </c>
      <c r="YH4" t="s">
        <v>699</v>
      </c>
      <c r="YI4" t="s">
        <v>700</v>
      </c>
      <c r="YJ4" t="s">
        <v>701</v>
      </c>
      <c r="YK4" t="s">
        <v>702</v>
      </c>
      <c r="YL4" t="s">
        <v>703</v>
      </c>
      <c r="YM4" t="s">
        <v>704</v>
      </c>
      <c r="YN4" t="s">
        <v>705</v>
      </c>
      <c r="YO4" t="s">
        <v>706</v>
      </c>
      <c r="YP4" t="s">
        <v>707</v>
      </c>
      <c r="YQ4" t="s">
        <v>708</v>
      </c>
      <c r="YR4" t="s">
        <v>709</v>
      </c>
      <c r="YS4" t="s">
        <v>710</v>
      </c>
      <c r="YT4" t="s">
        <v>711</v>
      </c>
      <c r="YU4" t="s">
        <v>712</v>
      </c>
      <c r="YV4" t="s">
        <v>713</v>
      </c>
      <c r="YW4" t="s">
        <v>714</v>
      </c>
      <c r="YX4" t="s">
        <v>715</v>
      </c>
      <c r="YY4" t="s">
        <v>716</v>
      </c>
      <c r="YZ4" t="s">
        <v>717</v>
      </c>
      <c r="ZA4" t="s">
        <v>718</v>
      </c>
      <c r="ZB4" t="s">
        <v>719</v>
      </c>
      <c r="ZC4" t="s">
        <v>720</v>
      </c>
      <c r="ZD4" t="s">
        <v>721</v>
      </c>
      <c r="ZE4" t="s">
        <v>722</v>
      </c>
      <c r="ZF4" t="s">
        <v>723</v>
      </c>
      <c r="ZG4" t="s">
        <v>724</v>
      </c>
      <c r="ZH4" t="s">
        <v>725</v>
      </c>
      <c r="ZI4" t="s">
        <v>726</v>
      </c>
      <c r="ZJ4" t="s">
        <v>727</v>
      </c>
      <c r="ZK4" t="s">
        <v>728</v>
      </c>
      <c r="ZL4" t="s">
        <v>729</v>
      </c>
      <c r="ZM4" t="s">
        <v>730</v>
      </c>
      <c r="ZN4" t="s">
        <v>731</v>
      </c>
      <c r="ZO4" t="s">
        <v>732</v>
      </c>
      <c r="ZP4" t="s">
        <v>733</v>
      </c>
      <c r="ZQ4" t="s">
        <v>734</v>
      </c>
      <c r="ZR4" t="s">
        <v>735</v>
      </c>
      <c r="ZS4" t="s">
        <v>736</v>
      </c>
      <c r="ZT4" t="s">
        <v>737</v>
      </c>
      <c r="ZU4" t="s">
        <v>738</v>
      </c>
      <c r="ZV4" t="s">
        <v>739</v>
      </c>
      <c r="ZW4" t="s">
        <v>740</v>
      </c>
      <c r="ZX4" t="s">
        <v>741</v>
      </c>
      <c r="ZY4" t="s">
        <v>742</v>
      </c>
      <c r="ZZ4" t="s">
        <v>743</v>
      </c>
      <c r="AAA4" t="s">
        <v>744</v>
      </c>
      <c r="AAB4" t="s">
        <v>745</v>
      </c>
      <c r="AAC4" t="s">
        <v>746</v>
      </c>
      <c r="AAD4" t="s">
        <v>747</v>
      </c>
      <c r="AAE4" t="s">
        <v>748</v>
      </c>
      <c r="AAF4" t="s">
        <v>749</v>
      </c>
      <c r="AAG4" t="s">
        <v>750</v>
      </c>
      <c r="AAH4" t="s">
        <v>751</v>
      </c>
      <c r="AAI4" t="s">
        <v>752</v>
      </c>
      <c r="AAJ4" t="s">
        <v>753</v>
      </c>
      <c r="AAK4" t="s">
        <v>754</v>
      </c>
      <c r="AAL4" t="s">
        <v>755</v>
      </c>
      <c r="AAM4" t="s">
        <v>756</v>
      </c>
      <c r="AAN4" t="s">
        <v>757</v>
      </c>
      <c r="AAO4" t="s">
        <v>758</v>
      </c>
      <c r="AAP4" t="s">
        <v>759</v>
      </c>
      <c r="AAQ4" t="s">
        <v>760</v>
      </c>
      <c r="AAR4" t="s">
        <v>761</v>
      </c>
      <c r="AAS4" t="s">
        <v>762</v>
      </c>
      <c r="AAT4" t="s">
        <v>763</v>
      </c>
      <c r="AAU4" t="s">
        <v>764</v>
      </c>
      <c r="AAV4" t="s">
        <v>765</v>
      </c>
      <c r="AAW4" t="s">
        <v>766</v>
      </c>
      <c r="AAX4" t="s">
        <v>767</v>
      </c>
      <c r="AAY4" t="s">
        <v>768</v>
      </c>
      <c r="AAZ4" t="s">
        <v>769</v>
      </c>
      <c r="ABA4" t="s">
        <v>770</v>
      </c>
      <c r="ABB4" t="s">
        <v>771</v>
      </c>
      <c r="ABC4" t="s">
        <v>772</v>
      </c>
      <c r="ABD4" t="s">
        <v>773</v>
      </c>
      <c r="ABE4" t="s">
        <v>774</v>
      </c>
      <c r="ABF4" t="s">
        <v>775</v>
      </c>
      <c r="ABG4" t="s">
        <v>776</v>
      </c>
      <c r="ABH4" t="s">
        <v>777</v>
      </c>
      <c r="ABI4" t="s">
        <v>778</v>
      </c>
      <c r="ABJ4" t="s">
        <v>779</v>
      </c>
      <c r="ABK4" t="s">
        <v>780</v>
      </c>
      <c r="ABL4" t="s">
        <v>781</v>
      </c>
      <c r="ABM4" t="s">
        <v>782</v>
      </c>
      <c r="ABN4" t="s">
        <v>783</v>
      </c>
      <c r="ABO4" t="s">
        <v>784</v>
      </c>
      <c r="ABP4" t="s">
        <v>785</v>
      </c>
      <c r="ABQ4" t="s">
        <v>786</v>
      </c>
      <c r="ABR4" t="s">
        <v>787</v>
      </c>
      <c r="ABS4" t="s">
        <v>788</v>
      </c>
      <c r="ABT4" t="s">
        <v>789</v>
      </c>
      <c r="ABU4" t="s">
        <v>790</v>
      </c>
      <c r="ABV4" t="s">
        <v>791</v>
      </c>
      <c r="ABW4" t="s">
        <v>792</v>
      </c>
      <c r="ABX4" t="s">
        <v>793</v>
      </c>
      <c r="ABY4" t="s">
        <v>794</v>
      </c>
      <c r="ABZ4" t="s">
        <v>795</v>
      </c>
      <c r="ACA4" t="s">
        <v>796</v>
      </c>
      <c r="ACB4" t="s">
        <v>797</v>
      </c>
      <c r="ACC4" t="s">
        <v>798</v>
      </c>
      <c r="ACD4" t="s">
        <v>799</v>
      </c>
      <c r="ACE4" t="s">
        <v>800</v>
      </c>
      <c r="ACF4" t="s">
        <v>801</v>
      </c>
      <c r="ACG4" t="s">
        <v>802</v>
      </c>
      <c r="ACH4" t="s">
        <v>803</v>
      </c>
      <c r="ACI4" t="s">
        <v>804</v>
      </c>
      <c r="ACJ4" t="s">
        <v>805</v>
      </c>
      <c r="ACK4" t="s">
        <v>806</v>
      </c>
      <c r="ACL4" t="s">
        <v>807</v>
      </c>
      <c r="ACM4" t="s">
        <v>808</v>
      </c>
      <c r="ACN4" t="s">
        <v>809</v>
      </c>
      <c r="ACO4" t="s">
        <v>810</v>
      </c>
      <c r="ACP4" t="s">
        <v>811</v>
      </c>
      <c r="ACQ4" t="s">
        <v>812</v>
      </c>
      <c r="ACR4" t="s">
        <v>813</v>
      </c>
      <c r="ACS4" t="s">
        <v>814</v>
      </c>
      <c r="ACT4" t="s">
        <v>815</v>
      </c>
      <c r="ACU4" t="s">
        <v>816</v>
      </c>
      <c r="ACV4" t="s">
        <v>817</v>
      </c>
      <c r="ACW4" t="s">
        <v>818</v>
      </c>
      <c r="ACX4" t="s">
        <v>819</v>
      </c>
      <c r="ACY4" t="s">
        <v>820</v>
      </c>
      <c r="ACZ4" t="s">
        <v>821</v>
      </c>
      <c r="ADA4" t="s">
        <v>822</v>
      </c>
      <c r="ADB4" t="s">
        <v>823</v>
      </c>
      <c r="ADC4" t="s">
        <v>824</v>
      </c>
      <c r="ADD4" t="s">
        <v>825</v>
      </c>
      <c r="ADE4" t="s">
        <v>826</v>
      </c>
      <c r="ADF4" t="s">
        <v>827</v>
      </c>
      <c r="ADG4" t="s">
        <v>828</v>
      </c>
      <c r="ADH4" t="s">
        <v>829</v>
      </c>
      <c r="ADI4" t="s">
        <v>830</v>
      </c>
      <c r="ADJ4" t="s">
        <v>831</v>
      </c>
      <c r="ADK4" t="s">
        <v>832</v>
      </c>
      <c r="ADL4" t="s">
        <v>833</v>
      </c>
      <c r="ADM4" t="s">
        <v>834</v>
      </c>
      <c r="ADN4" t="s">
        <v>835</v>
      </c>
      <c r="ADO4" t="s">
        <v>836</v>
      </c>
      <c r="ADP4" t="s">
        <v>837</v>
      </c>
      <c r="ADQ4" t="s">
        <v>838</v>
      </c>
      <c r="ADR4" t="s">
        <v>839</v>
      </c>
      <c r="ADS4" t="s">
        <v>840</v>
      </c>
      <c r="ADT4" t="s">
        <v>841</v>
      </c>
      <c r="ADU4" t="s">
        <v>842</v>
      </c>
      <c r="ADV4" t="s">
        <v>843</v>
      </c>
      <c r="ADW4" t="s">
        <v>844</v>
      </c>
      <c r="ADX4" t="s">
        <v>845</v>
      </c>
      <c r="ADY4" t="s">
        <v>846</v>
      </c>
      <c r="ADZ4" t="s">
        <v>847</v>
      </c>
      <c r="AEA4" t="s">
        <v>848</v>
      </c>
      <c r="AEB4" t="s">
        <v>849</v>
      </c>
      <c r="AEC4" t="s">
        <v>850</v>
      </c>
      <c r="AED4" t="s">
        <v>851</v>
      </c>
      <c r="AEE4" t="s">
        <v>852</v>
      </c>
      <c r="AEF4" t="s">
        <v>853</v>
      </c>
      <c r="AEG4" t="s">
        <v>854</v>
      </c>
      <c r="AEH4" t="s">
        <v>855</v>
      </c>
      <c r="AEI4" t="s">
        <v>856</v>
      </c>
      <c r="AEJ4" t="s">
        <v>857</v>
      </c>
      <c r="AEK4" t="s">
        <v>858</v>
      </c>
      <c r="AEL4" t="s">
        <v>859</v>
      </c>
      <c r="AEM4" t="s">
        <v>860</v>
      </c>
      <c r="AEN4" t="s">
        <v>861</v>
      </c>
      <c r="AEO4" t="s">
        <v>862</v>
      </c>
      <c r="AEP4" t="s">
        <v>863</v>
      </c>
      <c r="AEQ4" t="s">
        <v>864</v>
      </c>
      <c r="AER4" t="s">
        <v>865</v>
      </c>
      <c r="AES4" t="s">
        <v>866</v>
      </c>
      <c r="AET4" t="s">
        <v>867</v>
      </c>
      <c r="AEU4" t="s">
        <v>868</v>
      </c>
      <c r="AEV4" t="s">
        <v>869</v>
      </c>
      <c r="AEW4" t="s">
        <v>870</v>
      </c>
      <c r="AEX4" t="s">
        <v>871</v>
      </c>
      <c r="AEY4" t="s">
        <v>872</v>
      </c>
      <c r="AEZ4" t="s">
        <v>873</v>
      </c>
      <c r="AFA4" t="s">
        <v>874</v>
      </c>
      <c r="AFB4" t="s">
        <v>875</v>
      </c>
      <c r="AFC4" t="s">
        <v>876</v>
      </c>
      <c r="AFD4" t="s">
        <v>877</v>
      </c>
      <c r="AFE4" t="s">
        <v>878</v>
      </c>
      <c r="AFF4" t="s">
        <v>879</v>
      </c>
      <c r="AFG4" t="s">
        <v>880</v>
      </c>
      <c r="AFH4" t="s">
        <v>881</v>
      </c>
      <c r="AFI4" t="s">
        <v>882</v>
      </c>
      <c r="AFJ4" t="s">
        <v>883</v>
      </c>
      <c r="AFK4" t="s">
        <v>884</v>
      </c>
      <c r="AFL4" t="s">
        <v>885</v>
      </c>
      <c r="AFM4" t="s">
        <v>886</v>
      </c>
      <c r="AFN4" t="s">
        <v>887</v>
      </c>
      <c r="AFO4" t="s">
        <v>888</v>
      </c>
      <c r="AFP4" t="s">
        <v>889</v>
      </c>
      <c r="AFQ4" t="s">
        <v>890</v>
      </c>
      <c r="AFR4" t="s">
        <v>891</v>
      </c>
      <c r="AFS4" t="s">
        <v>892</v>
      </c>
      <c r="AFT4" t="s">
        <v>893</v>
      </c>
      <c r="AFU4" t="s">
        <v>894</v>
      </c>
      <c r="AFV4" t="s">
        <v>895</v>
      </c>
      <c r="AFW4" t="s">
        <v>896</v>
      </c>
      <c r="AFX4" t="s">
        <v>897</v>
      </c>
      <c r="AFY4" t="s">
        <v>898</v>
      </c>
      <c r="AFZ4" t="s">
        <v>899</v>
      </c>
      <c r="AGA4" t="s">
        <v>900</v>
      </c>
      <c r="AGB4" t="s">
        <v>901</v>
      </c>
      <c r="AGC4" t="s">
        <v>902</v>
      </c>
      <c r="AGD4" t="s">
        <v>903</v>
      </c>
      <c r="AGE4" t="s">
        <v>904</v>
      </c>
      <c r="AGF4" t="s">
        <v>905</v>
      </c>
      <c r="AGG4" t="s">
        <v>906</v>
      </c>
      <c r="AGH4" t="s">
        <v>907</v>
      </c>
      <c r="AGI4" t="s">
        <v>908</v>
      </c>
      <c r="AGJ4" t="s">
        <v>909</v>
      </c>
      <c r="AGK4" t="s">
        <v>910</v>
      </c>
      <c r="AGL4" t="s">
        <v>911</v>
      </c>
      <c r="AGM4" t="s">
        <v>912</v>
      </c>
      <c r="AGN4" t="s">
        <v>913</v>
      </c>
      <c r="AGO4" t="s">
        <v>914</v>
      </c>
      <c r="AGP4" t="s">
        <v>915</v>
      </c>
      <c r="AGQ4" t="s">
        <v>916</v>
      </c>
      <c r="AGR4" t="s">
        <v>917</v>
      </c>
      <c r="AGS4" t="s">
        <v>918</v>
      </c>
      <c r="AGT4" t="s">
        <v>919</v>
      </c>
      <c r="AGU4" t="s">
        <v>920</v>
      </c>
      <c r="AGV4" t="s">
        <v>921</v>
      </c>
      <c r="AGW4" t="s">
        <v>922</v>
      </c>
      <c r="AGX4" t="s">
        <v>923</v>
      </c>
      <c r="AGY4" t="s">
        <v>924</v>
      </c>
      <c r="AGZ4" t="s">
        <v>925</v>
      </c>
      <c r="AHA4" t="s">
        <v>926</v>
      </c>
      <c r="AHB4" t="s">
        <v>927</v>
      </c>
      <c r="AHC4" t="s">
        <v>928</v>
      </c>
      <c r="AHD4" t="s">
        <v>929</v>
      </c>
      <c r="AHE4" t="s">
        <v>930</v>
      </c>
      <c r="AHF4" t="s">
        <v>931</v>
      </c>
      <c r="AHG4" t="s">
        <v>932</v>
      </c>
      <c r="AHH4" t="s">
        <v>933</v>
      </c>
      <c r="AHI4" t="s">
        <v>934</v>
      </c>
      <c r="AHJ4" t="s">
        <v>935</v>
      </c>
      <c r="AHK4" t="s">
        <v>936</v>
      </c>
      <c r="AHL4" t="s">
        <v>937</v>
      </c>
      <c r="AHM4" t="s">
        <v>938</v>
      </c>
      <c r="AHN4" t="s">
        <v>939</v>
      </c>
      <c r="AHO4" t="s">
        <v>940</v>
      </c>
      <c r="AHP4" t="s">
        <v>941</v>
      </c>
      <c r="AHQ4" t="s">
        <v>942</v>
      </c>
      <c r="AHR4" t="s">
        <v>943</v>
      </c>
      <c r="AHS4" t="s">
        <v>944</v>
      </c>
      <c r="AHT4" t="s">
        <v>945</v>
      </c>
      <c r="AHU4" t="s">
        <v>946</v>
      </c>
      <c r="AHV4" t="s">
        <v>947</v>
      </c>
      <c r="AHW4" t="s">
        <v>948</v>
      </c>
      <c r="AHX4" t="s">
        <v>949</v>
      </c>
      <c r="AHY4" t="s">
        <v>950</v>
      </c>
      <c r="AHZ4" t="s">
        <v>951</v>
      </c>
      <c r="AIA4" t="s">
        <v>952</v>
      </c>
      <c r="AIB4" t="s">
        <v>953</v>
      </c>
      <c r="AIC4" t="s">
        <v>954</v>
      </c>
      <c r="AID4" t="s">
        <v>955</v>
      </c>
      <c r="AIE4" t="s">
        <v>956</v>
      </c>
      <c r="AIF4" t="s">
        <v>957</v>
      </c>
      <c r="AIG4" t="s">
        <v>958</v>
      </c>
      <c r="AIH4" t="s">
        <v>959</v>
      </c>
      <c r="AII4" t="s">
        <v>960</v>
      </c>
      <c r="AIJ4" t="s">
        <v>961</v>
      </c>
      <c r="AIK4" t="s">
        <v>962</v>
      </c>
      <c r="AIL4" t="s">
        <v>963</v>
      </c>
      <c r="AIM4" t="s">
        <v>964</v>
      </c>
      <c r="AIN4" t="s">
        <v>965</v>
      </c>
      <c r="AIO4" t="s">
        <v>966</v>
      </c>
      <c r="AIP4" t="s">
        <v>967</v>
      </c>
      <c r="AIQ4" t="s">
        <v>968</v>
      </c>
      <c r="AIR4" t="s">
        <v>969</v>
      </c>
      <c r="AIS4" t="s">
        <v>970</v>
      </c>
      <c r="AIT4" t="s">
        <v>971</v>
      </c>
      <c r="AIU4" t="s">
        <v>972</v>
      </c>
      <c r="AIV4" t="s">
        <v>973</v>
      </c>
      <c r="AIW4" t="s">
        <v>974</v>
      </c>
      <c r="AIX4" t="s">
        <v>975</v>
      </c>
      <c r="AIY4" t="s">
        <v>976</v>
      </c>
      <c r="AIZ4" t="s">
        <v>977</v>
      </c>
      <c r="AJA4" t="s">
        <v>978</v>
      </c>
      <c r="AJB4" t="s">
        <v>979</v>
      </c>
      <c r="AJC4" t="s">
        <v>980</v>
      </c>
      <c r="AJD4" t="s">
        <v>981</v>
      </c>
      <c r="AJE4" t="s">
        <v>982</v>
      </c>
      <c r="AJF4" t="s">
        <v>983</v>
      </c>
      <c r="AJG4" t="s">
        <v>984</v>
      </c>
      <c r="AJH4" t="s">
        <v>985</v>
      </c>
      <c r="AJI4" t="s">
        <v>986</v>
      </c>
      <c r="AJJ4" t="s">
        <v>987</v>
      </c>
      <c r="AJK4" t="s">
        <v>988</v>
      </c>
      <c r="AJL4" t="s">
        <v>989</v>
      </c>
      <c r="AJM4" t="s">
        <v>990</v>
      </c>
      <c r="AJN4" t="s">
        <v>991</v>
      </c>
      <c r="AJO4" t="s">
        <v>992</v>
      </c>
      <c r="AJP4" t="s">
        <v>993</v>
      </c>
      <c r="AJQ4" t="s">
        <v>994</v>
      </c>
      <c r="AJR4" t="s">
        <v>995</v>
      </c>
      <c r="AJS4" t="s">
        <v>996</v>
      </c>
      <c r="AJT4" t="s">
        <v>997</v>
      </c>
      <c r="AJU4" t="s">
        <v>998</v>
      </c>
      <c r="AJV4" t="s">
        <v>999</v>
      </c>
      <c r="AJW4" t="s">
        <v>1000</v>
      </c>
      <c r="AJX4" t="s">
        <v>1001</v>
      </c>
      <c r="AJY4" t="s">
        <v>1002</v>
      </c>
      <c r="AJZ4" t="s">
        <v>1003</v>
      </c>
      <c r="AKA4" t="s">
        <v>1004</v>
      </c>
      <c r="AKB4" t="s">
        <v>1005</v>
      </c>
      <c r="AKC4" t="s">
        <v>1006</v>
      </c>
      <c r="AKD4" t="s">
        <v>1007</v>
      </c>
      <c r="AKE4" t="s">
        <v>1008</v>
      </c>
      <c r="AKF4" t="s">
        <v>1009</v>
      </c>
      <c r="AKG4" t="s">
        <v>1010</v>
      </c>
      <c r="AKH4" t="s">
        <v>1011</v>
      </c>
      <c r="AKI4" t="s">
        <v>1012</v>
      </c>
      <c r="AKJ4" t="s">
        <v>1013</v>
      </c>
      <c r="AKK4" t="s">
        <v>1014</v>
      </c>
      <c r="AKL4" t="s">
        <v>1015</v>
      </c>
      <c r="AKM4" t="s">
        <v>1016</v>
      </c>
      <c r="AKN4" t="s">
        <v>1017</v>
      </c>
      <c r="AKO4" t="s">
        <v>1018</v>
      </c>
      <c r="AKP4" t="s">
        <v>1019</v>
      </c>
      <c r="AKQ4" t="s">
        <v>1020</v>
      </c>
      <c r="AKR4" t="s">
        <v>1021</v>
      </c>
      <c r="AKS4" t="s">
        <v>1022</v>
      </c>
      <c r="AKT4" t="s">
        <v>1023</v>
      </c>
      <c r="AKU4" t="s">
        <v>1024</v>
      </c>
      <c r="AKV4" t="s">
        <v>1025</v>
      </c>
      <c r="AKW4" t="s">
        <v>1026</v>
      </c>
      <c r="AKX4" t="s">
        <v>1027</v>
      </c>
      <c r="AKY4" t="s">
        <v>1028</v>
      </c>
      <c r="AKZ4" t="s">
        <v>1029</v>
      </c>
      <c r="ALA4" t="s">
        <v>1030</v>
      </c>
      <c r="ALB4" t="s">
        <v>1031</v>
      </c>
      <c r="ALC4" t="s">
        <v>1032</v>
      </c>
      <c r="ALD4" t="s">
        <v>1033</v>
      </c>
      <c r="ALE4" t="s">
        <v>1034</v>
      </c>
      <c r="ALF4" t="s">
        <v>1035</v>
      </c>
      <c r="ALG4" t="s">
        <v>1036</v>
      </c>
      <c r="ALH4" t="s">
        <v>1037</v>
      </c>
      <c r="ALI4" t="s">
        <v>1038</v>
      </c>
      <c r="ALJ4" t="s">
        <v>1039</v>
      </c>
      <c r="ALK4" t="s">
        <v>1040</v>
      </c>
      <c r="ALL4" t="s">
        <v>1041</v>
      </c>
      <c r="ALM4" t="s">
        <v>1042</v>
      </c>
      <c r="ALN4" t="s">
        <v>1043</v>
      </c>
      <c r="ALO4" t="s">
        <v>1044</v>
      </c>
      <c r="ALP4" t="s">
        <v>1045</v>
      </c>
      <c r="ALQ4" t="s">
        <v>1046</v>
      </c>
      <c r="ALR4" t="s">
        <v>1047</v>
      </c>
      <c r="ALS4" t="s">
        <v>1048</v>
      </c>
      <c r="ALT4" t="s">
        <v>1049</v>
      </c>
      <c r="ALU4" t="s">
        <v>1050</v>
      </c>
      <c r="ALV4" t="s">
        <v>1051</v>
      </c>
      <c r="ALW4" t="s">
        <v>1052</v>
      </c>
      <c r="ALX4" t="s">
        <v>1053</v>
      </c>
      <c r="ALY4" t="s">
        <v>1054</v>
      </c>
      <c r="ALZ4" t="s">
        <v>1055</v>
      </c>
      <c r="AMA4" t="s">
        <v>1056</v>
      </c>
    </row>
    <row r="5" spans="1:1015" x14ac:dyDescent="0.3">
      <c r="A5" s="3" t="s">
        <v>1057</v>
      </c>
      <c r="E5">
        <v>1</v>
      </c>
      <c r="M5">
        <v>1</v>
      </c>
      <c r="AU5">
        <v>1</v>
      </c>
      <c r="BL5">
        <v>1</v>
      </c>
      <c r="CU5">
        <v>1</v>
      </c>
      <c r="EA5">
        <v>1</v>
      </c>
      <c r="EU5">
        <v>1</v>
      </c>
      <c r="FO5">
        <v>1</v>
      </c>
      <c r="FS5">
        <v>1</v>
      </c>
      <c r="GR5">
        <v>1</v>
      </c>
      <c r="GV5">
        <v>1</v>
      </c>
      <c r="JM5">
        <v>1</v>
      </c>
      <c r="KY5">
        <v>1</v>
      </c>
      <c r="LD5">
        <v>1</v>
      </c>
      <c r="LF5">
        <v>1</v>
      </c>
      <c r="QM5">
        <v>1</v>
      </c>
      <c r="RK5">
        <v>1</v>
      </c>
      <c r="SE5">
        <v>1</v>
      </c>
      <c r="SG5">
        <v>1</v>
      </c>
      <c r="UB5">
        <v>1</v>
      </c>
      <c r="UR5">
        <v>1</v>
      </c>
      <c r="VI5">
        <v>1</v>
      </c>
      <c r="VM5">
        <v>1</v>
      </c>
      <c r="XP5">
        <v>1</v>
      </c>
      <c r="XT5">
        <v>1</v>
      </c>
      <c r="YD5">
        <v>1</v>
      </c>
      <c r="ZH5">
        <v>1</v>
      </c>
      <c r="AEP5">
        <v>1</v>
      </c>
      <c r="AFQ5">
        <v>1</v>
      </c>
      <c r="AFX5">
        <v>1</v>
      </c>
      <c r="AGW5">
        <v>1</v>
      </c>
      <c r="AGY5">
        <v>1</v>
      </c>
      <c r="AIY5">
        <v>1</v>
      </c>
      <c r="AJR5">
        <v>1</v>
      </c>
      <c r="AJX5">
        <v>1</v>
      </c>
      <c r="AKE5">
        <v>1</v>
      </c>
      <c r="AMA5">
        <v>36</v>
      </c>
    </row>
    <row r="6" spans="1:1015" x14ac:dyDescent="0.3">
      <c r="A6" s="3" t="s">
        <v>1058</v>
      </c>
      <c r="AV6">
        <v>1</v>
      </c>
      <c r="BK6">
        <v>1</v>
      </c>
      <c r="BZ6">
        <v>1</v>
      </c>
      <c r="CY6">
        <v>1</v>
      </c>
      <c r="FM6">
        <v>1</v>
      </c>
      <c r="HL6">
        <v>1</v>
      </c>
      <c r="IG6">
        <v>1</v>
      </c>
      <c r="JP6">
        <v>1</v>
      </c>
      <c r="KI6">
        <v>1</v>
      </c>
      <c r="LC6">
        <v>1</v>
      </c>
      <c r="SD6">
        <v>1</v>
      </c>
      <c r="VU6">
        <v>1</v>
      </c>
      <c r="WG6">
        <v>1</v>
      </c>
      <c r="XB6">
        <v>1</v>
      </c>
      <c r="XI6">
        <v>1</v>
      </c>
      <c r="YE6">
        <v>1</v>
      </c>
      <c r="YI6">
        <v>1</v>
      </c>
      <c r="ZU6">
        <v>1</v>
      </c>
      <c r="AAP6">
        <v>1</v>
      </c>
      <c r="AAS6">
        <v>1</v>
      </c>
      <c r="ACC6">
        <v>1</v>
      </c>
      <c r="AGG6">
        <v>1</v>
      </c>
      <c r="AGI6">
        <v>1</v>
      </c>
      <c r="AGX6">
        <v>1</v>
      </c>
      <c r="AIG6">
        <v>1</v>
      </c>
      <c r="AIS6">
        <v>1</v>
      </c>
      <c r="AJZ6">
        <v>1</v>
      </c>
      <c r="AKR6">
        <v>1</v>
      </c>
      <c r="ALA6">
        <v>1</v>
      </c>
      <c r="ALD6">
        <v>1</v>
      </c>
      <c r="ALZ6">
        <v>1</v>
      </c>
      <c r="AMA6">
        <v>31</v>
      </c>
    </row>
    <row r="7" spans="1:1015" x14ac:dyDescent="0.3">
      <c r="A7" s="3" t="s">
        <v>1059</v>
      </c>
      <c r="W7">
        <v>1</v>
      </c>
      <c r="BR7">
        <v>1</v>
      </c>
      <c r="CB7">
        <v>1</v>
      </c>
      <c r="CT7">
        <v>1</v>
      </c>
      <c r="EC7">
        <v>1</v>
      </c>
      <c r="EE7">
        <v>1</v>
      </c>
      <c r="EG7">
        <v>1</v>
      </c>
      <c r="FW7">
        <v>1</v>
      </c>
      <c r="GM7">
        <v>1</v>
      </c>
      <c r="GQ7">
        <v>1</v>
      </c>
      <c r="HO7">
        <v>1</v>
      </c>
      <c r="HV7">
        <v>1</v>
      </c>
      <c r="IU7">
        <v>1</v>
      </c>
      <c r="NL7">
        <v>1</v>
      </c>
      <c r="QH7">
        <v>1</v>
      </c>
      <c r="RG7">
        <v>1</v>
      </c>
      <c r="RS7">
        <v>1</v>
      </c>
      <c r="VB7">
        <v>1</v>
      </c>
      <c r="VO7">
        <v>1</v>
      </c>
      <c r="WH7">
        <v>1</v>
      </c>
      <c r="WX7">
        <v>1</v>
      </c>
      <c r="XC7">
        <v>1</v>
      </c>
      <c r="ZD7">
        <v>1</v>
      </c>
      <c r="ADY7">
        <v>1</v>
      </c>
      <c r="AEU7">
        <v>1</v>
      </c>
      <c r="AGB7">
        <v>1</v>
      </c>
      <c r="AGH7">
        <v>1</v>
      </c>
      <c r="AIJ7">
        <v>1</v>
      </c>
      <c r="AIQ7">
        <v>1</v>
      </c>
      <c r="AJV7">
        <v>1</v>
      </c>
      <c r="ALM7">
        <v>1</v>
      </c>
      <c r="AMA7">
        <v>31</v>
      </c>
    </row>
    <row r="8" spans="1:1015" x14ac:dyDescent="0.3">
      <c r="A8" s="3" t="s">
        <v>1060</v>
      </c>
      <c r="AO8">
        <v>1</v>
      </c>
      <c r="BM8">
        <v>1</v>
      </c>
      <c r="BV8">
        <v>1</v>
      </c>
      <c r="BW8">
        <v>1</v>
      </c>
      <c r="FT8">
        <v>1</v>
      </c>
      <c r="HP8">
        <v>1</v>
      </c>
      <c r="HT8">
        <v>1</v>
      </c>
      <c r="HY8">
        <v>1</v>
      </c>
      <c r="KE8">
        <v>1</v>
      </c>
      <c r="KV8">
        <v>1</v>
      </c>
      <c r="LA8">
        <v>1</v>
      </c>
      <c r="LR8">
        <v>1</v>
      </c>
      <c r="MR8">
        <v>1</v>
      </c>
      <c r="NS8">
        <v>1</v>
      </c>
      <c r="OA8">
        <v>1</v>
      </c>
      <c r="OU8">
        <v>1</v>
      </c>
      <c r="QB8">
        <v>1</v>
      </c>
      <c r="QL8">
        <v>1</v>
      </c>
      <c r="QR8">
        <v>1</v>
      </c>
      <c r="QV8">
        <v>1</v>
      </c>
      <c r="TR8">
        <v>1</v>
      </c>
      <c r="VT8">
        <v>1</v>
      </c>
      <c r="WA8">
        <v>1</v>
      </c>
      <c r="WW8">
        <v>1</v>
      </c>
      <c r="YZ8">
        <v>1</v>
      </c>
      <c r="AAB8">
        <v>1</v>
      </c>
      <c r="AAL8">
        <v>1</v>
      </c>
      <c r="ACQ8">
        <v>1</v>
      </c>
      <c r="AJH8">
        <v>1</v>
      </c>
      <c r="ALW8">
        <v>1</v>
      </c>
      <c r="AMA8">
        <v>30</v>
      </c>
    </row>
    <row r="9" spans="1:1015" x14ac:dyDescent="0.3">
      <c r="A9" s="3" t="s">
        <v>1061</v>
      </c>
      <c r="N9">
        <v>1</v>
      </c>
      <c r="U9">
        <v>1</v>
      </c>
      <c r="AR9">
        <v>1</v>
      </c>
      <c r="AX9">
        <v>1</v>
      </c>
      <c r="BC9">
        <v>1</v>
      </c>
      <c r="DL9">
        <v>1</v>
      </c>
      <c r="DX9">
        <v>1</v>
      </c>
      <c r="EX9">
        <v>1</v>
      </c>
      <c r="GI9">
        <v>1</v>
      </c>
      <c r="GS9">
        <v>1</v>
      </c>
      <c r="HE9">
        <v>1</v>
      </c>
      <c r="KD9">
        <v>1</v>
      </c>
      <c r="KT9">
        <v>1</v>
      </c>
      <c r="MM9">
        <v>1</v>
      </c>
      <c r="PU9">
        <v>1</v>
      </c>
      <c r="RM9">
        <v>1</v>
      </c>
      <c r="SY9">
        <v>1</v>
      </c>
      <c r="UT9">
        <v>1</v>
      </c>
      <c r="WV9">
        <v>1</v>
      </c>
      <c r="XN9">
        <v>1</v>
      </c>
      <c r="XU9">
        <v>1</v>
      </c>
      <c r="YY9">
        <v>1</v>
      </c>
      <c r="ZY9">
        <v>1</v>
      </c>
      <c r="AAR9">
        <v>1</v>
      </c>
      <c r="ACF9">
        <v>1</v>
      </c>
      <c r="AEI9">
        <v>1</v>
      </c>
      <c r="AEQ9">
        <v>1</v>
      </c>
      <c r="AFE9">
        <v>1</v>
      </c>
      <c r="AHY9">
        <v>1</v>
      </c>
      <c r="AIK9">
        <v>1</v>
      </c>
      <c r="AIO9">
        <v>1</v>
      </c>
      <c r="ALO9">
        <v>1</v>
      </c>
      <c r="AMA9">
        <v>32</v>
      </c>
    </row>
    <row r="10" spans="1:1015" x14ac:dyDescent="0.3">
      <c r="A10" s="3" t="s">
        <v>1062</v>
      </c>
      <c r="O10">
        <v>1</v>
      </c>
      <c r="S10">
        <v>1</v>
      </c>
      <c r="BF10">
        <v>1</v>
      </c>
      <c r="CM10">
        <v>1</v>
      </c>
      <c r="DZ10">
        <v>1</v>
      </c>
      <c r="FB10">
        <v>1</v>
      </c>
      <c r="LL10">
        <v>1</v>
      </c>
      <c r="NJ10">
        <v>1</v>
      </c>
      <c r="NU10">
        <v>1</v>
      </c>
      <c r="OW10">
        <v>1</v>
      </c>
      <c r="QI10">
        <v>1</v>
      </c>
      <c r="QJ10">
        <v>1</v>
      </c>
      <c r="QN10">
        <v>1</v>
      </c>
      <c r="TA10">
        <v>1</v>
      </c>
      <c r="UJ10">
        <v>1</v>
      </c>
      <c r="WZ10">
        <v>1</v>
      </c>
      <c r="XK10">
        <v>1</v>
      </c>
      <c r="ZM10">
        <v>1</v>
      </c>
      <c r="ABB10">
        <v>1</v>
      </c>
      <c r="ADL10">
        <v>1</v>
      </c>
      <c r="ADV10">
        <v>1</v>
      </c>
      <c r="AEV10">
        <v>1</v>
      </c>
      <c r="AHP10">
        <v>1</v>
      </c>
      <c r="AHV10">
        <v>1</v>
      </c>
      <c r="AKP10">
        <v>1</v>
      </c>
      <c r="ALJ10">
        <v>1</v>
      </c>
      <c r="ALR10">
        <v>1</v>
      </c>
      <c r="ALU10">
        <v>1</v>
      </c>
      <c r="AMA10">
        <v>28</v>
      </c>
    </row>
    <row r="11" spans="1:1015" x14ac:dyDescent="0.3">
      <c r="A11" s="3" t="s">
        <v>1063</v>
      </c>
      <c r="G11">
        <v>1</v>
      </c>
      <c r="K11">
        <v>1</v>
      </c>
      <c r="V11">
        <v>1</v>
      </c>
      <c r="Z11">
        <v>1</v>
      </c>
      <c r="BE11">
        <v>1</v>
      </c>
      <c r="BH11">
        <v>1</v>
      </c>
      <c r="BT11">
        <v>1</v>
      </c>
      <c r="CX11">
        <v>1</v>
      </c>
      <c r="DB11">
        <v>1</v>
      </c>
      <c r="DK11">
        <v>1</v>
      </c>
      <c r="DW11">
        <v>1</v>
      </c>
      <c r="EM11">
        <v>1</v>
      </c>
      <c r="ET11">
        <v>1</v>
      </c>
      <c r="GG11">
        <v>1</v>
      </c>
      <c r="IC11">
        <v>1</v>
      </c>
      <c r="IQ11">
        <v>1</v>
      </c>
      <c r="LT11">
        <v>1</v>
      </c>
      <c r="MB11">
        <v>1</v>
      </c>
      <c r="ND11">
        <v>1</v>
      </c>
      <c r="NH11">
        <v>1</v>
      </c>
      <c r="NT11">
        <v>1</v>
      </c>
      <c r="PL11">
        <v>1</v>
      </c>
      <c r="PT11">
        <v>1</v>
      </c>
      <c r="SK11">
        <v>1</v>
      </c>
      <c r="UM11">
        <v>1</v>
      </c>
      <c r="VF11">
        <v>1</v>
      </c>
      <c r="WR11">
        <v>1</v>
      </c>
      <c r="XG11">
        <v>1</v>
      </c>
      <c r="XJ11">
        <v>1</v>
      </c>
      <c r="XR11">
        <v>1</v>
      </c>
      <c r="YA11">
        <v>1</v>
      </c>
      <c r="YF11">
        <v>1</v>
      </c>
      <c r="AAH11">
        <v>1</v>
      </c>
      <c r="ABL11">
        <v>1</v>
      </c>
      <c r="ACT11">
        <v>1</v>
      </c>
      <c r="AFB11">
        <v>1</v>
      </c>
      <c r="AFJ11">
        <v>1</v>
      </c>
      <c r="AFK11">
        <v>1</v>
      </c>
      <c r="AHB11">
        <v>1</v>
      </c>
      <c r="AHL11">
        <v>1</v>
      </c>
      <c r="AJB11">
        <v>1</v>
      </c>
      <c r="AKO11">
        <v>1</v>
      </c>
      <c r="ALG11">
        <v>1</v>
      </c>
      <c r="AMA11">
        <v>43</v>
      </c>
    </row>
    <row r="12" spans="1:1015" x14ac:dyDescent="0.3">
      <c r="A12" s="3" t="s">
        <v>1064</v>
      </c>
      <c r="AC12">
        <v>1</v>
      </c>
      <c r="BX12">
        <v>1</v>
      </c>
      <c r="DU12">
        <v>1</v>
      </c>
      <c r="DY12">
        <v>1</v>
      </c>
      <c r="GZ12">
        <v>1</v>
      </c>
      <c r="IK12">
        <v>1</v>
      </c>
      <c r="IV12">
        <v>1</v>
      </c>
      <c r="JE12">
        <v>1</v>
      </c>
      <c r="LE12">
        <v>1</v>
      </c>
      <c r="MJ12">
        <v>1</v>
      </c>
      <c r="MO12">
        <v>1</v>
      </c>
      <c r="MS12">
        <v>1</v>
      </c>
      <c r="NN12">
        <v>1</v>
      </c>
      <c r="NW12">
        <v>1</v>
      </c>
      <c r="OQ12">
        <v>1</v>
      </c>
      <c r="OZ12">
        <v>1</v>
      </c>
      <c r="PE12">
        <v>1</v>
      </c>
      <c r="PH12">
        <v>1</v>
      </c>
      <c r="QO12">
        <v>1</v>
      </c>
      <c r="RB12">
        <v>1</v>
      </c>
      <c r="TO12">
        <v>1</v>
      </c>
      <c r="VH12">
        <v>1</v>
      </c>
      <c r="WL12">
        <v>1</v>
      </c>
      <c r="YX12">
        <v>1</v>
      </c>
      <c r="ZJ12">
        <v>1</v>
      </c>
      <c r="ZV12">
        <v>1</v>
      </c>
      <c r="ZX12">
        <v>1</v>
      </c>
      <c r="AAJ12">
        <v>1</v>
      </c>
      <c r="AAO12">
        <v>1</v>
      </c>
      <c r="ABU12">
        <v>1</v>
      </c>
      <c r="ACK12">
        <v>1</v>
      </c>
      <c r="AEB12">
        <v>1</v>
      </c>
      <c r="AFM12">
        <v>1</v>
      </c>
      <c r="AHH12">
        <v>1</v>
      </c>
      <c r="AHI12">
        <v>1</v>
      </c>
      <c r="AHX12">
        <v>1</v>
      </c>
      <c r="AKB12">
        <v>1</v>
      </c>
      <c r="AKQ12">
        <v>1</v>
      </c>
      <c r="AMA12">
        <v>38</v>
      </c>
    </row>
    <row r="13" spans="1:1015" x14ac:dyDescent="0.3">
      <c r="A13" s="3" t="s">
        <v>1065</v>
      </c>
      <c r="AH13">
        <v>1</v>
      </c>
      <c r="DN13">
        <v>1</v>
      </c>
      <c r="HN13">
        <v>1</v>
      </c>
      <c r="IY13">
        <v>1</v>
      </c>
      <c r="ML13">
        <v>1</v>
      </c>
      <c r="NG13">
        <v>1</v>
      </c>
      <c r="NO13">
        <v>1</v>
      </c>
      <c r="NY13">
        <v>1</v>
      </c>
      <c r="OL13">
        <v>1</v>
      </c>
      <c r="PN13">
        <v>1</v>
      </c>
      <c r="QP13">
        <v>1</v>
      </c>
      <c r="QZ13">
        <v>1</v>
      </c>
      <c r="RP13">
        <v>1</v>
      </c>
      <c r="SA13">
        <v>1</v>
      </c>
      <c r="SN13">
        <v>1</v>
      </c>
      <c r="SO13">
        <v>1</v>
      </c>
      <c r="TH13">
        <v>1</v>
      </c>
      <c r="US13">
        <v>1</v>
      </c>
      <c r="UY13">
        <v>1</v>
      </c>
      <c r="XW13">
        <v>1</v>
      </c>
      <c r="YB13">
        <v>1</v>
      </c>
      <c r="YO13">
        <v>1</v>
      </c>
      <c r="ZC13">
        <v>1</v>
      </c>
      <c r="ZQ13">
        <v>1</v>
      </c>
      <c r="AAC13">
        <v>1</v>
      </c>
      <c r="AAF13">
        <v>1</v>
      </c>
      <c r="AAU13">
        <v>1</v>
      </c>
      <c r="ABK13">
        <v>1</v>
      </c>
      <c r="ABX13">
        <v>1</v>
      </c>
      <c r="ACG13">
        <v>1</v>
      </c>
      <c r="AFG13">
        <v>1</v>
      </c>
      <c r="AHZ13">
        <v>1</v>
      </c>
      <c r="AIT13">
        <v>1</v>
      </c>
      <c r="ALX13">
        <v>1</v>
      </c>
      <c r="AMA13">
        <v>34</v>
      </c>
    </row>
    <row r="14" spans="1:1015" x14ac:dyDescent="0.3">
      <c r="A14" s="3" t="s">
        <v>1066</v>
      </c>
      <c r="P14">
        <v>1</v>
      </c>
      <c r="Y14">
        <v>1</v>
      </c>
      <c r="AK14">
        <v>1</v>
      </c>
      <c r="AZ14">
        <v>1</v>
      </c>
      <c r="DQ14">
        <v>1</v>
      </c>
      <c r="EQ14">
        <v>1</v>
      </c>
      <c r="FN14">
        <v>1</v>
      </c>
      <c r="HG14">
        <v>1</v>
      </c>
      <c r="IO14">
        <v>1</v>
      </c>
      <c r="JJ14">
        <v>1</v>
      </c>
      <c r="JN14">
        <v>1</v>
      </c>
      <c r="KM14">
        <v>1</v>
      </c>
      <c r="MW14">
        <v>1</v>
      </c>
      <c r="OI14">
        <v>1</v>
      </c>
      <c r="QA14">
        <v>1</v>
      </c>
      <c r="RT14">
        <v>1</v>
      </c>
      <c r="RU14">
        <v>1</v>
      </c>
      <c r="RW14">
        <v>1</v>
      </c>
      <c r="TG14">
        <v>1</v>
      </c>
      <c r="TK14">
        <v>1</v>
      </c>
      <c r="UH14">
        <v>1</v>
      </c>
      <c r="UN14">
        <v>1</v>
      </c>
      <c r="XM14">
        <v>1</v>
      </c>
      <c r="ABI14">
        <v>1</v>
      </c>
      <c r="ACU14">
        <v>1</v>
      </c>
      <c r="AEW14">
        <v>1</v>
      </c>
      <c r="AGN14">
        <v>1</v>
      </c>
      <c r="AHD14">
        <v>1</v>
      </c>
      <c r="AJC14">
        <v>1</v>
      </c>
      <c r="ALK14">
        <v>1</v>
      </c>
      <c r="AMA14">
        <v>30</v>
      </c>
    </row>
    <row r="15" spans="1:1015" x14ac:dyDescent="0.3">
      <c r="A15" s="3" t="s">
        <v>1067</v>
      </c>
      <c r="CJ15">
        <v>1</v>
      </c>
      <c r="CL15">
        <v>1</v>
      </c>
      <c r="CN15">
        <v>1</v>
      </c>
      <c r="CW15">
        <v>1</v>
      </c>
      <c r="FQ15">
        <v>1</v>
      </c>
      <c r="HF15">
        <v>1</v>
      </c>
      <c r="JZ15">
        <v>1</v>
      </c>
      <c r="LM15">
        <v>1</v>
      </c>
      <c r="MH15">
        <v>1</v>
      </c>
      <c r="MY15">
        <v>1</v>
      </c>
      <c r="TY15">
        <v>1</v>
      </c>
      <c r="VD15">
        <v>1</v>
      </c>
      <c r="VX15">
        <v>1</v>
      </c>
      <c r="YJ15">
        <v>1</v>
      </c>
      <c r="ABF15">
        <v>1</v>
      </c>
      <c r="ABG15">
        <v>1</v>
      </c>
      <c r="ABP15">
        <v>1</v>
      </c>
      <c r="ACA15">
        <v>1</v>
      </c>
      <c r="ADG15">
        <v>1</v>
      </c>
      <c r="AEK15">
        <v>1</v>
      </c>
      <c r="AGJ15">
        <v>1</v>
      </c>
      <c r="AGR15">
        <v>1</v>
      </c>
      <c r="AKC15">
        <v>1</v>
      </c>
      <c r="AKV15">
        <v>1</v>
      </c>
      <c r="ALH15">
        <v>1</v>
      </c>
      <c r="AMA15">
        <v>25</v>
      </c>
    </row>
    <row r="16" spans="1:1015" x14ac:dyDescent="0.3">
      <c r="A16" s="3" t="s">
        <v>1068</v>
      </c>
      <c r="CQ16">
        <v>1</v>
      </c>
      <c r="CV16">
        <v>1</v>
      </c>
      <c r="DM16">
        <v>1</v>
      </c>
      <c r="FD16">
        <v>1</v>
      </c>
      <c r="FE16">
        <v>1</v>
      </c>
      <c r="FF16">
        <v>1</v>
      </c>
      <c r="FL16">
        <v>1</v>
      </c>
      <c r="GW16">
        <v>1</v>
      </c>
      <c r="JS16">
        <v>1</v>
      </c>
      <c r="JX16">
        <v>1</v>
      </c>
      <c r="KH16">
        <v>1</v>
      </c>
      <c r="NA16">
        <v>1</v>
      </c>
      <c r="OF16">
        <v>1</v>
      </c>
      <c r="OO16">
        <v>1</v>
      </c>
      <c r="PB16">
        <v>1</v>
      </c>
      <c r="PX16">
        <v>1</v>
      </c>
      <c r="RH16">
        <v>1</v>
      </c>
      <c r="RY16">
        <v>1</v>
      </c>
      <c r="SF16">
        <v>1</v>
      </c>
      <c r="TE16">
        <v>1</v>
      </c>
      <c r="TZ16">
        <v>1</v>
      </c>
      <c r="UF16">
        <v>1</v>
      </c>
      <c r="YW16">
        <v>1</v>
      </c>
      <c r="ZP16">
        <v>1</v>
      </c>
      <c r="ACV16">
        <v>1</v>
      </c>
      <c r="ADR16">
        <v>1</v>
      </c>
      <c r="AEJ16">
        <v>1</v>
      </c>
      <c r="AEN16">
        <v>1</v>
      </c>
      <c r="AGE16">
        <v>1</v>
      </c>
      <c r="AHJ16">
        <v>1</v>
      </c>
      <c r="AJW16">
        <v>1</v>
      </c>
      <c r="AKX16">
        <v>1</v>
      </c>
      <c r="ALT16">
        <v>1</v>
      </c>
      <c r="AMA16">
        <v>33</v>
      </c>
    </row>
    <row r="17" spans="1:1015" x14ac:dyDescent="0.3">
      <c r="A17" s="3" t="s">
        <v>1069</v>
      </c>
      <c r="R17">
        <v>1</v>
      </c>
      <c r="AY17">
        <v>1</v>
      </c>
      <c r="BO17">
        <v>1</v>
      </c>
      <c r="CD17">
        <v>1</v>
      </c>
      <c r="DV17">
        <v>1</v>
      </c>
      <c r="FG17">
        <v>1</v>
      </c>
      <c r="HQ17">
        <v>1</v>
      </c>
      <c r="MF17">
        <v>1</v>
      </c>
      <c r="MI17">
        <v>1</v>
      </c>
      <c r="OG17">
        <v>1</v>
      </c>
      <c r="OV17">
        <v>1</v>
      </c>
      <c r="PA17">
        <v>1</v>
      </c>
      <c r="PJ17">
        <v>1</v>
      </c>
      <c r="PK17">
        <v>1</v>
      </c>
      <c r="TF17">
        <v>1</v>
      </c>
      <c r="TI17">
        <v>1</v>
      </c>
      <c r="TQ17">
        <v>1</v>
      </c>
      <c r="VC17">
        <v>1</v>
      </c>
      <c r="XY17">
        <v>1</v>
      </c>
      <c r="ZO17">
        <v>1</v>
      </c>
      <c r="AAG17">
        <v>1</v>
      </c>
      <c r="AEC17">
        <v>1</v>
      </c>
      <c r="AGZ17">
        <v>1</v>
      </c>
      <c r="AJK17">
        <v>1</v>
      </c>
      <c r="AJL17">
        <v>1</v>
      </c>
      <c r="AKG17">
        <v>1</v>
      </c>
      <c r="ALB17">
        <v>1</v>
      </c>
      <c r="ALL17">
        <v>1</v>
      </c>
      <c r="AMA17">
        <v>28</v>
      </c>
    </row>
    <row r="18" spans="1:1015" x14ac:dyDescent="0.3">
      <c r="A18" s="3" t="s">
        <v>1070</v>
      </c>
      <c r="AW18">
        <v>1</v>
      </c>
      <c r="BN18">
        <v>1</v>
      </c>
      <c r="CZ18">
        <v>1</v>
      </c>
      <c r="GB18">
        <v>1</v>
      </c>
      <c r="HJ18">
        <v>1</v>
      </c>
      <c r="HZ18">
        <v>1</v>
      </c>
      <c r="KB18">
        <v>1</v>
      </c>
      <c r="MV18">
        <v>1</v>
      </c>
      <c r="OK18">
        <v>1</v>
      </c>
      <c r="OT18">
        <v>1</v>
      </c>
      <c r="QG18">
        <v>1</v>
      </c>
      <c r="RX18">
        <v>1</v>
      </c>
      <c r="SV18">
        <v>1</v>
      </c>
      <c r="TJ18">
        <v>1</v>
      </c>
      <c r="WC18">
        <v>1</v>
      </c>
      <c r="WF18">
        <v>1</v>
      </c>
      <c r="XX18">
        <v>1</v>
      </c>
      <c r="AAD18">
        <v>1</v>
      </c>
      <c r="ABQ18">
        <v>1</v>
      </c>
      <c r="ABW18">
        <v>1</v>
      </c>
      <c r="ACJ18">
        <v>1</v>
      </c>
      <c r="ACX18">
        <v>1</v>
      </c>
      <c r="ADF18">
        <v>1</v>
      </c>
      <c r="ADU18">
        <v>1</v>
      </c>
      <c r="AEG18">
        <v>1</v>
      </c>
      <c r="AFL18">
        <v>1</v>
      </c>
      <c r="AFS18">
        <v>1</v>
      </c>
      <c r="AGD18">
        <v>1</v>
      </c>
      <c r="AHE18">
        <v>1</v>
      </c>
      <c r="AHN18">
        <v>1</v>
      </c>
      <c r="AHR18">
        <v>1</v>
      </c>
      <c r="AID18">
        <v>1</v>
      </c>
      <c r="AIN18">
        <v>1</v>
      </c>
      <c r="AJE18">
        <v>1</v>
      </c>
      <c r="AJG18">
        <v>1</v>
      </c>
      <c r="AKJ18">
        <v>1</v>
      </c>
      <c r="AMA18">
        <v>36</v>
      </c>
    </row>
    <row r="19" spans="1:1015" x14ac:dyDescent="0.3">
      <c r="A19" s="3" t="s">
        <v>1071</v>
      </c>
      <c r="CP19">
        <v>1</v>
      </c>
      <c r="DC19">
        <v>1</v>
      </c>
      <c r="DG19">
        <v>1</v>
      </c>
      <c r="EV19">
        <v>1</v>
      </c>
      <c r="FY19">
        <v>1</v>
      </c>
      <c r="HA19">
        <v>1</v>
      </c>
      <c r="HK19">
        <v>1</v>
      </c>
      <c r="IB19">
        <v>1</v>
      </c>
      <c r="IW19">
        <v>1</v>
      </c>
      <c r="JD19">
        <v>1</v>
      </c>
      <c r="NP19">
        <v>1</v>
      </c>
      <c r="OD19">
        <v>1</v>
      </c>
      <c r="PY19">
        <v>1</v>
      </c>
      <c r="QU19">
        <v>1</v>
      </c>
      <c r="QY19">
        <v>1</v>
      </c>
      <c r="RV19">
        <v>1</v>
      </c>
      <c r="TC19">
        <v>1</v>
      </c>
      <c r="UC19">
        <v>1</v>
      </c>
      <c r="WN19">
        <v>1</v>
      </c>
      <c r="YK19">
        <v>1</v>
      </c>
      <c r="ZA19">
        <v>1</v>
      </c>
      <c r="AAE19">
        <v>1</v>
      </c>
      <c r="AAY19">
        <v>1</v>
      </c>
      <c r="ACE19">
        <v>1</v>
      </c>
      <c r="ACL19">
        <v>1</v>
      </c>
      <c r="ADC19">
        <v>1</v>
      </c>
      <c r="ADJ19">
        <v>1</v>
      </c>
      <c r="ADK19">
        <v>1</v>
      </c>
      <c r="AEL19">
        <v>1</v>
      </c>
      <c r="AHA19">
        <v>1</v>
      </c>
      <c r="AHU19">
        <v>1</v>
      </c>
      <c r="AKI19">
        <v>1</v>
      </c>
      <c r="AMA19">
        <v>32</v>
      </c>
    </row>
    <row r="20" spans="1:1015" x14ac:dyDescent="0.3">
      <c r="A20" s="3" t="s">
        <v>1072</v>
      </c>
      <c r="AQ20">
        <v>1</v>
      </c>
      <c r="BU20">
        <v>1</v>
      </c>
      <c r="DP20">
        <v>1</v>
      </c>
      <c r="EF20">
        <v>1</v>
      </c>
      <c r="GA20">
        <v>1</v>
      </c>
      <c r="GJ20">
        <v>1</v>
      </c>
      <c r="KO20">
        <v>1</v>
      </c>
      <c r="KR20">
        <v>1</v>
      </c>
      <c r="KX20">
        <v>1</v>
      </c>
      <c r="LI20">
        <v>1</v>
      </c>
      <c r="LN20">
        <v>1</v>
      </c>
      <c r="LV20">
        <v>1</v>
      </c>
      <c r="NK20">
        <v>1</v>
      </c>
      <c r="OX20">
        <v>1</v>
      </c>
      <c r="RE20">
        <v>1</v>
      </c>
      <c r="RZ20">
        <v>1</v>
      </c>
      <c r="ZE20">
        <v>1</v>
      </c>
      <c r="ZK20">
        <v>1</v>
      </c>
      <c r="AAT20">
        <v>1</v>
      </c>
      <c r="ABJ20">
        <v>1</v>
      </c>
      <c r="ABO20">
        <v>1</v>
      </c>
      <c r="ADO20">
        <v>1</v>
      </c>
      <c r="AFD20">
        <v>1</v>
      </c>
      <c r="AFF20">
        <v>1</v>
      </c>
      <c r="AJJ20">
        <v>1</v>
      </c>
      <c r="AJP20">
        <v>1</v>
      </c>
      <c r="AJS20">
        <v>1</v>
      </c>
      <c r="AJY20">
        <v>1</v>
      </c>
      <c r="ALI20">
        <v>1</v>
      </c>
      <c r="AMA20">
        <v>29</v>
      </c>
    </row>
    <row r="21" spans="1:1015" x14ac:dyDescent="0.3">
      <c r="A21" s="3" t="s">
        <v>1073</v>
      </c>
      <c r="BD21">
        <v>1</v>
      </c>
      <c r="DI21">
        <v>1</v>
      </c>
      <c r="EL21">
        <v>1</v>
      </c>
      <c r="EN21">
        <v>1</v>
      </c>
      <c r="FC21">
        <v>1</v>
      </c>
      <c r="ID21">
        <v>1</v>
      </c>
      <c r="JR21">
        <v>1</v>
      </c>
      <c r="JY21">
        <v>1</v>
      </c>
      <c r="NR21">
        <v>1</v>
      </c>
      <c r="OH21">
        <v>1</v>
      </c>
      <c r="PM21">
        <v>1</v>
      </c>
      <c r="QD21">
        <v>1</v>
      </c>
      <c r="UX21">
        <v>1</v>
      </c>
      <c r="VL21">
        <v>1</v>
      </c>
      <c r="AAI21">
        <v>1</v>
      </c>
      <c r="ACS21">
        <v>1</v>
      </c>
      <c r="AER21">
        <v>1</v>
      </c>
      <c r="AFA21">
        <v>1</v>
      </c>
      <c r="AFC21">
        <v>1</v>
      </c>
      <c r="AFZ21">
        <v>1</v>
      </c>
      <c r="AGC21">
        <v>1</v>
      </c>
      <c r="AGL21">
        <v>1</v>
      </c>
      <c r="AGT21">
        <v>1</v>
      </c>
      <c r="AJN21">
        <v>1</v>
      </c>
      <c r="AKW21">
        <v>1</v>
      </c>
      <c r="ALC21">
        <v>1</v>
      </c>
      <c r="AMA21">
        <v>26</v>
      </c>
    </row>
    <row r="22" spans="1:1015" x14ac:dyDescent="0.3">
      <c r="A22" s="3" t="s">
        <v>1074</v>
      </c>
      <c r="BQ22">
        <v>1</v>
      </c>
      <c r="BS22">
        <v>1</v>
      </c>
      <c r="CO22">
        <v>1</v>
      </c>
      <c r="EJ22">
        <v>1</v>
      </c>
      <c r="ER22">
        <v>1</v>
      </c>
      <c r="GE22">
        <v>1</v>
      </c>
      <c r="GP22">
        <v>1</v>
      </c>
      <c r="HH22">
        <v>1</v>
      </c>
      <c r="HW22">
        <v>1</v>
      </c>
      <c r="IH22">
        <v>1</v>
      </c>
      <c r="LB22">
        <v>1</v>
      </c>
      <c r="LU22">
        <v>1</v>
      </c>
      <c r="MN22">
        <v>1</v>
      </c>
      <c r="NC22">
        <v>1</v>
      </c>
      <c r="OS22">
        <v>1</v>
      </c>
      <c r="PG22">
        <v>1</v>
      </c>
      <c r="QX22">
        <v>1</v>
      </c>
      <c r="SB22">
        <v>1</v>
      </c>
      <c r="SQ22">
        <v>1</v>
      </c>
      <c r="SU22">
        <v>1</v>
      </c>
      <c r="SX22">
        <v>1</v>
      </c>
      <c r="TL22">
        <v>1</v>
      </c>
      <c r="UI22">
        <v>1</v>
      </c>
      <c r="VG22">
        <v>1</v>
      </c>
      <c r="VN22">
        <v>1</v>
      </c>
      <c r="YL22">
        <v>1</v>
      </c>
      <c r="YQ22">
        <v>1</v>
      </c>
      <c r="ZF22">
        <v>1</v>
      </c>
      <c r="AAK22">
        <v>1</v>
      </c>
      <c r="AAW22">
        <v>1</v>
      </c>
      <c r="ABA22">
        <v>1</v>
      </c>
      <c r="ACD22">
        <v>1</v>
      </c>
      <c r="ACY22">
        <v>1</v>
      </c>
      <c r="ACZ22">
        <v>1</v>
      </c>
      <c r="AED22">
        <v>1</v>
      </c>
      <c r="AFR22">
        <v>1</v>
      </c>
      <c r="AGV22">
        <v>1</v>
      </c>
      <c r="AHT22">
        <v>1</v>
      </c>
      <c r="AIZ22">
        <v>1</v>
      </c>
      <c r="AJD22">
        <v>1</v>
      </c>
      <c r="AJF22">
        <v>1</v>
      </c>
      <c r="AKA22">
        <v>1</v>
      </c>
      <c r="AMA22">
        <v>42</v>
      </c>
    </row>
    <row r="23" spans="1:1015" x14ac:dyDescent="0.3">
      <c r="A23" s="3" t="s">
        <v>1075</v>
      </c>
      <c r="H23">
        <v>1</v>
      </c>
      <c r="I23">
        <v>1</v>
      </c>
      <c r="AE23">
        <v>1</v>
      </c>
      <c r="AT23">
        <v>1</v>
      </c>
      <c r="CE23">
        <v>1</v>
      </c>
      <c r="GH23">
        <v>1</v>
      </c>
      <c r="HI23">
        <v>1</v>
      </c>
      <c r="IF23">
        <v>1</v>
      </c>
      <c r="KW23">
        <v>1</v>
      </c>
      <c r="MQ23">
        <v>1</v>
      </c>
      <c r="NI23">
        <v>1</v>
      </c>
      <c r="PD23">
        <v>1</v>
      </c>
      <c r="PV23">
        <v>1</v>
      </c>
      <c r="QF23">
        <v>1</v>
      </c>
      <c r="TB23">
        <v>1</v>
      </c>
      <c r="TM23">
        <v>1</v>
      </c>
      <c r="TV23">
        <v>1</v>
      </c>
      <c r="TW23">
        <v>1</v>
      </c>
      <c r="VA23">
        <v>1</v>
      </c>
      <c r="YR23">
        <v>1</v>
      </c>
      <c r="YV23">
        <v>1</v>
      </c>
      <c r="AAM23">
        <v>1</v>
      </c>
      <c r="ACR23">
        <v>1</v>
      </c>
      <c r="ADP23">
        <v>1</v>
      </c>
      <c r="AEX23">
        <v>1</v>
      </c>
      <c r="AEZ23">
        <v>1</v>
      </c>
      <c r="AFW23">
        <v>1</v>
      </c>
      <c r="AGM23">
        <v>1</v>
      </c>
      <c r="AGU23">
        <v>1</v>
      </c>
      <c r="AHW23">
        <v>1</v>
      </c>
      <c r="AKD23">
        <v>1</v>
      </c>
      <c r="AKK23">
        <v>1</v>
      </c>
      <c r="AKY23">
        <v>1</v>
      </c>
      <c r="AMA23">
        <v>33</v>
      </c>
    </row>
    <row r="24" spans="1:1015" x14ac:dyDescent="0.3">
      <c r="A24" s="3" t="s">
        <v>1076</v>
      </c>
      <c r="L24">
        <v>1</v>
      </c>
      <c r="AA24">
        <v>1</v>
      </c>
      <c r="AB24">
        <v>1</v>
      </c>
      <c r="BB24">
        <v>1</v>
      </c>
      <c r="EH24">
        <v>1</v>
      </c>
      <c r="HD24">
        <v>1</v>
      </c>
      <c r="IN24">
        <v>1</v>
      </c>
      <c r="JA24">
        <v>1</v>
      </c>
      <c r="MZ24">
        <v>1</v>
      </c>
      <c r="OM24">
        <v>1</v>
      </c>
      <c r="PF24">
        <v>1</v>
      </c>
      <c r="PQ24">
        <v>1</v>
      </c>
      <c r="SW24">
        <v>1</v>
      </c>
      <c r="UZ24">
        <v>1</v>
      </c>
      <c r="VE24">
        <v>1</v>
      </c>
      <c r="WK24">
        <v>1</v>
      </c>
      <c r="XQ24">
        <v>1</v>
      </c>
      <c r="ZI24">
        <v>1</v>
      </c>
      <c r="AAN24">
        <v>1</v>
      </c>
      <c r="AAX24">
        <v>1</v>
      </c>
      <c r="ABV24">
        <v>1</v>
      </c>
      <c r="ADD24">
        <v>1</v>
      </c>
      <c r="ADM24">
        <v>1</v>
      </c>
      <c r="AGF24">
        <v>1</v>
      </c>
      <c r="AGO24">
        <v>1</v>
      </c>
      <c r="AIL24">
        <v>1</v>
      </c>
      <c r="AMA24">
        <v>26</v>
      </c>
    </row>
    <row r="25" spans="1:1015" x14ac:dyDescent="0.3">
      <c r="A25" s="3" t="s">
        <v>1077</v>
      </c>
      <c r="AP25">
        <v>1</v>
      </c>
      <c r="CA25">
        <v>1</v>
      </c>
      <c r="ED25">
        <v>1</v>
      </c>
      <c r="EP25">
        <v>1</v>
      </c>
      <c r="EY25">
        <v>1</v>
      </c>
      <c r="IJ25">
        <v>1</v>
      </c>
      <c r="KL25">
        <v>1</v>
      </c>
      <c r="KU25">
        <v>1</v>
      </c>
      <c r="KZ25">
        <v>1</v>
      </c>
      <c r="LJ25">
        <v>1</v>
      </c>
      <c r="LY25">
        <v>1</v>
      </c>
      <c r="LZ25">
        <v>1</v>
      </c>
      <c r="MK25">
        <v>1</v>
      </c>
      <c r="MU25">
        <v>1</v>
      </c>
      <c r="OB25">
        <v>1</v>
      </c>
      <c r="OR25">
        <v>1</v>
      </c>
      <c r="PI25">
        <v>1</v>
      </c>
      <c r="PW25">
        <v>1</v>
      </c>
      <c r="UD25">
        <v>1</v>
      </c>
      <c r="UL25">
        <v>1</v>
      </c>
      <c r="WJ25">
        <v>1</v>
      </c>
      <c r="WM25">
        <v>1</v>
      </c>
      <c r="ZZ25">
        <v>1</v>
      </c>
      <c r="ABY25">
        <v>1</v>
      </c>
      <c r="AEY25">
        <v>1</v>
      </c>
      <c r="AFI25">
        <v>1</v>
      </c>
      <c r="AFT25">
        <v>1</v>
      </c>
      <c r="AGK25">
        <v>1</v>
      </c>
      <c r="AIB25">
        <v>1</v>
      </c>
      <c r="AIP25">
        <v>1</v>
      </c>
      <c r="AKH25">
        <v>1</v>
      </c>
      <c r="AMA25">
        <v>31</v>
      </c>
    </row>
    <row r="26" spans="1:1015" x14ac:dyDescent="0.3">
      <c r="A26" s="3" t="s">
        <v>1078</v>
      </c>
      <c r="F26">
        <v>1</v>
      </c>
      <c r="AI26">
        <v>1</v>
      </c>
      <c r="AJ26">
        <v>1</v>
      </c>
      <c r="CC26">
        <v>1</v>
      </c>
      <c r="EI26">
        <v>1</v>
      </c>
      <c r="FH26">
        <v>1</v>
      </c>
      <c r="GD26">
        <v>1</v>
      </c>
      <c r="JG26">
        <v>1</v>
      </c>
      <c r="KF26">
        <v>1</v>
      </c>
      <c r="KK26">
        <v>1</v>
      </c>
      <c r="KN26">
        <v>1</v>
      </c>
      <c r="LK26">
        <v>1</v>
      </c>
      <c r="NX26">
        <v>1</v>
      </c>
      <c r="RD26">
        <v>1</v>
      </c>
      <c r="RL26">
        <v>1</v>
      </c>
      <c r="RN26">
        <v>1</v>
      </c>
      <c r="RR26">
        <v>1</v>
      </c>
      <c r="SP26">
        <v>1</v>
      </c>
      <c r="UK26">
        <v>1</v>
      </c>
      <c r="UU26">
        <v>1</v>
      </c>
      <c r="VK26">
        <v>1</v>
      </c>
      <c r="WY26">
        <v>1</v>
      </c>
      <c r="XD26">
        <v>1</v>
      </c>
      <c r="YN26">
        <v>1</v>
      </c>
      <c r="AAZ26">
        <v>1</v>
      </c>
      <c r="ABC26">
        <v>1</v>
      </c>
      <c r="ABT26">
        <v>1</v>
      </c>
      <c r="AEF26">
        <v>1</v>
      </c>
      <c r="AEM26">
        <v>1</v>
      </c>
      <c r="AHC26">
        <v>1</v>
      </c>
      <c r="AHO26">
        <v>1</v>
      </c>
      <c r="AHS26">
        <v>1</v>
      </c>
      <c r="AIU26">
        <v>1</v>
      </c>
      <c r="AKN26">
        <v>1</v>
      </c>
      <c r="AKZ26">
        <v>1</v>
      </c>
      <c r="AMA26">
        <v>35</v>
      </c>
    </row>
    <row r="27" spans="1:1015" x14ac:dyDescent="0.3">
      <c r="A27" s="3" t="s">
        <v>1079</v>
      </c>
      <c r="Q27">
        <v>1</v>
      </c>
      <c r="DE27">
        <v>1</v>
      </c>
      <c r="GC27">
        <v>1</v>
      </c>
      <c r="GK27">
        <v>1</v>
      </c>
      <c r="IE27">
        <v>1</v>
      </c>
      <c r="JK27">
        <v>1</v>
      </c>
      <c r="KJ27">
        <v>1</v>
      </c>
      <c r="LG27">
        <v>1</v>
      </c>
      <c r="LH27">
        <v>1</v>
      </c>
      <c r="MD27">
        <v>1</v>
      </c>
      <c r="PZ27">
        <v>1</v>
      </c>
      <c r="QS27">
        <v>1</v>
      </c>
      <c r="RQ27">
        <v>1</v>
      </c>
      <c r="SH27">
        <v>1</v>
      </c>
      <c r="UV27">
        <v>1</v>
      </c>
      <c r="XA27">
        <v>1</v>
      </c>
      <c r="YC27">
        <v>1</v>
      </c>
      <c r="ZT27">
        <v>1</v>
      </c>
      <c r="ACH27">
        <v>1</v>
      </c>
      <c r="ACI27">
        <v>1</v>
      </c>
      <c r="ADE27">
        <v>1</v>
      </c>
      <c r="ADI27">
        <v>1</v>
      </c>
      <c r="AGA27">
        <v>1</v>
      </c>
      <c r="ALN27">
        <v>1</v>
      </c>
      <c r="ALV27">
        <v>1</v>
      </c>
      <c r="AMA27">
        <v>25</v>
      </c>
    </row>
    <row r="28" spans="1:1015" x14ac:dyDescent="0.3">
      <c r="A28" s="3" t="s">
        <v>1080</v>
      </c>
      <c r="T28">
        <v>1</v>
      </c>
      <c r="CG28">
        <v>1</v>
      </c>
      <c r="CK28">
        <v>1</v>
      </c>
      <c r="DJ28">
        <v>1</v>
      </c>
      <c r="DO28">
        <v>1</v>
      </c>
      <c r="DR28">
        <v>1</v>
      </c>
      <c r="DS28">
        <v>1</v>
      </c>
      <c r="GO28">
        <v>1</v>
      </c>
      <c r="HC28">
        <v>1</v>
      </c>
      <c r="HX28">
        <v>1</v>
      </c>
      <c r="IP28">
        <v>1</v>
      </c>
      <c r="IX28">
        <v>1</v>
      </c>
      <c r="JH28">
        <v>1</v>
      </c>
      <c r="JW28">
        <v>1</v>
      </c>
      <c r="KP28">
        <v>1</v>
      </c>
      <c r="LP28">
        <v>1</v>
      </c>
      <c r="OE28">
        <v>1</v>
      </c>
      <c r="OP28">
        <v>1</v>
      </c>
      <c r="QT28">
        <v>1</v>
      </c>
      <c r="RJ28">
        <v>1</v>
      </c>
      <c r="SM28">
        <v>1</v>
      </c>
      <c r="VP28">
        <v>1</v>
      </c>
      <c r="WB28">
        <v>1</v>
      </c>
      <c r="WD28">
        <v>1</v>
      </c>
      <c r="ZG28">
        <v>1</v>
      </c>
      <c r="ZR28">
        <v>1</v>
      </c>
      <c r="ZW28">
        <v>1</v>
      </c>
      <c r="AAV28">
        <v>1</v>
      </c>
      <c r="ADQ28">
        <v>1</v>
      </c>
      <c r="ADT28">
        <v>1</v>
      </c>
      <c r="AII28">
        <v>1</v>
      </c>
      <c r="AJA28">
        <v>1</v>
      </c>
      <c r="AJM28">
        <v>1</v>
      </c>
      <c r="AMA28">
        <v>33</v>
      </c>
    </row>
    <row r="29" spans="1:1015" x14ac:dyDescent="0.3">
      <c r="A29" s="3" t="s">
        <v>1081</v>
      </c>
      <c r="AL29">
        <v>1</v>
      </c>
      <c r="BP29">
        <v>1</v>
      </c>
      <c r="CR29">
        <v>1</v>
      </c>
      <c r="EW29">
        <v>1</v>
      </c>
      <c r="FJ29">
        <v>1</v>
      </c>
      <c r="FU29">
        <v>1</v>
      </c>
      <c r="GF29">
        <v>1</v>
      </c>
      <c r="GT29">
        <v>1</v>
      </c>
      <c r="GY29">
        <v>1</v>
      </c>
      <c r="JU29">
        <v>1</v>
      </c>
      <c r="LW29">
        <v>1</v>
      </c>
      <c r="MC29">
        <v>1</v>
      </c>
      <c r="PR29">
        <v>1</v>
      </c>
      <c r="QK29">
        <v>1</v>
      </c>
      <c r="RF29">
        <v>1</v>
      </c>
      <c r="ST29">
        <v>1</v>
      </c>
      <c r="TD29">
        <v>1</v>
      </c>
      <c r="TT29">
        <v>1</v>
      </c>
      <c r="WQ29">
        <v>1</v>
      </c>
      <c r="WT29">
        <v>1</v>
      </c>
      <c r="XF29">
        <v>1</v>
      </c>
      <c r="XZ29">
        <v>1</v>
      </c>
      <c r="ACM29">
        <v>1</v>
      </c>
      <c r="ACO29">
        <v>1</v>
      </c>
      <c r="ADN29">
        <v>1</v>
      </c>
      <c r="AFU29">
        <v>1</v>
      </c>
      <c r="AFV29">
        <v>1</v>
      </c>
      <c r="AGQ29">
        <v>1</v>
      </c>
      <c r="AHK29">
        <v>1</v>
      </c>
      <c r="AJU29">
        <v>1</v>
      </c>
      <c r="AKS29">
        <v>1</v>
      </c>
      <c r="AMA29">
        <v>31</v>
      </c>
    </row>
    <row r="30" spans="1:1015" x14ac:dyDescent="0.3">
      <c r="A30" s="3" t="s">
        <v>1082</v>
      </c>
      <c r="AD30">
        <v>1</v>
      </c>
      <c r="AN30">
        <v>1</v>
      </c>
      <c r="BG30">
        <v>1</v>
      </c>
      <c r="CF30">
        <v>1</v>
      </c>
      <c r="CH30">
        <v>1</v>
      </c>
      <c r="CS30">
        <v>1</v>
      </c>
      <c r="DD30">
        <v>1</v>
      </c>
      <c r="EK30">
        <v>1</v>
      </c>
      <c r="JC30">
        <v>1</v>
      </c>
      <c r="JT30">
        <v>1</v>
      </c>
      <c r="JV30">
        <v>1</v>
      </c>
      <c r="OC30">
        <v>1</v>
      </c>
      <c r="ON30">
        <v>1</v>
      </c>
      <c r="OY30">
        <v>1</v>
      </c>
      <c r="PO30">
        <v>1</v>
      </c>
      <c r="QE30">
        <v>1</v>
      </c>
      <c r="SI30">
        <v>1</v>
      </c>
      <c r="SJ30">
        <v>1</v>
      </c>
      <c r="TU30">
        <v>1</v>
      </c>
      <c r="VW30">
        <v>1</v>
      </c>
      <c r="WO30">
        <v>1</v>
      </c>
      <c r="AAA30">
        <v>1</v>
      </c>
      <c r="ABR30">
        <v>1</v>
      </c>
      <c r="AFY30">
        <v>1</v>
      </c>
      <c r="AHG30">
        <v>1</v>
      </c>
      <c r="AIM30">
        <v>1</v>
      </c>
      <c r="AJQ30">
        <v>1</v>
      </c>
      <c r="AKF30">
        <v>1</v>
      </c>
      <c r="AMA30">
        <v>28</v>
      </c>
    </row>
    <row r="31" spans="1:1015" x14ac:dyDescent="0.3">
      <c r="A31" s="3" t="s">
        <v>1083</v>
      </c>
      <c r="DH31">
        <v>1</v>
      </c>
      <c r="GL31">
        <v>1</v>
      </c>
      <c r="GN31">
        <v>1</v>
      </c>
      <c r="HU31">
        <v>1</v>
      </c>
      <c r="IT31">
        <v>1</v>
      </c>
      <c r="JO31">
        <v>1</v>
      </c>
      <c r="KA31">
        <v>1</v>
      </c>
      <c r="LQ31">
        <v>1</v>
      </c>
      <c r="NE31">
        <v>1</v>
      </c>
      <c r="NQ31">
        <v>1</v>
      </c>
      <c r="RA31">
        <v>1</v>
      </c>
      <c r="SR31">
        <v>1</v>
      </c>
      <c r="TS31">
        <v>1</v>
      </c>
      <c r="UG31">
        <v>1</v>
      </c>
      <c r="WU31">
        <v>1</v>
      </c>
      <c r="XS31">
        <v>1</v>
      </c>
      <c r="YH31">
        <v>1</v>
      </c>
      <c r="ADA31">
        <v>1</v>
      </c>
      <c r="AIV31">
        <v>1</v>
      </c>
      <c r="AIX31">
        <v>1</v>
      </c>
      <c r="AJT31">
        <v>1</v>
      </c>
      <c r="ALY31">
        <v>1</v>
      </c>
      <c r="AMA31">
        <v>22</v>
      </c>
    </row>
    <row r="32" spans="1:1015" x14ac:dyDescent="0.3">
      <c r="A32" s="3" t="s">
        <v>1084</v>
      </c>
      <c r="BY32">
        <v>1</v>
      </c>
      <c r="DF32">
        <v>1</v>
      </c>
      <c r="EZ32">
        <v>1</v>
      </c>
      <c r="HS32">
        <v>1</v>
      </c>
      <c r="MA32">
        <v>1</v>
      </c>
      <c r="ME32">
        <v>1</v>
      </c>
      <c r="MG32">
        <v>1</v>
      </c>
      <c r="MX32">
        <v>1</v>
      </c>
      <c r="NF32">
        <v>1</v>
      </c>
      <c r="PP32">
        <v>1</v>
      </c>
      <c r="UE32">
        <v>1</v>
      </c>
      <c r="UP32">
        <v>1</v>
      </c>
      <c r="VJ32">
        <v>1</v>
      </c>
      <c r="VY32">
        <v>1</v>
      </c>
      <c r="VZ32">
        <v>1</v>
      </c>
      <c r="WS32">
        <v>1</v>
      </c>
      <c r="XO32">
        <v>1</v>
      </c>
      <c r="YM32">
        <v>1</v>
      </c>
      <c r="ZB32">
        <v>1</v>
      </c>
      <c r="AAQ32">
        <v>1</v>
      </c>
      <c r="ABH32">
        <v>1</v>
      </c>
      <c r="ABM32">
        <v>1</v>
      </c>
      <c r="AEE32">
        <v>1</v>
      </c>
      <c r="AEH32">
        <v>1</v>
      </c>
      <c r="AEO32">
        <v>1</v>
      </c>
      <c r="AES32">
        <v>1</v>
      </c>
      <c r="AIE32">
        <v>1</v>
      </c>
      <c r="AJO32">
        <v>1</v>
      </c>
      <c r="AKM32">
        <v>1</v>
      </c>
      <c r="AMA32">
        <v>29</v>
      </c>
    </row>
    <row r="33" spans="1:1015" x14ac:dyDescent="0.3">
      <c r="A33" s="3" t="s">
        <v>1085</v>
      </c>
      <c r="B33">
        <v>1</v>
      </c>
      <c r="C33">
        <v>1</v>
      </c>
      <c r="AF33">
        <v>1</v>
      </c>
      <c r="AG33">
        <v>1</v>
      </c>
      <c r="AM33">
        <v>1</v>
      </c>
      <c r="BJ33">
        <v>1</v>
      </c>
      <c r="CI33">
        <v>1</v>
      </c>
      <c r="EB33">
        <v>1</v>
      </c>
      <c r="GU33">
        <v>1</v>
      </c>
      <c r="HM33">
        <v>1</v>
      </c>
      <c r="IR33">
        <v>1</v>
      </c>
      <c r="IS33">
        <v>1</v>
      </c>
      <c r="JL33">
        <v>1</v>
      </c>
      <c r="JQ33">
        <v>1</v>
      </c>
      <c r="KS33">
        <v>1</v>
      </c>
      <c r="LO33">
        <v>1</v>
      </c>
      <c r="MT33">
        <v>1</v>
      </c>
      <c r="NB33">
        <v>1</v>
      </c>
      <c r="NM33">
        <v>1</v>
      </c>
      <c r="OJ33">
        <v>1</v>
      </c>
      <c r="QQ33">
        <v>1</v>
      </c>
      <c r="UQ33">
        <v>1</v>
      </c>
      <c r="VS33">
        <v>1</v>
      </c>
      <c r="VV33">
        <v>1</v>
      </c>
      <c r="XE33">
        <v>1</v>
      </c>
      <c r="XH33">
        <v>1</v>
      </c>
      <c r="XV33">
        <v>1</v>
      </c>
      <c r="YG33">
        <v>1</v>
      </c>
      <c r="YT33">
        <v>1</v>
      </c>
      <c r="YU33">
        <v>1</v>
      </c>
      <c r="ZN33">
        <v>1</v>
      </c>
      <c r="ABD33">
        <v>1</v>
      </c>
      <c r="ABS33">
        <v>1</v>
      </c>
      <c r="ABZ33">
        <v>1</v>
      </c>
      <c r="AFH33">
        <v>1</v>
      </c>
      <c r="AHM33">
        <v>1</v>
      </c>
      <c r="AIW33">
        <v>1</v>
      </c>
      <c r="AKL33">
        <v>1</v>
      </c>
      <c r="AKU33">
        <v>1</v>
      </c>
      <c r="ALP33">
        <v>1</v>
      </c>
      <c r="ALS33">
        <v>1</v>
      </c>
      <c r="AMA33">
        <v>41</v>
      </c>
    </row>
    <row r="34" spans="1:1015" x14ac:dyDescent="0.3">
      <c r="A34" s="3" t="s">
        <v>1086</v>
      </c>
      <c r="AS34">
        <v>1</v>
      </c>
      <c r="BI34">
        <v>1</v>
      </c>
      <c r="DT34">
        <v>1</v>
      </c>
      <c r="FK34">
        <v>1</v>
      </c>
      <c r="FP34">
        <v>1</v>
      </c>
      <c r="FX34">
        <v>1</v>
      </c>
      <c r="FZ34">
        <v>1</v>
      </c>
      <c r="HB34">
        <v>1</v>
      </c>
      <c r="IA34">
        <v>1</v>
      </c>
      <c r="II34">
        <v>1</v>
      </c>
      <c r="IM34">
        <v>1</v>
      </c>
      <c r="JF34">
        <v>1</v>
      </c>
      <c r="KG34">
        <v>1</v>
      </c>
      <c r="KQ34">
        <v>1</v>
      </c>
      <c r="LX34">
        <v>1</v>
      </c>
      <c r="SL34">
        <v>1</v>
      </c>
      <c r="TP34">
        <v>1</v>
      </c>
      <c r="VQ34">
        <v>1</v>
      </c>
      <c r="VR34">
        <v>1</v>
      </c>
      <c r="WE34">
        <v>1</v>
      </c>
      <c r="YS34">
        <v>1</v>
      </c>
      <c r="ZL34">
        <v>1</v>
      </c>
      <c r="ACB34">
        <v>1</v>
      </c>
      <c r="ACN34">
        <v>1</v>
      </c>
      <c r="ACW34">
        <v>1</v>
      </c>
      <c r="ADH34">
        <v>1</v>
      </c>
      <c r="ADW34">
        <v>1</v>
      </c>
      <c r="AFO34">
        <v>1</v>
      </c>
      <c r="AGS34">
        <v>1</v>
      </c>
      <c r="AHF34">
        <v>1</v>
      </c>
      <c r="AIA34">
        <v>1</v>
      </c>
      <c r="AIF34">
        <v>1</v>
      </c>
      <c r="ALE34">
        <v>1</v>
      </c>
      <c r="ALF34">
        <v>1</v>
      </c>
      <c r="AMA34">
        <v>34</v>
      </c>
    </row>
    <row r="35" spans="1:1015" x14ac:dyDescent="0.3">
      <c r="A35" s="3" t="s">
        <v>1087</v>
      </c>
      <c r="X35">
        <v>1</v>
      </c>
      <c r="BA35">
        <v>1</v>
      </c>
      <c r="ES35">
        <v>1</v>
      </c>
      <c r="FI35">
        <v>1</v>
      </c>
      <c r="FV35">
        <v>1</v>
      </c>
      <c r="GX35">
        <v>1</v>
      </c>
      <c r="IL35">
        <v>1</v>
      </c>
      <c r="JB35">
        <v>1</v>
      </c>
      <c r="NV35">
        <v>1</v>
      </c>
      <c r="PC35">
        <v>1</v>
      </c>
      <c r="QW35">
        <v>1</v>
      </c>
      <c r="RO35">
        <v>1</v>
      </c>
      <c r="TX35">
        <v>1</v>
      </c>
      <c r="UA35">
        <v>1</v>
      </c>
      <c r="UO35">
        <v>1</v>
      </c>
      <c r="XL35">
        <v>1</v>
      </c>
      <c r="ZS35">
        <v>1</v>
      </c>
      <c r="ABE35">
        <v>1</v>
      </c>
      <c r="ACP35">
        <v>1</v>
      </c>
      <c r="AFN35">
        <v>1</v>
      </c>
      <c r="AFP35">
        <v>1</v>
      </c>
      <c r="AIR35">
        <v>1</v>
      </c>
      <c r="ALQ35">
        <v>1</v>
      </c>
      <c r="AMA35">
        <v>23</v>
      </c>
    </row>
    <row r="36" spans="1:1015" x14ac:dyDescent="0.3">
      <c r="A36" s="3" t="s">
        <v>1088</v>
      </c>
      <c r="D36">
        <v>1</v>
      </c>
      <c r="J36">
        <v>1</v>
      </c>
      <c r="DA36">
        <v>1</v>
      </c>
      <c r="EO36">
        <v>1</v>
      </c>
      <c r="FA36">
        <v>1</v>
      </c>
      <c r="FR36">
        <v>1</v>
      </c>
      <c r="HR36">
        <v>1</v>
      </c>
      <c r="IZ36">
        <v>1</v>
      </c>
      <c r="JI36">
        <v>1</v>
      </c>
      <c r="KC36">
        <v>1</v>
      </c>
      <c r="LS36">
        <v>1</v>
      </c>
      <c r="MP36">
        <v>1</v>
      </c>
      <c r="NZ36">
        <v>1</v>
      </c>
      <c r="PS36">
        <v>1</v>
      </c>
      <c r="QC36">
        <v>1</v>
      </c>
      <c r="RC36">
        <v>1</v>
      </c>
      <c r="RI36">
        <v>1</v>
      </c>
      <c r="SC36">
        <v>1</v>
      </c>
      <c r="SS36">
        <v>1</v>
      </c>
      <c r="SZ36">
        <v>1</v>
      </c>
      <c r="TN36">
        <v>1</v>
      </c>
      <c r="UW36">
        <v>1</v>
      </c>
      <c r="WI36">
        <v>1</v>
      </c>
      <c r="WP36">
        <v>1</v>
      </c>
      <c r="YP36">
        <v>1</v>
      </c>
      <c r="ABN36">
        <v>1</v>
      </c>
      <c r="ADB36">
        <v>1</v>
      </c>
      <c r="ADS36">
        <v>1</v>
      </c>
      <c r="ADX36">
        <v>1</v>
      </c>
      <c r="ADZ36">
        <v>1</v>
      </c>
      <c r="AEA36">
        <v>1</v>
      </c>
      <c r="AET36">
        <v>1</v>
      </c>
      <c r="AGP36">
        <v>1</v>
      </c>
      <c r="AHQ36">
        <v>1</v>
      </c>
      <c r="AIC36">
        <v>1</v>
      </c>
      <c r="AIH36">
        <v>1</v>
      </c>
      <c r="AJI36">
        <v>1</v>
      </c>
      <c r="AKT36">
        <v>1</v>
      </c>
      <c r="AMA36">
        <v>38</v>
      </c>
    </row>
    <row r="37" spans="1:1015" x14ac:dyDescent="0.3">
      <c r="A37" s="3" t="s">
        <v>1056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  <c r="ALO37">
        <v>1</v>
      </c>
      <c r="ALP37">
        <v>1</v>
      </c>
      <c r="ALQ37">
        <v>1</v>
      </c>
      <c r="ALR37">
        <v>1</v>
      </c>
      <c r="ALS37">
        <v>1</v>
      </c>
      <c r="ALT37">
        <v>1</v>
      </c>
      <c r="ALU37">
        <v>1</v>
      </c>
      <c r="ALV37">
        <v>1</v>
      </c>
      <c r="ALW37">
        <v>1</v>
      </c>
      <c r="ALX37">
        <v>1</v>
      </c>
      <c r="ALY37">
        <v>1</v>
      </c>
      <c r="ALZ37">
        <v>1</v>
      </c>
      <c r="AMA37">
        <v>1013</v>
      </c>
    </row>
  </sheetData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4"/>
  <sheetViews>
    <sheetView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5" width="12" customWidth="1"/>
    <col min="6" max="7" width="21" customWidth="1"/>
    <col min="8" max="8" width="12" customWidth="1"/>
    <col min="9" max="9" width="15" customWidth="1"/>
    <col min="10" max="11" width="19" customWidth="1"/>
    <col min="12" max="12" width="18" customWidth="1"/>
    <col min="13" max="14" width="12" customWidth="1"/>
    <col min="15" max="15" width="21" customWidth="1"/>
    <col min="16" max="16" width="20" customWidth="1"/>
    <col min="17" max="17" width="16" customWidth="1"/>
    <col min="18" max="18" width="12" customWidth="1"/>
    <col min="19" max="19" width="20" customWidth="1"/>
    <col min="20" max="20" width="12" customWidth="1"/>
    <col min="21" max="21" width="17" customWidth="1"/>
    <col min="22" max="22" width="14" customWidth="1"/>
    <col min="23" max="23" width="15" customWidth="1"/>
    <col min="24" max="25" width="12" customWidth="1"/>
    <col min="26" max="26" width="18" customWidth="1"/>
    <col min="27" max="27" width="20" customWidth="1"/>
  </cols>
  <sheetData>
    <row r="1" spans="1:27" x14ac:dyDescent="0.3">
      <c r="A1" s="6" t="s">
        <v>1089</v>
      </c>
      <c r="B1" s="6" t="s">
        <v>38</v>
      </c>
      <c r="C1" s="6" t="s">
        <v>1090</v>
      </c>
      <c r="D1" s="6" t="s">
        <v>1091</v>
      </c>
      <c r="E1" s="6" t="s">
        <v>1092</v>
      </c>
      <c r="F1" s="6" t="s">
        <v>1093</v>
      </c>
      <c r="G1" s="6" t="s">
        <v>1094</v>
      </c>
      <c r="H1" s="6" t="s">
        <v>1095</v>
      </c>
      <c r="I1" s="6" t="s">
        <v>1096</v>
      </c>
      <c r="J1" s="6" t="s">
        <v>1097</v>
      </c>
      <c r="K1" s="6" t="s">
        <v>1098</v>
      </c>
      <c r="L1" s="6" t="s">
        <v>1099</v>
      </c>
      <c r="M1" s="6" t="s">
        <v>1100</v>
      </c>
      <c r="N1" s="6" t="s">
        <v>1101</v>
      </c>
      <c r="O1" s="6" t="s">
        <v>1102</v>
      </c>
      <c r="P1" s="6" t="s">
        <v>1103</v>
      </c>
      <c r="Q1" s="6" t="s">
        <v>1104</v>
      </c>
      <c r="R1" s="6" t="s">
        <v>1105</v>
      </c>
      <c r="S1" s="6" t="s">
        <v>1106</v>
      </c>
      <c r="T1" s="6" t="s">
        <v>1107</v>
      </c>
      <c r="U1" s="6" t="s">
        <v>1108</v>
      </c>
      <c r="V1" s="6" t="s">
        <v>1109</v>
      </c>
      <c r="W1" s="6" t="s">
        <v>1110</v>
      </c>
      <c r="X1" s="6" t="s">
        <v>1111</v>
      </c>
      <c r="Y1" s="6" t="s">
        <v>1112</v>
      </c>
      <c r="Z1" s="6" t="s">
        <v>1113</v>
      </c>
      <c r="AA1" s="6" t="s">
        <v>1114</v>
      </c>
    </row>
    <row r="2" spans="1:27" x14ac:dyDescent="0.3">
      <c r="A2" t="s">
        <v>437</v>
      </c>
      <c r="B2" t="s">
        <v>1115</v>
      </c>
      <c r="C2" t="s">
        <v>1068</v>
      </c>
      <c r="D2" t="s">
        <v>1116</v>
      </c>
      <c r="E2" t="s">
        <v>1117</v>
      </c>
      <c r="F2" s="1">
        <v>46294.21875</v>
      </c>
      <c r="G2" s="1">
        <v>46294.231249999997</v>
      </c>
      <c r="H2">
        <v>3</v>
      </c>
      <c r="I2">
        <v>18</v>
      </c>
      <c r="J2" t="b">
        <v>0</v>
      </c>
      <c r="K2" t="b">
        <v>0</v>
      </c>
      <c r="L2" t="b">
        <v>0</v>
      </c>
      <c r="M2">
        <v>15</v>
      </c>
      <c r="N2" t="s">
        <v>1118</v>
      </c>
      <c r="O2" s="1">
        <v>46294.216666666667</v>
      </c>
      <c r="P2" t="b">
        <v>0</v>
      </c>
      <c r="Q2" t="s">
        <v>1119</v>
      </c>
      <c r="R2" t="s">
        <v>1120</v>
      </c>
      <c r="S2" t="s">
        <v>1121</v>
      </c>
      <c r="T2" t="s">
        <v>1122</v>
      </c>
      <c r="U2" t="s">
        <v>1123</v>
      </c>
      <c r="V2" t="s">
        <v>1124</v>
      </c>
      <c r="W2" t="s">
        <v>1125</v>
      </c>
      <c r="X2">
        <v>5</v>
      </c>
      <c r="Y2" t="s">
        <v>1126</v>
      </c>
      <c r="Z2" t="s">
        <v>1127</v>
      </c>
      <c r="AA2">
        <v>6</v>
      </c>
    </row>
    <row r="3" spans="1:27" x14ac:dyDescent="0.3">
      <c r="A3" t="s">
        <v>306</v>
      </c>
      <c r="B3" t="s">
        <v>1128</v>
      </c>
      <c r="C3" t="s">
        <v>1064</v>
      </c>
      <c r="D3" t="s">
        <v>1116</v>
      </c>
      <c r="E3" t="s">
        <v>1129</v>
      </c>
      <c r="F3" s="1">
        <v>46285.774305555547</v>
      </c>
      <c r="G3" s="1">
        <v>46285.786111111112</v>
      </c>
      <c r="H3">
        <v>5</v>
      </c>
      <c r="I3">
        <v>17</v>
      </c>
      <c r="J3" t="b">
        <v>0</v>
      </c>
      <c r="K3" t="b">
        <v>0</v>
      </c>
      <c r="L3" t="b">
        <v>0</v>
      </c>
      <c r="M3">
        <v>6</v>
      </c>
      <c r="N3" t="s">
        <v>1130</v>
      </c>
      <c r="O3" s="1">
        <v>46285.751388888893</v>
      </c>
      <c r="P3" t="b">
        <v>0</v>
      </c>
      <c r="Q3" t="s">
        <v>1119</v>
      </c>
      <c r="R3" t="s">
        <v>1131</v>
      </c>
      <c r="S3" t="s">
        <v>1132</v>
      </c>
      <c r="T3" t="s">
        <v>1122</v>
      </c>
      <c r="U3" t="s">
        <v>1123</v>
      </c>
      <c r="V3" t="s">
        <v>1124</v>
      </c>
      <c r="W3" t="s">
        <v>1125</v>
      </c>
      <c r="X3">
        <v>18</v>
      </c>
      <c r="Y3" t="s">
        <v>1133</v>
      </c>
      <c r="Z3" t="s">
        <v>1134</v>
      </c>
      <c r="AA3">
        <v>3.4</v>
      </c>
    </row>
    <row r="4" spans="1:27" x14ac:dyDescent="0.3">
      <c r="A4" t="s">
        <v>783</v>
      </c>
      <c r="B4" t="s">
        <v>1135</v>
      </c>
      <c r="C4" t="s">
        <v>1088</v>
      </c>
      <c r="D4" t="s">
        <v>1136</v>
      </c>
      <c r="E4" t="s">
        <v>1137</v>
      </c>
      <c r="F4" s="1">
        <v>46269.696527777778</v>
      </c>
      <c r="G4" s="1">
        <v>46269.708333333343</v>
      </c>
      <c r="H4">
        <v>6</v>
      </c>
      <c r="I4">
        <v>17</v>
      </c>
      <c r="J4" t="b">
        <v>0</v>
      </c>
      <c r="K4" t="b">
        <v>0</v>
      </c>
      <c r="L4" t="b">
        <v>0</v>
      </c>
      <c r="M4">
        <v>15</v>
      </c>
      <c r="N4" t="s">
        <v>1118</v>
      </c>
      <c r="O4" s="1">
        <v>46269.660416666673</v>
      </c>
      <c r="P4" t="b">
        <v>0</v>
      </c>
      <c r="Q4" t="s">
        <v>1138</v>
      </c>
      <c r="R4" t="s">
        <v>1139</v>
      </c>
      <c r="S4" t="s">
        <v>1132</v>
      </c>
      <c r="T4" t="s">
        <v>1140</v>
      </c>
      <c r="U4" t="s">
        <v>1123</v>
      </c>
      <c r="V4" t="s">
        <v>1141</v>
      </c>
      <c r="W4" t="s">
        <v>1125</v>
      </c>
      <c r="X4">
        <v>15</v>
      </c>
      <c r="Y4" t="s">
        <v>1142</v>
      </c>
      <c r="Z4" t="s">
        <v>1127</v>
      </c>
      <c r="AA4">
        <v>2.833333333333333</v>
      </c>
    </row>
    <row r="5" spans="1:27" x14ac:dyDescent="0.3">
      <c r="A5" t="s">
        <v>426</v>
      </c>
      <c r="B5" t="s">
        <v>1143</v>
      </c>
      <c r="C5" t="s">
        <v>1062</v>
      </c>
      <c r="D5" t="s">
        <v>1116</v>
      </c>
      <c r="E5" t="s">
        <v>1144</v>
      </c>
      <c r="F5" s="1">
        <v>46289.231249999997</v>
      </c>
      <c r="G5" s="1">
        <v>46289.242361111108</v>
      </c>
      <c r="H5">
        <v>6</v>
      </c>
      <c r="I5">
        <v>16</v>
      </c>
      <c r="J5" t="b">
        <v>0</v>
      </c>
      <c r="K5" t="b">
        <v>0</v>
      </c>
      <c r="L5" t="b">
        <v>0</v>
      </c>
      <c r="M5">
        <v>3</v>
      </c>
      <c r="N5" t="s">
        <v>1130</v>
      </c>
      <c r="O5" s="1">
        <v>46289.17083333333</v>
      </c>
      <c r="P5" t="b">
        <v>0</v>
      </c>
      <c r="Q5" t="s">
        <v>1138</v>
      </c>
      <c r="R5" t="s">
        <v>1120</v>
      </c>
      <c r="S5" t="s">
        <v>1145</v>
      </c>
      <c r="T5" t="s">
        <v>1122</v>
      </c>
      <c r="U5" t="s">
        <v>1123</v>
      </c>
      <c r="V5" t="s">
        <v>1124</v>
      </c>
      <c r="W5" t="s">
        <v>1125</v>
      </c>
      <c r="X5">
        <v>4</v>
      </c>
      <c r="Y5" t="s">
        <v>1146</v>
      </c>
      <c r="Z5" t="s">
        <v>1147</v>
      </c>
      <c r="AA5">
        <v>2.666666666666667</v>
      </c>
    </row>
    <row r="6" spans="1:27" x14ac:dyDescent="0.3">
      <c r="A6" t="s">
        <v>823</v>
      </c>
      <c r="B6" t="s">
        <v>1148</v>
      </c>
      <c r="C6" t="s">
        <v>1088</v>
      </c>
      <c r="D6" t="s">
        <v>1149</v>
      </c>
      <c r="E6" t="s">
        <v>1150</v>
      </c>
      <c r="F6" s="1">
        <v>46275.088888888888</v>
      </c>
      <c r="G6" s="1">
        <v>46275.1</v>
      </c>
      <c r="H6">
        <v>1</v>
      </c>
      <c r="I6">
        <v>16</v>
      </c>
      <c r="J6" t="b">
        <v>0</v>
      </c>
      <c r="K6" t="b">
        <v>0</v>
      </c>
      <c r="L6" t="b">
        <v>0</v>
      </c>
      <c r="M6">
        <v>10</v>
      </c>
      <c r="N6" t="s">
        <v>1118</v>
      </c>
      <c r="O6" s="1">
        <v>46275.054861111108</v>
      </c>
      <c r="P6" t="b">
        <v>0</v>
      </c>
      <c r="Q6" t="s">
        <v>1151</v>
      </c>
      <c r="R6" t="s">
        <v>1131</v>
      </c>
      <c r="S6" t="s">
        <v>1121</v>
      </c>
      <c r="T6" t="s">
        <v>1140</v>
      </c>
      <c r="U6" t="s">
        <v>1123</v>
      </c>
      <c r="V6" t="s">
        <v>1152</v>
      </c>
      <c r="W6" t="s">
        <v>1145</v>
      </c>
      <c r="X6">
        <v>1</v>
      </c>
      <c r="Y6" t="s">
        <v>1146</v>
      </c>
      <c r="Z6" t="s">
        <v>1134</v>
      </c>
      <c r="AA6">
        <v>16</v>
      </c>
    </row>
    <row r="7" spans="1:27" x14ac:dyDescent="0.3">
      <c r="A7" t="s">
        <v>56</v>
      </c>
      <c r="B7" t="s">
        <v>1153</v>
      </c>
      <c r="C7" t="s">
        <v>1062</v>
      </c>
      <c r="D7" t="s">
        <v>1116</v>
      </c>
      <c r="E7" t="s">
        <v>1154</v>
      </c>
      <c r="F7" s="1">
        <v>46280.345138888893</v>
      </c>
      <c r="G7" s="1">
        <v>46280.356249999997</v>
      </c>
      <c r="H7">
        <v>5</v>
      </c>
      <c r="I7">
        <v>16</v>
      </c>
      <c r="J7" t="b">
        <v>0</v>
      </c>
      <c r="K7" t="b">
        <v>0</v>
      </c>
      <c r="L7" t="b">
        <v>0</v>
      </c>
      <c r="M7">
        <v>10</v>
      </c>
      <c r="N7" t="s">
        <v>1155</v>
      </c>
      <c r="O7" s="1">
        <v>46280.222916666673</v>
      </c>
      <c r="P7" t="b">
        <v>0</v>
      </c>
      <c r="Q7" t="s">
        <v>1156</v>
      </c>
      <c r="R7" t="s">
        <v>1131</v>
      </c>
      <c r="S7" t="s">
        <v>1157</v>
      </c>
      <c r="T7" t="s">
        <v>1122</v>
      </c>
      <c r="U7" t="s">
        <v>1123</v>
      </c>
      <c r="V7" t="s">
        <v>1124</v>
      </c>
      <c r="W7" t="s">
        <v>1125</v>
      </c>
      <c r="X7">
        <v>5</v>
      </c>
      <c r="Y7" t="s">
        <v>1126</v>
      </c>
      <c r="Z7" t="s">
        <v>1134</v>
      </c>
      <c r="AA7">
        <v>3.2</v>
      </c>
    </row>
    <row r="8" spans="1:27" x14ac:dyDescent="0.3">
      <c r="A8" t="s">
        <v>653</v>
      </c>
      <c r="B8" t="s">
        <v>1158</v>
      </c>
      <c r="C8" t="s">
        <v>1071</v>
      </c>
      <c r="D8" t="s">
        <v>1116</v>
      </c>
      <c r="E8" t="s">
        <v>1159</v>
      </c>
      <c r="F8" s="1">
        <v>46282.884027777778</v>
      </c>
      <c r="G8" s="1">
        <v>46282.894444444442</v>
      </c>
      <c r="H8">
        <v>7</v>
      </c>
      <c r="I8">
        <v>15</v>
      </c>
      <c r="J8" t="b">
        <v>0</v>
      </c>
      <c r="K8" t="b">
        <v>0</v>
      </c>
      <c r="L8" t="b">
        <v>0</v>
      </c>
      <c r="M8">
        <v>5</v>
      </c>
      <c r="N8" t="s">
        <v>1118</v>
      </c>
      <c r="O8" s="1">
        <v>46282.870833333327</v>
      </c>
      <c r="P8" t="b">
        <v>0</v>
      </c>
      <c r="Q8" t="s">
        <v>1138</v>
      </c>
      <c r="R8" t="s">
        <v>1120</v>
      </c>
      <c r="S8" t="s">
        <v>1132</v>
      </c>
      <c r="T8" t="s">
        <v>1122</v>
      </c>
      <c r="U8" t="s">
        <v>1145</v>
      </c>
      <c r="V8" t="s">
        <v>1124</v>
      </c>
      <c r="W8" t="s">
        <v>1125</v>
      </c>
      <c r="X8">
        <v>20</v>
      </c>
      <c r="Y8" t="s">
        <v>1146</v>
      </c>
      <c r="Z8" t="s">
        <v>1147</v>
      </c>
      <c r="AA8">
        <v>2.1428571428571428</v>
      </c>
    </row>
    <row r="9" spans="1:27" x14ac:dyDescent="0.3">
      <c r="A9" t="s">
        <v>234</v>
      </c>
      <c r="B9" t="s">
        <v>1160</v>
      </c>
      <c r="C9" t="s">
        <v>1079</v>
      </c>
      <c r="D9" t="s">
        <v>1149</v>
      </c>
      <c r="E9" t="s">
        <v>1129</v>
      </c>
      <c r="F9" s="1">
        <v>46274.592361111107</v>
      </c>
      <c r="G9" s="1">
        <v>46274.602777777778</v>
      </c>
      <c r="H9">
        <v>5</v>
      </c>
      <c r="I9">
        <v>15</v>
      </c>
      <c r="J9" t="b">
        <v>0</v>
      </c>
      <c r="K9" t="b">
        <v>0</v>
      </c>
      <c r="L9" t="b">
        <v>0</v>
      </c>
      <c r="M9">
        <v>10</v>
      </c>
      <c r="N9" t="s">
        <v>1155</v>
      </c>
      <c r="O9" s="1">
        <v>46274.531944444447</v>
      </c>
      <c r="P9" t="b">
        <v>0</v>
      </c>
      <c r="Q9" t="s">
        <v>1119</v>
      </c>
      <c r="R9" t="s">
        <v>1131</v>
      </c>
      <c r="S9" t="s">
        <v>1132</v>
      </c>
      <c r="T9" t="s">
        <v>1145</v>
      </c>
      <c r="U9" t="s">
        <v>1123</v>
      </c>
      <c r="V9" t="s">
        <v>1152</v>
      </c>
      <c r="W9" t="s">
        <v>1145</v>
      </c>
      <c r="X9">
        <v>12</v>
      </c>
      <c r="Y9" t="s">
        <v>1161</v>
      </c>
      <c r="Z9" t="s">
        <v>1134</v>
      </c>
      <c r="AA9">
        <v>3</v>
      </c>
    </row>
    <row r="10" spans="1:27" x14ac:dyDescent="0.3">
      <c r="A10" t="s">
        <v>933</v>
      </c>
      <c r="B10" t="s">
        <v>1162</v>
      </c>
      <c r="C10" t="s">
        <v>1064</v>
      </c>
      <c r="D10" t="s">
        <v>1136</v>
      </c>
      <c r="E10" t="s">
        <v>1163</v>
      </c>
      <c r="F10" s="1">
        <v>46268.008333333331</v>
      </c>
      <c r="G10" s="1">
        <v>46268.018750000003</v>
      </c>
      <c r="H10">
        <v>6</v>
      </c>
      <c r="I10">
        <v>15</v>
      </c>
      <c r="J10" t="b">
        <v>0</v>
      </c>
      <c r="K10" t="b">
        <v>0</v>
      </c>
      <c r="L10" t="b">
        <v>0</v>
      </c>
      <c r="M10">
        <v>15</v>
      </c>
      <c r="N10" t="s">
        <v>1130</v>
      </c>
      <c r="O10" s="1">
        <v>46267.895833333343</v>
      </c>
      <c r="P10" t="b">
        <v>0</v>
      </c>
      <c r="Q10" t="s">
        <v>1119</v>
      </c>
      <c r="R10" t="s">
        <v>1131</v>
      </c>
      <c r="S10" t="s">
        <v>1132</v>
      </c>
      <c r="T10" t="s">
        <v>1122</v>
      </c>
      <c r="U10" t="s">
        <v>1123</v>
      </c>
      <c r="V10" t="s">
        <v>1141</v>
      </c>
      <c r="W10" t="s">
        <v>1125</v>
      </c>
      <c r="X10">
        <v>21</v>
      </c>
      <c r="Y10" t="s">
        <v>1161</v>
      </c>
      <c r="Z10" t="s">
        <v>1127</v>
      </c>
      <c r="AA10">
        <v>2.5</v>
      </c>
    </row>
    <row r="11" spans="1:27" x14ac:dyDescent="0.3">
      <c r="A11" t="s">
        <v>562</v>
      </c>
      <c r="B11" t="s">
        <v>1164</v>
      </c>
      <c r="C11" t="s">
        <v>1062</v>
      </c>
      <c r="D11" t="s">
        <v>1116</v>
      </c>
      <c r="E11" t="s">
        <v>1165</v>
      </c>
      <c r="F11" s="1">
        <v>46266.606249999997</v>
      </c>
      <c r="G11" s="1">
        <v>46266.616666666669</v>
      </c>
      <c r="H11">
        <v>2</v>
      </c>
      <c r="I11">
        <v>15</v>
      </c>
      <c r="J11" t="b">
        <v>0</v>
      </c>
      <c r="K11" t="b">
        <v>0</v>
      </c>
      <c r="L11" t="b">
        <v>0</v>
      </c>
      <c r="M11">
        <v>12</v>
      </c>
      <c r="N11" t="s">
        <v>1130</v>
      </c>
      <c r="O11" s="1">
        <v>46266.54791666667</v>
      </c>
      <c r="P11" t="b">
        <v>0</v>
      </c>
      <c r="Q11" t="s">
        <v>1138</v>
      </c>
      <c r="R11" t="s">
        <v>1120</v>
      </c>
      <c r="S11" t="s">
        <v>1152</v>
      </c>
      <c r="T11" t="s">
        <v>1122</v>
      </c>
      <c r="U11" t="s">
        <v>1123</v>
      </c>
      <c r="V11" t="s">
        <v>1124</v>
      </c>
      <c r="W11" t="s">
        <v>1125</v>
      </c>
      <c r="X11">
        <v>13</v>
      </c>
      <c r="Y11" t="s">
        <v>1126</v>
      </c>
      <c r="Z11" t="s">
        <v>1127</v>
      </c>
      <c r="AA11">
        <v>7.5</v>
      </c>
    </row>
    <row r="12" spans="1:27" x14ac:dyDescent="0.3">
      <c r="A12" t="s">
        <v>886</v>
      </c>
      <c r="B12" t="s">
        <v>1166</v>
      </c>
      <c r="C12" t="s">
        <v>1064</v>
      </c>
      <c r="D12" t="s">
        <v>1149</v>
      </c>
      <c r="E12" t="s">
        <v>1167</v>
      </c>
      <c r="F12" s="1">
        <v>46273.536111111112</v>
      </c>
      <c r="G12" s="1">
        <v>46273.546527777777</v>
      </c>
      <c r="H12">
        <v>7</v>
      </c>
      <c r="I12">
        <v>15</v>
      </c>
      <c r="J12" t="b">
        <v>0</v>
      </c>
      <c r="K12" t="b">
        <v>0</v>
      </c>
      <c r="L12" t="b">
        <v>0</v>
      </c>
      <c r="M12">
        <v>10</v>
      </c>
      <c r="N12" t="s">
        <v>1168</v>
      </c>
      <c r="O12" s="1">
        <v>46273.465277777781</v>
      </c>
      <c r="P12" t="b">
        <v>0</v>
      </c>
      <c r="Q12" t="s">
        <v>1169</v>
      </c>
      <c r="R12" t="s">
        <v>1131</v>
      </c>
      <c r="S12" t="s">
        <v>1157</v>
      </c>
      <c r="T12" t="s">
        <v>1122</v>
      </c>
      <c r="U12" t="s">
        <v>1123</v>
      </c>
      <c r="V12" t="s">
        <v>1152</v>
      </c>
      <c r="W12" t="s">
        <v>1145</v>
      </c>
      <c r="X12">
        <v>11</v>
      </c>
      <c r="Y12" t="s">
        <v>1126</v>
      </c>
      <c r="Z12" t="s">
        <v>1134</v>
      </c>
      <c r="AA12">
        <v>2.1428571428571428</v>
      </c>
    </row>
    <row r="13" spans="1:27" x14ac:dyDescent="0.3">
      <c r="A13" t="s">
        <v>187</v>
      </c>
      <c r="B13" t="s">
        <v>1170</v>
      </c>
      <c r="C13" t="s">
        <v>1077</v>
      </c>
      <c r="D13" t="s">
        <v>1116</v>
      </c>
      <c r="E13" t="s">
        <v>1171</v>
      </c>
      <c r="F13" s="1">
        <v>46277.045138888891</v>
      </c>
      <c r="G13" s="1">
        <v>46277.055555555547</v>
      </c>
      <c r="H13">
        <v>7</v>
      </c>
      <c r="I13">
        <v>15</v>
      </c>
      <c r="J13" t="b">
        <v>0</v>
      </c>
      <c r="K13" t="b">
        <v>0</v>
      </c>
      <c r="L13" t="b">
        <v>0</v>
      </c>
      <c r="M13">
        <v>20</v>
      </c>
      <c r="N13" t="s">
        <v>1118</v>
      </c>
      <c r="O13" s="1">
        <v>46277.038194444453</v>
      </c>
      <c r="P13" t="b">
        <v>0</v>
      </c>
      <c r="Q13" t="s">
        <v>1119</v>
      </c>
      <c r="R13" t="s">
        <v>1131</v>
      </c>
      <c r="S13" t="s">
        <v>1121</v>
      </c>
      <c r="T13" t="s">
        <v>1122</v>
      </c>
      <c r="U13" t="s">
        <v>1172</v>
      </c>
      <c r="V13" t="s">
        <v>1124</v>
      </c>
      <c r="W13" t="s">
        <v>1125</v>
      </c>
      <c r="X13">
        <v>0</v>
      </c>
      <c r="Y13" t="s">
        <v>1173</v>
      </c>
      <c r="Z13" t="s">
        <v>1127</v>
      </c>
      <c r="AA13">
        <v>2.1428571428571428</v>
      </c>
    </row>
    <row r="14" spans="1:27" x14ac:dyDescent="0.3">
      <c r="A14" t="s">
        <v>325</v>
      </c>
      <c r="B14" t="s">
        <v>1174</v>
      </c>
      <c r="C14" t="s">
        <v>1068</v>
      </c>
      <c r="D14" t="s">
        <v>1149</v>
      </c>
      <c r="E14" t="s">
        <v>1175</v>
      </c>
      <c r="F14" s="1">
        <v>46288.043055555558</v>
      </c>
      <c r="G14" s="1">
        <v>46288.053472222222</v>
      </c>
      <c r="H14">
        <v>7</v>
      </c>
      <c r="I14">
        <v>15</v>
      </c>
      <c r="J14" t="b">
        <v>0</v>
      </c>
      <c r="K14" t="b">
        <v>0</v>
      </c>
      <c r="L14" t="b">
        <v>0</v>
      </c>
      <c r="M14">
        <v>4</v>
      </c>
      <c r="N14" t="s">
        <v>1118</v>
      </c>
      <c r="O14" s="1">
        <v>46288.033333333333</v>
      </c>
      <c r="P14" t="b">
        <v>0</v>
      </c>
      <c r="Q14" t="s">
        <v>1169</v>
      </c>
      <c r="R14" t="s">
        <v>1139</v>
      </c>
      <c r="S14" t="s">
        <v>1152</v>
      </c>
      <c r="T14" t="s">
        <v>1122</v>
      </c>
      <c r="U14" t="s">
        <v>1123</v>
      </c>
      <c r="V14" t="s">
        <v>1152</v>
      </c>
      <c r="W14" t="s">
        <v>1145</v>
      </c>
      <c r="X14">
        <v>0</v>
      </c>
      <c r="Y14" t="s">
        <v>1161</v>
      </c>
      <c r="Z14" t="s">
        <v>1147</v>
      </c>
      <c r="AA14">
        <v>2.1428571428571428</v>
      </c>
    </row>
    <row r="15" spans="1:27" x14ac:dyDescent="0.3">
      <c r="A15" t="s">
        <v>51</v>
      </c>
      <c r="B15" t="s">
        <v>1176</v>
      </c>
      <c r="C15" t="s">
        <v>1088</v>
      </c>
      <c r="D15" t="s">
        <v>1136</v>
      </c>
      <c r="E15" t="s">
        <v>1144</v>
      </c>
      <c r="F15" s="1">
        <v>46275.330555555563</v>
      </c>
      <c r="G15" s="1">
        <v>46275.34097222222</v>
      </c>
      <c r="H15">
        <v>6</v>
      </c>
      <c r="I15">
        <v>15</v>
      </c>
      <c r="J15" t="b">
        <v>0</v>
      </c>
      <c r="K15" t="b">
        <v>0</v>
      </c>
      <c r="L15" t="b">
        <v>0</v>
      </c>
      <c r="M15">
        <v>4</v>
      </c>
      <c r="N15" t="s">
        <v>1118</v>
      </c>
      <c r="O15" s="1">
        <v>46275.222916666673</v>
      </c>
      <c r="P15" t="b">
        <v>0</v>
      </c>
      <c r="Q15" t="s">
        <v>1138</v>
      </c>
      <c r="R15" t="s">
        <v>1120</v>
      </c>
      <c r="S15" t="s">
        <v>1145</v>
      </c>
      <c r="T15" t="s">
        <v>1140</v>
      </c>
      <c r="U15" t="s">
        <v>1123</v>
      </c>
      <c r="V15" t="s">
        <v>1141</v>
      </c>
      <c r="W15" t="s">
        <v>1125</v>
      </c>
      <c r="X15">
        <v>5</v>
      </c>
      <c r="Y15" t="s">
        <v>1146</v>
      </c>
      <c r="Z15" t="s">
        <v>1147</v>
      </c>
      <c r="AA15">
        <v>2.5</v>
      </c>
    </row>
    <row r="16" spans="1:27" x14ac:dyDescent="0.3">
      <c r="A16" t="s">
        <v>370</v>
      </c>
      <c r="B16" t="s">
        <v>1177</v>
      </c>
      <c r="C16" t="s">
        <v>1083</v>
      </c>
      <c r="D16" t="s">
        <v>1116</v>
      </c>
      <c r="E16" t="s">
        <v>1178</v>
      </c>
      <c r="F16" s="1">
        <v>46290.40347222222</v>
      </c>
      <c r="G16" s="1">
        <v>46290.413888888892</v>
      </c>
      <c r="H16">
        <v>5</v>
      </c>
      <c r="I16">
        <v>15</v>
      </c>
      <c r="J16" t="b">
        <v>0</v>
      </c>
      <c r="K16" t="b">
        <v>0</v>
      </c>
      <c r="L16" t="b">
        <v>0</v>
      </c>
      <c r="M16">
        <v>20</v>
      </c>
      <c r="N16" t="s">
        <v>1168</v>
      </c>
      <c r="O16" s="1">
        <v>46290.395138888889</v>
      </c>
      <c r="P16" t="b">
        <v>0</v>
      </c>
      <c r="Q16" t="s">
        <v>1179</v>
      </c>
      <c r="R16" t="s">
        <v>1139</v>
      </c>
      <c r="S16" t="s">
        <v>1157</v>
      </c>
      <c r="T16" t="s">
        <v>1180</v>
      </c>
      <c r="U16" t="s">
        <v>1123</v>
      </c>
      <c r="V16" t="s">
        <v>1124</v>
      </c>
      <c r="W16" t="s">
        <v>1125</v>
      </c>
      <c r="X16">
        <v>9</v>
      </c>
      <c r="Y16" t="s">
        <v>1142</v>
      </c>
      <c r="Z16" t="s">
        <v>1127</v>
      </c>
      <c r="AA16">
        <v>3</v>
      </c>
    </row>
    <row r="17" spans="1:27" x14ac:dyDescent="0.3">
      <c r="A17" t="s">
        <v>354</v>
      </c>
      <c r="B17" t="s">
        <v>1181</v>
      </c>
      <c r="C17" t="s">
        <v>1060</v>
      </c>
      <c r="D17" t="s">
        <v>1116</v>
      </c>
      <c r="E17" t="s">
        <v>1182</v>
      </c>
      <c r="F17" s="1">
        <v>46283.838888888888</v>
      </c>
      <c r="G17" s="1">
        <v>46283.849305555559</v>
      </c>
      <c r="H17">
        <v>6</v>
      </c>
      <c r="I17">
        <v>15</v>
      </c>
      <c r="J17" t="b">
        <v>0</v>
      </c>
      <c r="K17" t="b">
        <v>0</v>
      </c>
      <c r="L17" t="b">
        <v>0</v>
      </c>
      <c r="M17">
        <v>20</v>
      </c>
      <c r="N17" t="s">
        <v>1168</v>
      </c>
      <c r="O17" s="1">
        <v>46283.73541666667</v>
      </c>
      <c r="P17" t="b">
        <v>0</v>
      </c>
      <c r="Q17" t="s">
        <v>1119</v>
      </c>
      <c r="R17" t="s">
        <v>1131</v>
      </c>
      <c r="S17" t="s">
        <v>1121</v>
      </c>
      <c r="T17" t="s">
        <v>1140</v>
      </c>
      <c r="U17" t="s">
        <v>1145</v>
      </c>
      <c r="V17" t="s">
        <v>1124</v>
      </c>
      <c r="W17" t="s">
        <v>1125</v>
      </c>
      <c r="X17">
        <v>17</v>
      </c>
      <c r="Y17" t="s">
        <v>1142</v>
      </c>
      <c r="Z17" t="s">
        <v>1127</v>
      </c>
      <c r="AA17">
        <v>2.5</v>
      </c>
    </row>
    <row r="18" spans="1:27" x14ac:dyDescent="0.3">
      <c r="A18" t="s">
        <v>478</v>
      </c>
      <c r="B18" t="s">
        <v>1183</v>
      </c>
      <c r="C18" t="s">
        <v>1061</v>
      </c>
      <c r="D18" t="s">
        <v>1116</v>
      </c>
      <c r="E18" t="s">
        <v>1184</v>
      </c>
      <c r="F18" s="1">
        <v>46293.543055555558</v>
      </c>
      <c r="G18" s="1">
        <v>46293.552777777782</v>
      </c>
      <c r="H18">
        <v>6</v>
      </c>
      <c r="I18">
        <v>14</v>
      </c>
      <c r="J18" t="b">
        <v>0</v>
      </c>
      <c r="K18" t="b">
        <v>0</v>
      </c>
      <c r="L18" t="b">
        <v>0</v>
      </c>
      <c r="M18">
        <v>4</v>
      </c>
      <c r="N18" t="s">
        <v>1155</v>
      </c>
      <c r="O18" s="1">
        <v>46293.443749999999</v>
      </c>
      <c r="P18" t="b">
        <v>0</v>
      </c>
      <c r="Q18" t="s">
        <v>1156</v>
      </c>
      <c r="R18" t="s">
        <v>1131</v>
      </c>
      <c r="S18" t="s">
        <v>1132</v>
      </c>
      <c r="T18" t="s">
        <v>1145</v>
      </c>
      <c r="U18" t="s">
        <v>1172</v>
      </c>
      <c r="V18" t="s">
        <v>1124</v>
      </c>
      <c r="W18" t="s">
        <v>1125</v>
      </c>
      <c r="X18">
        <v>10</v>
      </c>
      <c r="Y18" t="s">
        <v>1185</v>
      </c>
      <c r="Z18" t="s">
        <v>1147</v>
      </c>
      <c r="AA18">
        <v>2.333333333333333</v>
      </c>
    </row>
    <row r="19" spans="1:27" x14ac:dyDescent="0.3">
      <c r="A19" t="s">
        <v>203</v>
      </c>
      <c r="B19" t="s">
        <v>1186</v>
      </c>
      <c r="C19" t="s">
        <v>1068</v>
      </c>
      <c r="D19" t="s">
        <v>1116</v>
      </c>
      <c r="E19" t="s">
        <v>1187</v>
      </c>
      <c r="F19" s="1">
        <v>46274.657638888893</v>
      </c>
      <c r="G19" s="1">
        <v>46274.667361111111</v>
      </c>
      <c r="H19">
        <v>1</v>
      </c>
      <c r="I19">
        <v>14</v>
      </c>
      <c r="J19" t="b">
        <v>0</v>
      </c>
      <c r="K19" t="b">
        <v>0</v>
      </c>
      <c r="L19" t="b">
        <v>0</v>
      </c>
      <c r="M19">
        <v>10</v>
      </c>
      <c r="N19" t="s">
        <v>1118</v>
      </c>
      <c r="O19" s="1">
        <v>46274.652083333327</v>
      </c>
      <c r="P19" t="b">
        <v>0</v>
      </c>
      <c r="Q19" t="s">
        <v>1156</v>
      </c>
      <c r="R19" t="s">
        <v>1131</v>
      </c>
      <c r="S19" t="s">
        <v>1132</v>
      </c>
      <c r="T19" t="s">
        <v>1122</v>
      </c>
      <c r="U19" t="s">
        <v>1123</v>
      </c>
      <c r="V19" t="s">
        <v>1124</v>
      </c>
      <c r="W19" t="s">
        <v>1125</v>
      </c>
      <c r="X19">
        <v>15</v>
      </c>
      <c r="Y19" t="s">
        <v>1161</v>
      </c>
      <c r="Z19" t="s">
        <v>1134</v>
      </c>
      <c r="AA19">
        <v>14</v>
      </c>
    </row>
    <row r="20" spans="1:27" x14ac:dyDescent="0.3">
      <c r="A20" t="s">
        <v>148</v>
      </c>
      <c r="B20" t="s">
        <v>1188</v>
      </c>
      <c r="C20" t="s">
        <v>1071</v>
      </c>
      <c r="D20" t="s">
        <v>1116</v>
      </c>
      <c r="E20" t="s">
        <v>1189</v>
      </c>
      <c r="F20" s="1">
        <v>46273.145833333343</v>
      </c>
      <c r="G20" s="1">
        <v>46273.155555555553</v>
      </c>
      <c r="H20">
        <v>7</v>
      </c>
      <c r="I20">
        <v>14</v>
      </c>
      <c r="J20" t="b">
        <v>0</v>
      </c>
      <c r="K20" t="b">
        <v>0</v>
      </c>
      <c r="L20" t="b">
        <v>0</v>
      </c>
      <c r="M20">
        <v>6</v>
      </c>
      <c r="N20" t="s">
        <v>1118</v>
      </c>
      <c r="O20" s="1">
        <v>46273.138194444437</v>
      </c>
      <c r="P20" t="b">
        <v>0</v>
      </c>
      <c r="Q20" t="s">
        <v>1138</v>
      </c>
      <c r="R20" t="s">
        <v>1131</v>
      </c>
      <c r="S20" t="s">
        <v>1152</v>
      </c>
      <c r="T20" t="s">
        <v>1122</v>
      </c>
      <c r="U20" t="s">
        <v>1145</v>
      </c>
      <c r="V20" t="s">
        <v>1124</v>
      </c>
      <c r="W20" t="s">
        <v>1125</v>
      </c>
      <c r="X20">
        <v>3</v>
      </c>
      <c r="Y20" t="s">
        <v>1126</v>
      </c>
      <c r="Z20" t="s">
        <v>1134</v>
      </c>
      <c r="AA20">
        <v>2</v>
      </c>
    </row>
    <row r="21" spans="1:27" x14ac:dyDescent="0.3">
      <c r="A21" t="s">
        <v>539</v>
      </c>
      <c r="B21" t="s">
        <v>1190</v>
      </c>
      <c r="C21" t="s">
        <v>1058</v>
      </c>
      <c r="D21" t="s">
        <v>1116</v>
      </c>
      <c r="E21" t="s">
        <v>1171</v>
      </c>
      <c r="F21" s="1">
        <v>46284.087500000001</v>
      </c>
      <c r="G21" s="1">
        <v>46284.097222222219</v>
      </c>
      <c r="H21">
        <v>6</v>
      </c>
      <c r="I21">
        <v>14</v>
      </c>
      <c r="J21" t="b">
        <v>0</v>
      </c>
      <c r="K21" t="b">
        <v>0</v>
      </c>
      <c r="L21" t="b">
        <v>0</v>
      </c>
      <c r="M21">
        <v>12</v>
      </c>
      <c r="N21" t="s">
        <v>1130</v>
      </c>
      <c r="O21" s="1">
        <v>46284.070833333331</v>
      </c>
      <c r="P21" t="b">
        <v>0</v>
      </c>
      <c r="Q21" t="s">
        <v>1119</v>
      </c>
      <c r="R21" t="s">
        <v>1131</v>
      </c>
      <c r="S21" t="s">
        <v>1121</v>
      </c>
      <c r="T21" t="s">
        <v>1122</v>
      </c>
      <c r="U21" t="s">
        <v>1145</v>
      </c>
      <c r="V21" t="s">
        <v>1124</v>
      </c>
      <c r="W21" t="s">
        <v>1125</v>
      </c>
      <c r="X21">
        <v>1</v>
      </c>
      <c r="Y21" t="s">
        <v>1173</v>
      </c>
      <c r="Z21" t="s">
        <v>1127</v>
      </c>
      <c r="AA21">
        <v>2.333333333333333</v>
      </c>
    </row>
    <row r="22" spans="1:27" x14ac:dyDescent="0.3">
      <c r="A22" t="s">
        <v>826</v>
      </c>
      <c r="B22" t="s">
        <v>1191</v>
      </c>
      <c r="C22" t="s">
        <v>1079</v>
      </c>
      <c r="D22" t="s">
        <v>1149</v>
      </c>
      <c r="E22" t="s">
        <v>1192</v>
      </c>
      <c r="F22" s="1">
        <v>46267.44027777778</v>
      </c>
      <c r="G22" s="1">
        <v>46267.45</v>
      </c>
      <c r="H22">
        <v>5</v>
      </c>
      <c r="I22">
        <v>14</v>
      </c>
      <c r="J22" t="b">
        <v>0</v>
      </c>
      <c r="K22" t="b">
        <v>0</v>
      </c>
      <c r="L22" t="b">
        <v>0</v>
      </c>
      <c r="M22">
        <v>12</v>
      </c>
      <c r="N22" t="s">
        <v>1130</v>
      </c>
      <c r="O22" s="1">
        <v>46267.375694444447</v>
      </c>
      <c r="P22" t="b">
        <v>0</v>
      </c>
      <c r="Q22" t="s">
        <v>1151</v>
      </c>
      <c r="R22" t="s">
        <v>1139</v>
      </c>
      <c r="S22" t="s">
        <v>1132</v>
      </c>
      <c r="T22" t="s">
        <v>1145</v>
      </c>
      <c r="U22" t="s">
        <v>1123</v>
      </c>
      <c r="V22" t="s">
        <v>1152</v>
      </c>
      <c r="W22" t="s">
        <v>1145</v>
      </c>
      <c r="X22">
        <v>9</v>
      </c>
      <c r="Y22" t="s">
        <v>1161</v>
      </c>
      <c r="Z22" t="s">
        <v>1127</v>
      </c>
      <c r="AA22">
        <v>2.8</v>
      </c>
    </row>
    <row r="23" spans="1:27" x14ac:dyDescent="0.3">
      <c r="A23" t="s">
        <v>837</v>
      </c>
      <c r="B23" t="s">
        <v>1193</v>
      </c>
      <c r="C23" t="s">
        <v>1075</v>
      </c>
      <c r="D23" t="s">
        <v>1136</v>
      </c>
      <c r="E23" t="s">
        <v>1171</v>
      </c>
      <c r="F23" s="1">
        <v>46283.476388888892</v>
      </c>
      <c r="G23" s="1">
        <v>46283.486111111109</v>
      </c>
      <c r="H23">
        <v>7</v>
      </c>
      <c r="I23">
        <v>14</v>
      </c>
      <c r="J23" t="b">
        <v>0</v>
      </c>
      <c r="K23" t="b">
        <v>0</v>
      </c>
      <c r="L23" t="b">
        <v>0</v>
      </c>
      <c r="M23">
        <v>6</v>
      </c>
      <c r="N23" t="s">
        <v>1155</v>
      </c>
      <c r="O23" s="1">
        <v>46283.459027777782</v>
      </c>
      <c r="P23" t="b">
        <v>0</v>
      </c>
      <c r="Q23" t="s">
        <v>1119</v>
      </c>
      <c r="R23" t="s">
        <v>1131</v>
      </c>
      <c r="S23" t="s">
        <v>1121</v>
      </c>
      <c r="T23" t="s">
        <v>1122</v>
      </c>
      <c r="U23" t="s">
        <v>1172</v>
      </c>
      <c r="V23" t="s">
        <v>1141</v>
      </c>
      <c r="W23" t="s">
        <v>1125</v>
      </c>
      <c r="X23">
        <v>11</v>
      </c>
      <c r="Y23" t="s">
        <v>1142</v>
      </c>
      <c r="Z23" t="s">
        <v>1134</v>
      </c>
      <c r="AA23">
        <v>2</v>
      </c>
    </row>
    <row r="24" spans="1:27" x14ac:dyDescent="0.3">
      <c r="A24" t="s">
        <v>410</v>
      </c>
      <c r="B24" t="s">
        <v>1194</v>
      </c>
      <c r="C24" t="s">
        <v>1083</v>
      </c>
      <c r="D24" t="s">
        <v>1116</v>
      </c>
      <c r="E24" t="s">
        <v>1171</v>
      </c>
      <c r="F24" s="1">
        <v>46293.773611111108</v>
      </c>
      <c r="G24" s="1">
        <v>46293.783333333333</v>
      </c>
      <c r="H24">
        <v>7</v>
      </c>
      <c r="I24">
        <v>14</v>
      </c>
      <c r="J24" t="b">
        <v>0</v>
      </c>
      <c r="K24" t="b">
        <v>0</v>
      </c>
      <c r="L24" t="b">
        <v>0</v>
      </c>
      <c r="M24">
        <v>3</v>
      </c>
      <c r="N24" t="s">
        <v>1118</v>
      </c>
      <c r="O24" s="1">
        <v>46293.740277777782</v>
      </c>
      <c r="P24" t="b">
        <v>0</v>
      </c>
      <c r="Q24" t="s">
        <v>1119</v>
      </c>
      <c r="R24" t="s">
        <v>1131</v>
      </c>
      <c r="S24" t="s">
        <v>1121</v>
      </c>
      <c r="T24" t="s">
        <v>1180</v>
      </c>
      <c r="U24" t="s">
        <v>1123</v>
      </c>
      <c r="V24" t="s">
        <v>1124</v>
      </c>
      <c r="W24" t="s">
        <v>1125</v>
      </c>
      <c r="X24">
        <v>17</v>
      </c>
      <c r="Y24" t="s">
        <v>1185</v>
      </c>
      <c r="Z24" t="s">
        <v>1147</v>
      </c>
      <c r="AA24">
        <v>2</v>
      </c>
    </row>
    <row r="25" spans="1:27" x14ac:dyDescent="0.3">
      <c r="A25" t="s">
        <v>333</v>
      </c>
      <c r="B25" t="s">
        <v>1195</v>
      </c>
      <c r="C25" t="s">
        <v>1078</v>
      </c>
      <c r="D25" t="s">
        <v>1116</v>
      </c>
      <c r="E25" t="s">
        <v>1196</v>
      </c>
      <c r="F25" s="1">
        <v>46290.412499999999</v>
      </c>
      <c r="G25" s="1">
        <v>46290.422222222223</v>
      </c>
      <c r="H25">
        <v>4</v>
      </c>
      <c r="I25">
        <v>14</v>
      </c>
      <c r="J25" t="b">
        <v>0</v>
      </c>
      <c r="K25" t="b">
        <v>0</v>
      </c>
      <c r="L25" t="b">
        <v>0</v>
      </c>
      <c r="M25">
        <v>20</v>
      </c>
      <c r="N25" t="s">
        <v>1130</v>
      </c>
      <c r="O25" s="1">
        <v>46290.347916666673</v>
      </c>
      <c r="P25" t="b">
        <v>0</v>
      </c>
      <c r="Q25" t="s">
        <v>1138</v>
      </c>
      <c r="R25" t="s">
        <v>1120</v>
      </c>
      <c r="S25" t="s">
        <v>1121</v>
      </c>
      <c r="T25" t="s">
        <v>1145</v>
      </c>
      <c r="U25" t="s">
        <v>1172</v>
      </c>
      <c r="V25" t="s">
        <v>1124</v>
      </c>
      <c r="W25" t="s">
        <v>1125</v>
      </c>
      <c r="X25">
        <v>8</v>
      </c>
      <c r="Y25" t="s">
        <v>1142</v>
      </c>
      <c r="Z25" t="s">
        <v>1127</v>
      </c>
      <c r="AA25">
        <v>3.5</v>
      </c>
    </row>
    <row r="26" spans="1:27" x14ac:dyDescent="0.3">
      <c r="A26" t="s">
        <v>830</v>
      </c>
      <c r="B26" t="s">
        <v>1191</v>
      </c>
      <c r="C26" t="s">
        <v>1079</v>
      </c>
      <c r="D26" t="s">
        <v>1116</v>
      </c>
      <c r="E26" t="s">
        <v>1144</v>
      </c>
      <c r="F26" s="1">
        <v>46267.431944444441</v>
      </c>
      <c r="G26" s="1">
        <v>46267.441666666673</v>
      </c>
      <c r="H26">
        <v>4</v>
      </c>
      <c r="I26">
        <v>14</v>
      </c>
      <c r="J26" t="b">
        <v>0</v>
      </c>
      <c r="K26" t="b">
        <v>0</v>
      </c>
      <c r="L26" t="b">
        <v>0</v>
      </c>
      <c r="M26">
        <v>12</v>
      </c>
      <c r="N26" t="s">
        <v>1130</v>
      </c>
      <c r="O26" s="1">
        <v>46267.375694444447</v>
      </c>
      <c r="P26" t="b">
        <v>0</v>
      </c>
      <c r="Q26" t="s">
        <v>1138</v>
      </c>
      <c r="R26" t="s">
        <v>1120</v>
      </c>
      <c r="S26" t="s">
        <v>1145</v>
      </c>
      <c r="T26" t="s">
        <v>1145</v>
      </c>
      <c r="U26" t="s">
        <v>1123</v>
      </c>
      <c r="V26" t="s">
        <v>1124</v>
      </c>
      <c r="W26" t="s">
        <v>1125</v>
      </c>
      <c r="X26">
        <v>9</v>
      </c>
      <c r="Y26" t="s">
        <v>1161</v>
      </c>
      <c r="Z26" t="s">
        <v>1127</v>
      </c>
      <c r="AA26">
        <v>3.5</v>
      </c>
    </row>
    <row r="27" spans="1:27" x14ac:dyDescent="0.3">
      <c r="A27" t="s">
        <v>1051</v>
      </c>
      <c r="B27" t="s">
        <v>1197</v>
      </c>
      <c r="C27" t="s">
        <v>1079</v>
      </c>
      <c r="D27" t="s">
        <v>1136</v>
      </c>
      <c r="E27" t="s">
        <v>1198</v>
      </c>
      <c r="F27" s="1">
        <v>46287.887499999997</v>
      </c>
      <c r="G27" s="1">
        <v>46287.897222222222</v>
      </c>
      <c r="H27">
        <v>5</v>
      </c>
      <c r="I27">
        <v>14</v>
      </c>
      <c r="J27" t="b">
        <v>0</v>
      </c>
      <c r="K27" t="b">
        <v>0</v>
      </c>
      <c r="L27" t="b">
        <v>0</v>
      </c>
      <c r="M27">
        <v>20</v>
      </c>
      <c r="N27" t="s">
        <v>1130</v>
      </c>
      <c r="O27" s="1">
        <v>46287.886805555558</v>
      </c>
      <c r="P27" t="b">
        <v>0</v>
      </c>
      <c r="Q27" t="s">
        <v>1169</v>
      </c>
      <c r="R27" t="s">
        <v>1131</v>
      </c>
      <c r="S27" t="s">
        <v>1145</v>
      </c>
      <c r="T27" t="s">
        <v>1145</v>
      </c>
      <c r="U27" t="s">
        <v>1123</v>
      </c>
      <c r="V27" t="s">
        <v>1141</v>
      </c>
      <c r="W27" t="s">
        <v>1125</v>
      </c>
      <c r="X27">
        <v>21</v>
      </c>
      <c r="Y27" t="s">
        <v>1126</v>
      </c>
      <c r="Z27" t="s">
        <v>1127</v>
      </c>
      <c r="AA27">
        <v>2.8</v>
      </c>
    </row>
    <row r="28" spans="1:27" x14ac:dyDescent="0.3">
      <c r="A28" t="s">
        <v>314</v>
      </c>
      <c r="B28" t="s">
        <v>1199</v>
      </c>
      <c r="C28" t="s">
        <v>1057</v>
      </c>
      <c r="D28" t="s">
        <v>1116</v>
      </c>
      <c r="E28" t="s">
        <v>1200</v>
      </c>
      <c r="F28" s="1">
        <v>46289.234722222223</v>
      </c>
      <c r="G28" s="1">
        <v>46289.244444444441</v>
      </c>
      <c r="H28">
        <v>2</v>
      </c>
      <c r="I28">
        <v>14</v>
      </c>
      <c r="J28" t="b">
        <v>0</v>
      </c>
      <c r="K28" t="b">
        <v>0</v>
      </c>
      <c r="L28" t="b">
        <v>0</v>
      </c>
      <c r="M28">
        <v>6</v>
      </c>
      <c r="N28" t="s">
        <v>1168</v>
      </c>
      <c r="O28" s="1">
        <v>46289.22152777778</v>
      </c>
      <c r="P28" t="b">
        <v>0</v>
      </c>
      <c r="Q28" t="s">
        <v>1156</v>
      </c>
      <c r="R28" t="s">
        <v>1139</v>
      </c>
      <c r="S28" t="s">
        <v>1132</v>
      </c>
      <c r="T28" t="s">
        <v>1122</v>
      </c>
      <c r="U28" t="s">
        <v>1172</v>
      </c>
      <c r="V28" t="s">
        <v>1124</v>
      </c>
      <c r="W28" t="s">
        <v>1125</v>
      </c>
      <c r="X28">
        <v>5</v>
      </c>
      <c r="Y28" t="s">
        <v>1146</v>
      </c>
      <c r="Z28" t="s">
        <v>1134</v>
      </c>
      <c r="AA28">
        <v>7</v>
      </c>
    </row>
    <row r="29" spans="1:27" x14ac:dyDescent="0.3">
      <c r="A29" t="s">
        <v>270</v>
      </c>
      <c r="B29" t="s">
        <v>1201</v>
      </c>
      <c r="C29" t="s">
        <v>1083</v>
      </c>
      <c r="D29" t="s">
        <v>1149</v>
      </c>
      <c r="E29" t="s">
        <v>1171</v>
      </c>
      <c r="F29" s="1">
        <v>46286.894444444442</v>
      </c>
      <c r="G29" s="1">
        <v>46286.90347222222</v>
      </c>
      <c r="H29">
        <v>5</v>
      </c>
      <c r="I29">
        <v>13</v>
      </c>
      <c r="J29" t="b">
        <v>0</v>
      </c>
      <c r="K29" t="b">
        <v>0</v>
      </c>
      <c r="L29" t="b">
        <v>0</v>
      </c>
      <c r="M29">
        <v>10</v>
      </c>
      <c r="N29" t="s">
        <v>1130</v>
      </c>
      <c r="O29" s="1">
        <v>46286.793055555558</v>
      </c>
      <c r="P29" t="b">
        <v>0</v>
      </c>
      <c r="Q29" t="s">
        <v>1119</v>
      </c>
      <c r="R29" t="s">
        <v>1131</v>
      </c>
      <c r="S29" t="s">
        <v>1121</v>
      </c>
      <c r="T29" t="s">
        <v>1180</v>
      </c>
      <c r="U29" t="s">
        <v>1123</v>
      </c>
      <c r="V29" t="s">
        <v>1152</v>
      </c>
      <c r="W29" t="s">
        <v>1145</v>
      </c>
      <c r="X29">
        <v>19</v>
      </c>
      <c r="Y29" t="s">
        <v>1185</v>
      </c>
      <c r="Z29" t="s">
        <v>1134</v>
      </c>
      <c r="AA29">
        <v>2.6</v>
      </c>
    </row>
    <row r="30" spans="1:27" x14ac:dyDescent="0.3">
      <c r="A30" t="s">
        <v>105</v>
      </c>
      <c r="B30" t="s">
        <v>1202</v>
      </c>
      <c r="C30" t="s">
        <v>1057</v>
      </c>
      <c r="D30" t="s">
        <v>1116</v>
      </c>
      <c r="E30" t="s">
        <v>1189</v>
      </c>
      <c r="F30" s="1">
        <v>46293.208333333343</v>
      </c>
      <c r="G30" s="1">
        <v>46293.217361111107</v>
      </c>
      <c r="H30">
        <v>6</v>
      </c>
      <c r="I30">
        <v>13</v>
      </c>
      <c r="J30" t="b">
        <v>0</v>
      </c>
      <c r="K30" t="b">
        <v>0</v>
      </c>
      <c r="L30" t="b">
        <v>0</v>
      </c>
      <c r="M30">
        <v>8</v>
      </c>
      <c r="N30" t="s">
        <v>1118</v>
      </c>
      <c r="O30" s="1">
        <v>46293.128472222219</v>
      </c>
      <c r="P30" t="b">
        <v>0</v>
      </c>
      <c r="Q30" t="s">
        <v>1138</v>
      </c>
      <c r="R30" t="s">
        <v>1131</v>
      </c>
      <c r="S30" t="s">
        <v>1152</v>
      </c>
      <c r="T30" t="s">
        <v>1122</v>
      </c>
      <c r="U30" t="s">
        <v>1172</v>
      </c>
      <c r="V30" t="s">
        <v>1124</v>
      </c>
      <c r="W30" t="s">
        <v>1125</v>
      </c>
      <c r="X30">
        <v>3</v>
      </c>
      <c r="Y30" t="s">
        <v>1185</v>
      </c>
      <c r="Z30" t="s">
        <v>1134</v>
      </c>
      <c r="AA30">
        <v>2.166666666666667</v>
      </c>
    </row>
    <row r="31" spans="1:27" x14ac:dyDescent="0.3">
      <c r="A31" t="s">
        <v>633</v>
      </c>
      <c r="B31" t="s">
        <v>1203</v>
      </c>
      <c r="C31" t="s">
        <v>1060</v>
      </c>
      <c r="D31" t="s">
        <v>1136</v>
      </c>
      <c r="E31" t="s">
        <v>1204</v>
      </c>
      <c r="F31" s="1">
        <v>46287.179166666669</v>
      </c>
      <c r="G31" s="1">
        <v>46287.188194444447</v>
      </c>
      <c r="H31">
        <v>7</v>
      </c>
      <c r="I31">
        <v>13</v>
      </c>
      <c r="J31" t="b">
        <v>0</v>
      </c>
      <c r="K31" t="b">
        <v>0</v>
      </c>
      <c r="L31" t="b">
        <v>0</v>
      </c>
      <c r="M31">
        <v>12</v>
      </c>
      <c r="N31" t="s">
        <v>1145</v>
      </c>
      <c r="O31" s="1">
        <v>46287.080555555563</v>
      </c>
      <c r="P31" t="b">
        <v>0</v>
      </c>
      <c r="Q31" t="s">
        <v>1169</v>
      </c>
      <c r="R31" t="s">
        <v>1131</v>
      </c>
      <c r="S31" t="s">
        <v>1157</v>
      </c>
      <c r="T31" t="s">
        <v>1140</v>
      </c>
      <c r="U31" t="s">
        <v>1145</v>
      </c>
      <c r="V31" t="s">
        <v>1141</v>
      </c>
      <c r="W31" t="s">
        <v>1125</v>
      </c>
      <c r="X31">
        <v>1</v>
      </c>
      <c r="Y31" t="s">
        <v>1126</v>
      </c>
      <c r="Z31" t="s">
        <v>1127</v>
      </c>
      <c r="AA31">
        <v>1.857142857142857</v>
      </c>
    </row>
    <row r="32" spans="1:27" x14ac:dyDescent="0.3">
      <c r="A32" t="s">
        <v>457</v>
      </c>
      <c r="B32" t="s">
        <v>1205</v>
      </c>
      <c r="C32" t="s">
        <v>1064</v>
      </c>
      <c r="D32" t="s">
        <v>1116</v>
      </c>
      <c r="E32" t="s">
        <v>1171</v>
      </c>
      <c r="F32" s="1">
        <v>46269.496527777781</v>
      </c>
      <c r="G32" s="1">
        <v>46269.505555555559</v>
      </c>
      <c r="H32">
        <v>3</v>
      </c>
      <c r="I32">
        <v>13</v>
      </c>
      <c r="J32" t="b">
        <v>0</v>
      </c>
      <c r="K32" t="b">
        <v>0</v>
      </c>
      <c r="L32" t="b">
        <v>0</v>
      </c>
      <c r="M32">
        <v>10</v>
      </c>
      <c r="N32" t="s">
        <v>1155</v>
      </c>
      <c r="O32" s="1">
        <v>46269.489583333343</v>
      </c>
      <c r="P32" t="b">
        <v>0</v>
      </c>
      <c r="Q32" t="s">
        <v>1119</v>
      </c>
      <c r="R32" t="s">
        <v>1131</v>
      </c>
      <c r="S32" t="s">
        <v>1121</v>
      </c>
      <c r="T32" t="s">
        <v>1122</v>
      </c>
      <c r="U32" t="s">
        <v>1123</v>
      </c>
      <c r="V32" t="s">
        <v>1124</v>
      </c>
      <c r="W32" t="s">
        <v>1125</v>
      </c>
      <c r="X32">
        <v>11</v>
      </c>
      <c r="Y32" t="s">
        <v>1142</v>
      </c>
      <c r="Z32" t="s">
        <v>1134</v>
      </c>
      <c r="AA32">
        <v>4.333333333333333</v>
      </c>
    </row>
    <row r="33" spans="1:27" x14ac:dyDescent="0.3">
      <c r="A33" t="s">
        <v>226</v>
      </c>
      <c r="B33" t="s">
        <v>1206</v>
      </c>
      <c r="C33" t="s">
        <v>1079</v>
      </c>
      <c r="D33" t="s">
        <v>1116</v>
      </c>
      <c r="E33" t="s">
        <v>1207</v>
      </c>
      <c r="F33" s="1">
        <v>46266.908333333333</v>
      </c>
      <c r="G33" s="1">
        <v>46266.917361111111</v>
      </c>
      <c r="H33">
        <v>5</v>
      </c>
      <c r="I33">
        <v>13</v>
      </c>
      <c r="J33" t="b">
        <v>0</v>
      </c>
      <c r="K33" t="b">
        <v>0</v>
      </c>
      <c r="L33" t="b">
        <v>0</v>
      </c>
      <c r="N33" t="s">
        <v>1130</v>
      </c>
      <c r="O33" s="1">
        <v>46266.843055555553</v>
      </c>
      <c r="P33" t="b">
        <v>1</v>
      </c>
      <c r="Q33" t="s">
        <v>1179</v>
      </c>
      <c r="R33" t="s">
        <v>1131</v>
      </c>
      <c r="S33" t="s">
        <v>1157</v>
      </c>
      <c r="T33" t="s">
        <v>1145</v>
      </c>
      <c r="U33" t="s">
        <v>1123</v>
      </c>
      <c r="V33" t="s">
        <v>1124</v>
      </c>
      <c r="W33" t="s">
        <v>1125</v>
      </c>
      <c r="X33">
        <v>20</v>
      </c>
      <c r="Y33" t="s">
        <v>1126</v>
      </c>
      <c r="AA33">
        <v>2.6</v>
      </c>
    </row>
    <row r="34" spans="1:27" x14ac:dyDescent="0.3">
      <c r="A34" t="s">
        <v>608</v>
      </c>
      <c r="B34" t="s">
        <v>1208</v>
      </c>
      <c r="C34" t="s">
        <v>1078</v>
      </c>
      <c r="D34" t="s">
        <v>1149</v>
      </c>
      <c r="E34" t="s">
        <v>1209</v>
      </c>
      <c r="F34" s="1">
        <v>46269.57916666667</v>
      </c>
      <c r="G34" s="1">
        <v>46269.588194444441</v>
      </c>
      <c r="H34">
        <v>5</v>
      </c>
      <c r="I34">
        <v>13</v>
      </c>
      <c r="J34" t="b">
        <v>0</v>
      </c>
      <c r="K34" t="b">
        <v>0</v>
      </c>
      <c r="L34" t="b">
        <v>0</v>
      </c>
      <c r="M34">
        <v>12</v>
      </c>
      <c r="N34" t="s">
        <v>1118</v>
      </c>
      <c r="O34" s="1">
        <v>46269.521527777782</v>
      </c>
      <c r="P34" t="b">
        <v>0</v>
      </c>
      <c r="Q34" t="s">
        <v>1138</v>
      </c>
      <c r="R34" t="s">
        <v>1131</v>
      </c>
      <c r="S34" t="s">
        <v>1132</v>
      </c>
      <c r="T34" t="s">
        <v>1145</v>
      </c>
      <c r="U34" t="s">
        <v>1172</v>
      </c>
      <c r="V34" t="s">
        <v>1152</v>
      </c>
      <c r="W34" t="s">
        <v>1145</v>
      </c>
      <c r="X34">
        <v>12</v>
      </c>
      <c r="Y34" t="s">
        <v>1142</v>
      </c>
      <c r="Z34" t="s">
        <v>1127</v>
      </c>
      <c r="AA34">
        <v>2.6</v>
      </c>
    </row>
    <row r="35" spans="1:27" x14ac:dyDescent="0.3">
      <c r="A35" t="s">
        <v>267</v>
      </c>
      <c r="B35" t="s">
        <v>1201</v>
      </c>
      <c r="C35" t="s">
        <v>1088</v>
      </c>
      <c r="D35" t="s">
        <v>1116</v>
      </c>
      <c r="E35" t="s">
        <v>1210</v>
      </c>
      <c r="F35" s="1">
        <v>46286.875</v>
      </c>
      <c r="G35" s="1">
        <v>46286.884027777778</v>
      </c>
      <c r="H35">
        <v>2</v>
      </c>
      <c r="I35">
        <v>13</v>
      </c>
      <c r="J35" t="b">
        <v>0</v>
      </c>
      <c r="K35" t="b">
        <v>0</v>
      </c>
      <c r="L35" t="b">
        <v>0</v>
      </c>
      <c r="M35">
        <v>10</v>
      </c>
      <c r="N35" t="s">
        <v>1130</v>
      </c>
      <c r="O35" s="1">
        <v>46286.793055555558</v>
      </c>
      <c r="P35" t="b">
        <v>0</v>
      </c>
      <c r="Q35" t="s">
        <v>1151</v>
      </c>
      <c r="R35" t="s">
        <v>1131</v>
      </c>
      <c r="S35" t="s">
        <v>1157</v>
      </c>
      <c r="T35" t="s">
        <v>1140</v>
      </c>
      <c r="U35" t="s">
        <v>1123</v>
      </c>
      <c r="V35" t="s">
        <v>1124</v>
      </c>
      <c r="W35" t="s">
        <v>1125</v>
      </c>
      <c r="X35">
        <v>19</v>
      </c>
      <c r="Y35" t="s">
        <v>1185</v>
      </c>
      <c r="Z35" t="s">
        <v>1134</v>
      </c>
      <c r="AA35">
        <v>6.5</v>
      </c>
    </row>
    <row r="36" spans="1:27" x14ac:dyDescent="0.3">
      <c r="A36" t="s">
        <v>70</v>
      </c>
      <c r="B36" t="s">
        <v>1211</v>
      </c>
      <c r="C36" t="s">
        <v>1064</v>
      </c>
      <c r="D36" t="s">
        <v>1136</v>
      </c>
      <c r="E36" t="s">
        <v>1212</v>
      </c>
      <c r="F36" s="1">
        <v>46284.568749999999</v>
      </c>
      <c r="G36" s="1">
        <v>46284.577777777777</v>
      </c>
      <c r="H36">
        <v>5</v>
      </c>
      <c r="I36">
        <v>13</v>
      </c>
      <c r="J36" t="b">
        <v>0</v>
      </c>
      <c r="K36" t="b">
        <v>0</v>
      </c>
      <c r="L36" t="b">
        <v>0</v>
      </c>
      <c r="M36">
        <v>15</v>
      </c>
      <c r="N36" t="s">
        <v>1168</v>
      </c>
      <c r="O36" s="1">
        <v>46284.525694444441</v>
      </c>
      <c r="P36" t="b">
        <v>0</v>
      </c>
      <c r="Q36" t="s">
        <v>1145</v>
      </c>
      <c r="R36" t="s">
        <v>1139</v>
      </c>
      <c r="S36" t="s">
        <v>1157</v>
      </c>
      <c r="T36" t="s">
        <v>1122</v>
      </c>
      <c r="U36" t="s">
        <v>1123</v>
      </c>
      <c r="V36" t="s">
        <v>1141</v>
      </c>
      <c r="W36" t="s">
        <v>1125</v>
      </c>
      <c r="X36">
        <v>12</v>
      </c>
      <c r="Y36" t="s">
        <v>1173</v>
      </c>
      <c r="Z36" t="s">
        <v>1127</v>
      </c>
      <c r="AA36">
        <v>2.6</v>
      </c>
    </row>
    <row r="37" spans="1:27" x14ac:dyDescent="0.3">
      <c r="A37" t="s">
        <v>307</v>
      </c>
      <c r="B37" t="s">
        <v>1128</v>
      </c>
      <c r="C37" t="s">
        <v>1086</v>
      </c>
      <c r="D37" t="s">
        <v>1149</v>
      </c>
      <c r="E37" t="s">
        <v>1213</v>
      </c>
      <c r="F37" s="1">
        <v>46285.809027777781</v>
      </c>
      <c r="G37" s="1">
        <v>46285.818055555559</v>
      </c>
      <c r="H37">
        <v>4</v>
      </c>
      <c r="I37">
        <v>13</v>
      </c>
      <c r="J37" t="b">
        <v>0</v>
      </c>
      <c r="K37" t="b">
        <v>0</v>
      </c>
      <c r="L37" t="b">
        <v>0</v>
      </c>
      <c r="M37">
        <v>6</v>
      </c>
      <c r="N37" t="s">
        <v>1130</v>
      </c>
      <c r="O37" s="1">
        <v>46285.751388888893</v>
      </c>
      <c r="P37" t="b">
        <v>0</v>
      </c>
      <c r="Q37" t="s">
        <v>1151</v>
      </c>
      <c r="R37" t="s">
        <v>1131</v>
      </c>
      <c r="S37" t="s">
        <v>1152</v>
      </c>
      <c r="T37" t="s">
        <v>1122</v>
      </c>
      <c r="U37" t="s">
        <v>1145</v>
      </c>
      <c r="V37" t="s">
        <v>1152</v>
      </c>
      <c r="W37" t="s">
        <v>1145</v>
      </c>
      <c r="X37">
        <v>18</v>
      </c>
      <c r="Y37" t="s">
        <v>1133</v>
      </c>
      <c r="Z37" t="s">
        <v>1134</v>
      </c>
      <c r="AA37">
        <v>3.25</v>
      </c>
    </row>
    <row r="38" spans="1:27" x14ac:dyDescent="0.3">
      <c r="A38" t="s">
        <v>642</v>
      </c>
      <c r="B38" t="s">
        <v>1214</v>
      </c>
      <c r="C38" t="s">
        <v>1070</v>
      </c>
      <c r="D38" t="s">
        <v>1149</v>
      </c>
      <c r="E38" t="s">
        <v>1184</v>
      </c>
      <c r="F38" s="1">
        <v>46292.595138888893</v>
      </c>
      <c r="G38" s="1">
        <v>46292.604166666657</v>
      </c>
      <c r="H38">
        <v>6</v>
      </c>
      <c r="I38">
        <v>13</v>
      </c>
      <c r="J38" t="b">
        <v>0</v>
      </c>
      <c r="K38" t="b">
        <v>0</v>
      </c>
      <c r="L38" t="b">
        <v>0</v>
      </c>
      <c r="M38">
        <v>10</v>
      </c>
      <c r="N38" t="s">
        <v>1130</v>
      </c>
      <c r="O38" s="1">
        <v>46292.53125</v>
      </c>
      <c r="P38" t="b">
        <v>0</v>
      </c>
      <c r="Q38" t="s">
        <v>1156</v>
      </c>
      <c r="R38" t="s">
        <v>1131</v>
      </c>
      <c r="S38" t="s">
        <v>1132</v>
      </c>
      <c r="T38" t="s">
        <v>1180</v>
      </c>
      <c r="U38" t="s">
        <v>1145</v>
      </c>
      <c r="V38" t="s">
        <v>1152</v>
      </c>
      <c r="W38" t="s">
        <v>1145</v>
      </c>
      <c r="X38">
        <v>12</v>
      </c>
      <c r="Y38" t="s">
        <v>1133</v>
      </c>
      <c r="Z38" t="s">
        <v>1134</v>
      </c>
      <c r="AA38">
        <v>2.166666666666667</v>
      </c>
    </row>
    <row r="39" spans="1:27" x14ac:dyDescent="0.3">
      <c r="A39" t="s">
        <v>45</v>
      </c>
      <c r="B39" t="s">
        <v>1215</v>
      </c>
      <c r="C39" t="s">
        <v>1088</v>
      </c>
      <c r="D39" t="s">
        <v>1136</v>
      </c>
      <c r="E39" t="s">
        <v>1216</v>
      </c>
      <c r="F39" s="1">
        <v>46270.40902777778</v>
      </c>
      <c r="G39" s="1">
        <v>46270.418055555558</v>
      </c>
      <c r="H39">
        <v>4</v>
      </c>
      <c r="I39">
        <v>13</v>
      </c>
      <c r="J39" t="b">
        <v>0</v>
      </c>
      <c r="K39" t="b">
        <v>0</v>
      </c>
      <c r="L39" t="b">
        <v>0</v>
      </c>
      <c r="M39">
        <v>5</v>
      </c>
      <c r="N39" t="s">
        <v>1118</v>
      </c>
      <c r="O39" s="1">
        <v>46270.368055555547</v>
      </c>
      <c r="P39" t="b">
        <v>0</v>
      </c>
      <c r="Q39" t="s">
        <v>1119</v>
      </c>
      <c r="R39" t="s">
        <v>1131</v>
      </c>
      <c r="S39" t="s">
        <v>1157</v>
      </c>
      <c r="T39" t="s">
        <v>1140</v>
      </c>
      <c r="U39" t="s">
        <v>1123</v>
      </c>
      <c r="V39" t="s">
        <v>1141</v>
      </c>
      <c r="W39" t="s">
        <v>1125</v>
      </c>
      <c r="X39">
        <v>8</v>
      </c>
      <c r="Y39" t="s">
        <v>1173</v>
      </c>
      <c r="Z39" t="s">
        <v>1147</v>
      </c>
      <c r="AA39">
        <v>3.25</v>
      </c>
    </row>
    <row r="40" spans="1:27" x14ac:dyDescent="0.3">
      <c r="A40" t="s">
        <v>1043</v>
      </c>
      <c r="B40" t="s">
        <v>1217</v>
      </c>
      <c r="C40" t="s">
        <v>1079</v>
      </c>
      <c r="D40" t="s">
        <v>1116</v>
      </c>
      <c r="E40" t="s">
        <v>1218</v>
      </c>
      <c r="F40" s="1">
        <v>46271.129166666673</v>
      </c>
      <c r="G40" s="1">
        <v>46271.138194444437</v>
      </c>
      <c r="H40">
        <v>4</v>
      </c>
      <c r="I40">
        <v>13</v>
      </c>
      <c r="J40" t="b">
        <v>0</v>
      </c>
      <c r="K40" t="b">
        <v>0</v>
      </c>
      <c r="L40" t="b">
        <v>0</v>
      </c>
      <c r="M40">
        <v>5</v>
      </c>
      <c r="N40" t="s">
        <v>1168</v>
      </c>
      <c r="O40" s="1">
        <v>46271.106944444437</v>
      </c>
      <c r="P40" t="b">
        <v>0</v>
      </c>
      <c r="Q40" t="s">
        <v>1169</v>
      </c>
      <c r="R40" t="s">
        <v>1120</v>
      </c>
      <c r="S40" t="s">
        <v>1152</v>
      </c>
      <c r="T40" t="s">
        <v>1145</v>
      </c>
      <c r="U40" t="s">
        <v>1123</v>
      </c>
      <c r="V40" t="s">
        <v>1124</v>
      </c>
      <c r="W40" t="s">
        <v>1125</v>
      </c>
      <c r="X40">
        <v>2</v>
      </c>
      <c r="Y40" t="s">
        <v>1133</v>
      </c>
      <c r="Z40" t="s">
        <v>1147</v>
      </c>
      <c r="AA40">
        <v>3.25</v>
      </c>
    </row>
    <row r="41" spans="1:27" x14ac:dyDescent="0.3">
      <c r="A41" t="s">
        <v>358</v>
      </c>
      <c r="B41" t="s">
        <v>1181</v>
      </c>
      <c r="C41" t="s">
        <v>1064</v>
      </c>
      <c r="D41" t="s">
        <v>1149</v>
      </c>
      <c r="E41" t="s">
        <v>1219</v>
      </c>
      <c r="F41" s="1">
        <v>46283.751388888893</v>
      </c>
      <c r="G41" s="1">
        <v>46283.760416666657</v>
      </c>
      <c r="H41">
        <v>6</v>
      </c>
      <c r="I41">
        <v>13</v>
      </c>
      <c r="J41" t="b">
        <v>0</v>
      </c>
      <c r="K41" t="b">
        <v>0</v>
      </c>
      <c r="L41" t="b">
        <v>0</v>
      </c>
      <c r="M41">
        <v>20</v>
      </c>
      <c r="N41" t="s">
        <v>1168</v>
      </c>
      <c r="O41" s="1">
        <v>46283.73541666667</v>
      </c>
      <c r="P41" t="b">
        <v>0</v>
      </c>
      <c r="Q41" t="s">
        <v>1145</v>
      </c>
      <c r="R41" t="s">
        <v>1120</v>
      </c>
      <c r="S41" t="s">
        <v>1121</v>
      </c>
      <c r="T41" t="s">
        <v>1122</v>
      </c>
      <c r="U41" t="s">
        <v>1123</v>
      </c>
      <c r="V41" t="s">
        <v>1152</v>
      </c>
      <c r="W41" t="s">
        <v>1145</v>
      </c>
      <c r="X41">
        <v>17</v>
      </c>
      <c r="Y41" t="s">
        <v>1142</v>
      </c>
      <c r="Z41" t="s">
        <v>1127</v>
      </c>
      <c r="AA41">
        <v>2.166666666666667</v>
      </c>
    </row>
    <row r="42" spans="1:27" x14ac:dyDescent="0.3">
      <c r="A42" t="s">
        <v>714</v>
      </c>
      <c r="B42" t="s">
        <v>1220</v>
      </c>
      <c r="C42" t="s">
        <v>1068</v>
      </c>
      <c r="D42" t="s">
        <v>1136</v>
      </c>
      <c r="E42" t="s">
        <v>1221</v>
      </c>
      <c r="F42" s="1">
        <v>46273.495833333327</v>
      </c>
      <c r="G42" s="1">
        <v>46273.504861111112</v>
      </c>
      <c r="H42">
        <v>4</v>
      </c>
      <c r="I42">
        <v>13</v>
      </c>
      <c r="J42" t="b">
        <v>0</v>
      </c>
      <c r="K42" t="b">
        <v>0</v>
      </c>
      <c r="L42" t="b">
        <v>0</v>
      </c>
      <c r="M42">
        <v>8</v>
      </c>
      <c r="N42" t="s">
        <v>1118</v>
      </c>
      <c r="O42" s="1">
        <v>46273.438194444447</v>
      </c>
      <c r="P42" t="b">
        <v>0</v>
      </c>
      <c r="Q42" t="s">
        <v>1151</v>
      </c>
      <c r="R42" t="s">
        <v>1131</v>
      </c>
      <c r="S42" t="s">
        <v>1121</v>
      </c>
      <c r="T42" t="s">
        <v>1122</v>
      </c>
      <c r="U42" t="s">
        <v>1123</v>
      </c>
      <c r="V42" t="s">
        <v>1141</v>
      </c>
      <c r="W42" t="s">
        <v>1125</v>
      </c>
      <c r="X42">
        <v>10</v>
      </c>
      <c r="Y42" t="s">
        <v>1126</v>
      </c>
      <c r="Z42" t="s">
        <v>1134</v>
      </c>
      <c r="AA42">
        <v>3.25</v>
      </c>
    </row>
    <row r="43" spans="1:27" x14ac:dyDescent="0.3">
      <c r="A43" t="s">
        <v>1027</v>
      </c>
      <c r="B43" t="s">
        <v>1222</v>
      </c>
      <c r="C43" t="s">
        <v>1068</v>
      </c>
      <c r="D43" t="s">
        <v>1149</v>
      </c>
      <c r="E43" t="s">
        <v>1223</v>
      </c>
      <c r="F43" s="1">
        <v>46274.090277777781</v>
      </c>
      <c r="G43" s="1">
        <v>46274.099305555559</v>
      </c>
      <c r="H43">
        <v>5</v>
      </c>
      <c r="I43">
        <v>13</v>
      </c>
      <c r="J43" t="b">
        <v>0</v>
      </c>
      <c r="K43" t="b">
        <v>0</v>
      </c>
      <c r="L43" t="b">
        <v>0</v>
      </c>
      <c r="M43">
        <v>6</v>
      </c>
      <c r="N43" t="s">
        <v>1168</v>
      </c>
      <c r="O43" s="1">
        <v>46274.064583333333</v>
      </c>
      <c r="P43" t="b">
        <v>0</v>
      </c>
      <c r="Q43" t="s">
        <v>1119</v>
      </c>
      <c r="R43" t="s">
        <v>1120</v>
      </c>
      <c r="S43" t="s">
        <v>1152</v>
      </c>
      <c r="T43" t="s">
        <v>1122</v>
      </c>
      <c r="U43" t="s">
        <v>1123</v>
      </c>
      <c r="V43" t="s">
        <v>1152</v>
      </c>
      <c r="W43" t="s">
        <v>1145</v>
      </c>
      <c r="X43">
        <v>1</v>
      </c>
      <c r="Y43" t="s">
        <v>1161</v>
      </c>
      <c r="Z43" t="s">
        <v>1134</v>
      </c>
      <c r="AA43">
        <v>2.6</v>
      </c>
    </row>
    <row r="44" spans="1:27" x14ac:dyDescent="0.3">
      <c r="A44" t="s">
        <v>1028</v>
      </c>
      <c r="B44" t="s">
        <v>1224</v>
      </c>
      <c r="C44" t="s">
        <v>1075</v>
      </c>
      <c r="D44" t="s">
        <v>1116</v>
      </c>
      <c r="E44" t="s">
        <v>1225</v>
      </c>
      <c r="F44" s="1">
        <v>46274.793749999997</v>
      </c>
      <c r="G44" s="1">
        <v>46274.802777777782</v>
      </c>
      <c r="H44">
        <v>7</v>
      </c>
      <c r="I44">
        <v>13</v>
      </c>
      <c r="J44" t="b">
        <v>0</v>
      </c>
      <c r="K44" t="b">
        <v>0</v>
      </c>
      <c r="L44" t="b">
        <v>0</v>
      </c>
      <c r="M44">
        <v>10</v>
      </c>
      <c r="N44" t="s">
        <v>1130</v>
      </c>
      <c r="O44" s="1">
        <v>46274.694444444453</v>
      </c>
      <c r="P44" t="b">
        <v>0</v>
      </c>
      <c r="Q44" t="s">
        <v>1151</v>
      </c>
      <c r="R44" t="s">
        <v>1120</v>
      </c>
      <c r="S44" t="s">
        <v>1152</v>
      </c>
      <c r="T44" t="s">
        <v>1122</v>
      </c>
      <c r="U44" t="s">
        <v>1172</v>
      </c>
      <c r="V44" t="s">
        <v>1124</v>
      </c>
      <c r="W44" t="s">
        <v>1125</v>
      </c>
      <c r="X44">
        <v>16</v>
      </c>
      <c r="Y44" t="s">
        <v>1161</v>
      </c>
      <c r="Z44" t="s">
        <v>1134</v>
      </c>
      <c r="AA44">
        <v>1.857142857142857</v>
      </c>
    </row>
    <row r="45" spans="1:27" x14ac:dyDescent="0.3">
      <c r="A45" t="s">
        <v>421</v>
      </c>
      <c r="B45" t="s">
        <v>1226</v>
      </c>
      <c r="C45" t="s">
        <v>1071</v>
      </c>
      <c r="D45" t="s">
        <v>1116</v>
      </c>
      <c r="E45" t="s">
        <v>1227</v>
      </c>
      <c r="F45" s="1">
        <v>46277.129166666673</v>
      </c>
      <c r="G45" s="1">
        <v>46277.138194444437</v>
      </c>
      <c r="H45">
        <v>5</v>
      </c>
      <c r="I45">
        <v>13</v>
      </c>
      <c r="J45" t="b">
        <v>0</v>
      </c>
      <c r="K45" t="b">
        <v>0</v>
      </c>
      <c r="L45" t="b">
        <v>0</v>
      </c>
      <c r="M45">
        <v>5</v>
      </c>
      <c r="N45" t="s">
        <v>1130</v>
      </c>
      <c r="O45" s="1">
        <v>46277.106249999997</v>
      </c>
      <c r="P45" t="b">
        <v>0</v>
      </c>
      <c r="Q45" t="s">
        <v>1145</v>
      </c>
      <c r="R45" t="s">
        <v>1131</v>
      </c>
      <c r="S45" t="s">
        <v>1121</v>
      </c>
      <c r="T45" t="s">
        <v>1122</v>
      </c>
      <c r="U45" t="s">
        <v>1145</v>
      </c>
      <c r="V45" t="s">
        <v>1124</v>
      </c>
      <c r="W45" t="s">
        <v>1125</v>
      </c>
      <c r="X45">
        <v>2</v>
      </c>
      <c r="Y45" t="s">
        <v>1173</v>
      </c>
      <c r="Z45" t="s">
        <v>1147</v>
      </c>
      <c r="AA45">
        <v>2.6</v>
      </c>
    </row>
    <row r="46" spans="1:27" x14ac:dyDescent="0.3">
      <c r="A46" t="s">
        <v>58</v>
      </c>
      <c r="B46" t="s">
        <v>1153</v>
      </c>
      <c r="C46" t="s">
        <v>1079</v>
      </c>
      <c r="D46" t="s">
        <v>1149</v>
      </c>
      <c r="E46" t="s">
        <v>1228</v>
      </c>
      <c r="F46" s="1">
        <v>46280.28402777778</v>
      </c>
      <c r="G46" s="1">
        <v>46280.293055555558</v>
      </c>
      <c r="H46">
        <v>3</v>
      </c>
      <c r="I46">
        <v>13</v>
      </c>
      <c r="J46" t="b">
        <v>0</v>
      </c>
      <c r="K46" t="b">
        <v>0</v>
      </c>
      <c r="L46" t="b">
        <v>0</v>
      </c>
      <c r="M46">
        <v>10</v>
      </c>
      <c r="N46" t="s">
        <v>1155</v>
      </c>
      <c r="O46" s="1">
        <v>46280.222916666673</v>
      </c>
      <c r="P46" t="b">
        <v>0</v>
      </c>
      <c r="Q46" t="s">
        <v>1179</v>
      </c>
      <c r="R46" t="s">
        <v>1145</v>
      </c>
      <c r="S46" t="s">
        <v>1157</v>
      </c>
      <c r="T46" t="s">
        <v>1145</v>
      </c>
      <c r="U46" t="s">
        <v>1123</v>
      </c>
      <c r="V46" t="s">
        <v>1152</v>
      </c>
      <c r="W46" t="s">
        <v>1145</v>
      </c>
      <c r="X46">
        <v>5</v>
      </c>
      <c r="Y46" t="s">
        <v>1126</v>
      </c>
      <c r="Z46" t="s">
        <v>1134</v>
      </c>
      <c r="AA46">
        <v>4.333333333333333</v>
      </c>
    </row>
    <row r="47" spans="1:27" x14ac:dyDescent="0.3">
      <c r="A47" t="s">
        <v>176</v>
      </c>
      <c r="B47" t="s">
        <v>1229</v>
      </c>
      <c r="C47" t="s">
        <v>1059</v>
      </c>
      <c r="D47" t="s">
        <v>1116</v>
      </c>
      <c r="E47" t="s">
        <v>1230</v>
      </c>
      <c r="F47" s="1">
        <v>46280.863194444442</v>
      </c>
      <c r="G47" s="1">
        <v>46280.87222222222</v>
      </c>
      <c r="H47">
        <v>7</v>
      </c>
      <c r="I47">
        <v>13</v>
      </c>
      <c r="J47" t="b">
        <v>0</v>
      </c>
      <c r="K47" t="b">
        <v>0</v>
      </c>
      <c r="L47" t="b">
        <v>0</v>
      </c>
      <c r="M47">
        <v>8</v>
      </c>
      <c r="N47" t="s">
        <v>1118</v>
      </c>
      <c r="O47" s="1">
        <v>46280.795138888891</v>
      </c>
      <c r="P47" t="b">
        <v>0</v>
      </c>
      <c r="Q47" t="s">
        <v>1145</v>
      </c>
      <c r="R47" t="s">
        <v>1120</v>
      </c>
      <c r="S47" t="s">
        <v>1157</v>
      </c>
      <c r="T47" t="s">
        <v>1122</v>
      </c>
      <c r="U47" t="s">
        <v>1172</v>
      </c>
      <c r="V47" t="s">
        <v>1124</v>
      </c>
      <c r="W47" t="s">
        <v>1125</v>
      </c>
      <c r="X47">
        <v>19</v>
      </c>
      <c r="Y47" t="s">
        <v>1126</v>
      </c>
      <c r="Z47" t="s">
        <v>1134</v>
      </c>
      <c r="AA47">
        <v>1.857142857142857</v>
      </c>
    </row>
    <row r="48" spans="1:27" x14ac:dyDescent="0.3">
      <c r="A48" t="s">
        <v>538</v>
      </c>
      <c r="B48" t="s">
        <v>1190</v>
      </c>
      <c r="C48" t="s">
        <v>1088</v>
      </c>
      <c r="D48" t="s">
        <v>1116</v>
      </c>
      <c r="E48" t="s">
        <v>1231</v>
      </c>
      <c r="F48" s="1">
        <v>46284.184027777781</v>
      </c>
      <c r="G48" s="1">
        <v>46284.193055555559</v>
      </c>
      <c r="H48">
        <v>1</v>
      </c>
      <c r="I48">
        <v>13</v>
      </c>
      <c r="J48" t="b">
        <v>0</v>
      </c>
      <c r="K48" t="b">
        <v>0</v>
      </c>
      <c r="L48" t="b">
        <v>0</v>
      </c>
      <c r="M48">
        <v>12</v>
      </c>
      <c r="N48" t="s">
        <v>1130</v>
      </c>
      <c r="O48" s="1">
        <v>46284.070833333331</v>
      </c>
      <c r="P48" t="b">
        <v>0</v>
      </c>
      <c r="Q48" t="s">
        <v>1169</v>
      </c>
      <c r="R48" t="s">
        <v>1131</v>
      </c>
      <c r="S48" t="s">
        <v>1152</v>
      </c>
      <c r="T48" t="s">
        <v>1140</v>
      </c>
      <c r="U48" t="s">
        <v>1123</v>
      </c>
      <c r="V48" t="s">
        <v>1124</v>
      </c>
      <c r="W48" t="s">
        <v>1125</v>
      </c>
      <c r="X48">
        <v>1</v>
      </c>
      <c r="Y48" t="s">
        <v>1173</v>
      </c>
      <c r="Z48" t="s">
        <v>1127</v>
      </c>
      <c r="AA48">
        <v>13</v>
      </c>
    </row>
    <row r="49" spans="1:27" x14ac:dyDescent="0.3">
      <c r="A49" t="s">
        <v>378</v>
      </c>
      <c r="B49" t="s">
        <v>1232</v>
      </c>
      <c r="C49" t="s">
        <v>1077</v>
      </c>
      <c r="D49" t="s">
        <v>1116</v>
      </c>
      <c r="E49" t="s">
        <v>1233</v>
      </c>
      <c r="F49" s="1">
        <v>46270.80972222222</v>
      </c>
      <c r="G49" s="1">
        <v>46270.818749999999</v>
      </c>
      <c r="H49">
        <v>4</v>
      </c>
      <c r="I49">
        <v>13</v>
      </c>
      <c r="J49" t="b">
        <v>0</v>
      </c>
      <c r="K49" t="b">
        <v>0</v>
      </c>
      <c r="L49" t="b">
        <v>0</v>
      </c>
      <c r="M49">
        <v>4</v>
      </c>
      <c r="N49" t="s">
        <v>1118</v>
      </c>
      <c r="O49" s="1">
        <v>46270.777083333327</v>
      </c>
      <c r="P49" t="b">
        <v>0</v>
      </c>
      <c r="Q49" t="s">
        <v>1179</v>
      </c>
      <c r="R49" t="s">
        <v>1120</v>
      </c>
      <c r="S49" t="s">
        <v>1132</v>
      </c>
      <c r="T49" t="s">
        <v>1122</v>
      </c>
      <c r="U49" t="s">
        <v>1172</v>
      </c>
      <c r="V49" t="s">
        <v>1124</v>
      </c>
      <c r="W49" t="s">
        <v>1125</v>
      </c>
      <c r="X49">
        <v>18</v>
      </c>
      <c r="Y49" t="s">
        <v>1173</v>
      </c>
      <c r="Z49" t="s">
        <v>1147</v>
      </c>
      <c r="AA49">
        <v>3.25</v>
      </c>
    </row>
    <row r="50" spans="1:27" x14ac:dyDescent="0.3">
      <c r="A50" t="s">
        <v>198</v>
      </c>
      <c r="B50" t="s">
        <v>1234</v>
      </c>
      <c r="C50" t="s">
        <v>1088</v>
      </c>
      <c r="D50" t="s">
        <v>1136</v>
      </c>
      <c r="E50" t="s">
        <v>1235</v>
      </c>
      <c r="F50" s="1">
        <v>46281.95</v>
      </c>
      <c r="G50" s="1">
        <v>46281.959027777782</v>
      </c>
      <c r="H50">
        <v>4</v>
      </c>
      <c r="I50">
        <v>13</v>
      </c>
      <c r="J50" t="b">
        <v>0</v>
      </c>
      <c r="K50" t="b">
        <v>0</v>
      </c>
      <c r="L50" t="b">
        <v>0</v>
      </c>
      <c r="M50">
        <v>12</v>
      </c>
      <c r="N50" t="s">
        <v>1130</v>
      </c>
      <c r="P50" t="b">
        <v>0</v>
      </c>
      <c r="Q50" t="s">
        <v>1151</v>
      </c>
      <c r="R50" t="s">
        <v>1131</v>
      </c>
      <c r="S50" t="s">
        <v>1152</v>
      </c>
      <c r="T50" t="s">
        <v>1140</v>
      </c>
      <c r="U50" t="s">
        <v>1123</v>
      </c>
      <c r="V50" t="s">
        <v>1141</v>
      </c>
      <c r="W50" t="s">
        <v>1125</v>
      </c>
      <c r="Z50" t="s">
        <v>1127</v>
      </c>
      <c r="AA50">
        <v>3.25</v>
      </c>
    </row>
    <row r="51" spans="1:27" x14ac:dyDescent="0.3">
      <c r="A51" t="s">
        <v>147</v>
      </c>
      <c r="B51" t="s">
        <v>1188</v>
      </c>
      <c r="C51" t="s">
        <v>1063</v>
      </c>
      <c r="D51" t="s">
        <v>1116</v>
      </c>
      <c r="E51" t="s">
        <v>1187</v>
      </c>
      <c r="F51" s="1">
        <v>46273.143055555563</v>
      </c>
      <c r="G51" s="1">
        <v>46273.152083333327</v>
      </c>
      <c r="H51">
        <v>4</v>
      </c>
      <c r="I51">
        <v>13</v>
      </c>
      <c r="J51" t="b">
        <v>0</v>
      </c>
      <c r="K51" t="b">
        <v>0</v>
      </c>
      <c r="L51" t="b">
        <v>0</v>
      </c>
      <c r="M51">
        <v>6</v>
      </c>
      <c r="N51" t="s">
        <v>1118</v>
      </c>
      <c r="O51" s="1">
        <v>46273.138194444437</v>
      </c>
      <c r="P51" t="b">
        <v>0</v>
      </c>
      <c r="Q51" t="s">
        <v>1156</v>
      </c>
      <c r="R51" t="s">
        <v>1131</v>
      </c>
      <c r="S51" t="s">
        <v>1132</v>
      </c>
      <c r="T51" t="s">
        <v>1122</v>
      </c>
      <c r="U51" t="s">
        <v>1172</v>
      </c>
      <c r="V51" t="s">
        <v>1124</v>
      </c>
      <c r="W51" t="s">
        <v>1125</v>
      </c>
      <c r="X51">
        <v>3</v>
      </c>
      <c r="Y51" t="s">
        <v>1126</v>
      </c>
      <c r="Z51" t="s">
        <v>1134</v>
      </c>
      <c r="AA51">
        <v>3.25</v>
      </c>
    </row>
    <row r="52" spans="1:27" x14ac:dyDescent="0.3">
      <c r="A52" t="s">
        <v>492</v>
      </c>
      <c r="B52" t="s">
        <v>1236</v>
      </c>
      <c r="C52" t="s">
        <v>1062</v>
      </c>
      <c r="D52" t="s">
        <v>1149</v>
      </c>
      <c r="E52" t="s">
        <v>1237</v>
      </c>
      <c r="F52" s="1">
        <v>46273.392361111109</v>
      </c>
      <c r="G52" s="1">
        <v>46273.401388888888</v>
      </c>
      <c r="H52">
        <v>6</v>
      </c>
      <c r="I52">
        <v>13</v>
      </c>
      <c r="J52" t="b">
        <v>0</v>
      </c>
      <c r="K52" t="b">
        <v>0</v>
      </c>
      <c r="L52" t="b">
        <v>0</v>
      </c>
      <c r="M52">
        <v>3</v>
      </c>
      <c r="N52" t="s">
        <v>1118</v>
      </c>
      <c r="O52" s="1">
        <v>46273.313194444447</v>
      </c>
      <c r="P52" t="b">
        <v>0</v>
      </c>
      <c r="Q52" t="s">
        <v>1151</v>
      </c>
      <c r="R52" t="s">
        <v>1120</v>
      </c>
      <c r="S52" t="s">
        <v>1152</v>
      </c>
      <c r="T52" t="s">
        <v>1122</v>
      </c>
      <c r="U52" t="s">
        <v>1123</v>
      </c>
      <c r="V52" t="s">
        <v>1152</v>
      </c>
      <c r="W52" t="s">
        <v>1145</v>
      </c>
      <c r="X52">
        <v>7</v>
      </c>
      <c r="Y52" t="s">
        <v>1126</v>
      </c>
      <c r="Z52" t="s">
        <v>1147</v>
      </c>
      <c r="AA52">
        <v>2.166666666666667</v>
      </c>
    </row>
    <row r="53" spans="1:27" x14ac:dyDescent="0.3">
      <c r="A53" t="s">
        <v>934</v>
      </c>
      <c r="B53" t="s">
        <v>1162</v>
      </c>
      <c r="C53" t="s">
        <v>1064</v>
      </c>
      <c r="D53" t="s">
        <v>1238</v>
      </c>
      <c r="E53" t="s">
        <v>1137</v>
      </c>
      <c r="F53" s="1">
        <v>46267.925000000003</v>
      </c>
      <c r="G53" s="1">
        <v>46267.934027777781</v>
      </c>
      <c r="H53">
        <v>7</v>
      </c>
      <c r="I53">
        <v>13</v>
      </c>
      <c r="J53" t="b">
        <v>0</v>
      </c>
      <c r="K53" t="b">
        <v>0</v>
      </c>
      <c r="L53" t="b">
        <v>0</v>
      </c>
      <c r="M53">
        <v>15</v>
      </c>
      <c r="N53" t="s">
        <v>1130</v>
      </c>
      <c r="O53" s="1">
        <v>46267.895833333343</v>
      </c>
      <c r="P53" t="b">
        <v>0</v>
      </c>
      <c r="Q53" t="s">
        <v>1138</v>
      </c>
      <c r="R53" t="s">
        <v>1139</v>
      </c>
      <c r="S53" t="s">
        <v>1132</v>
      </c>
      <c r="T53" t="s">
        <v>1122</v>
      </c>
      <c r="U53" t="s">
        <v>1123</v>
      </c>
      <c r="V53" t="s">
        <v>1151</v>
      </c>
      <c r="W53" t="s">
        <v>1131</v>
      </c>
      <c r="X53">
        <v>21</v>
      </c>
      <c r="Y53" t="s">
        <v>1161</v>
      </c>
      <c r="Z53" t="s">
        <v>1127</v>
      </c>
      <c r="AA53">
        <v>1.857142857142857</v>
      </c>
    </row>
    <row r="54" spans="1:27" x14ac:dyDescent="0.3">
      <c r="A54" t="s">
        <v>136</v>
      </c>
      <c r="B54" t="s">
        <v>1239</v>
      </c>
      <c r="C54" t="s">
        <v>1068</v>
      </c>
      <c r="D54" t="s">
        <v>1116</v>
      </c>
      <c r="E54" t="s">
        <v>1240</v>
      </c>
      <c r="F54" s="1">
        <v>46292.838194444441</v>
      </c>
      <c r="G54" s="1">
        <v>46292.847222222219</v>
      </c>
      <c r="H54">
        <v>6</v>
      </c>
      <c r="I54">
        <v>13</v>
      </c>
      <c r="J54" t="b">
        <v>0</v>
      </c>
      <c r="K54" t="b">
        <v>0</v>
      </c>
      <c r="L54" t="b">
        <v>0</v>
      </c>
      <c r="M54">
        <v>12</v>
      </c>
      <c r="N54" t="s">
        <v>1130</v>
      </c>
      <c r="O54" s="1">
        <v>46292.831250000003</v>
      </c>
      <c r="P54" t="b">
        <v>0</v>
      </c>
      <c r="Q54" t="s">
        <v>1156</v>
      </c>
      <c r="R54" t="s">
        <v>1120</v>
      </c>
      <c r="S54" t="s">
        <v>1145</v>
      </c>
      <c r="T54" t="s">
        <v>1122</v>
      </c>
      <c r="U54" t="s">
        <v>1123</v>
      </c>
      <c r="V54" t="s">
        <v>1124</v>
      </c>
      <c r="W54" t="s">
        <v>1125</v>
      </c>
      <c r="X54">
        <v>19</v>
      </c>
      <c r="Y54" t="s">
        <v>1133</v>
      </c>
      <c r="Z54" t="s">
        <v>1127</v>
      </c>
      <c r="AA54">
        <v>2.166666666666667</v>
      </c>
    </row>
    <row r="55" spans="1:27" x14ac:dyDescent="0.3">
      <c r="A55" t="s">
        <v>613</v>
      </c>
      <c r="B55" t="s">
        <v>1241</v>
      </c>
      <c r="C55" t="s">
        <v>1076</v>
      </c>
      <c r="D55" t="s">
        <v>1116</v>
      </c>
      <c r="E55" t="s">
        <v>1210</v>
      </c>
      <c r="F55" s="1">
        <v>46273.824999999997</v>
      </c>
      <c r="G55" s="1">
        <v>46273.834027777782</v>
      </c>
      <c r="H55">
        <v>6</v>
      </c>
      <c r="I55">
        <v>13</v>
      </c>
      <c r="J55" t="b">
        <v>0</v>
      </c>
      <c r="K55" t="b">
        <v>0</v>
      </c>
      <c r="L55" t="b">
        <v>0</v>
      </c>
      <c r="M55">
        <v>5</v>
      </c>
      <c r="N55" t="s">
        <v>1118</v>
      </c>
      <c r="O55" s="1">
        <v>46273.793055555558</v>
      </c>
      <c r="P55" t="b">
        <v>0</v>
      </c>
      <c r="Q55" t="s">
        <v>1151</v>
      </c>
      <c r="R55" t="s">
        <v>1131</v>
      </c>
      <c r="S55" t="s">
        <v>1157</v>
      </c>
      <c r="T55" t="s">
        <v>1122</v>
      </c>
      <c r="U55" t="s">
        <v>1172</v>
      </c>
      <c r="V55" t="s">
        <v>1124</v>
      </c>
      <c r="W55" t="s">
        <v>1125</v>
      </c>
      <c r="X55">
        <v>19</v>
      </c>
      <c r="Y55" t="s">
        <v>1126</v>
      </c>
      <c r="Z55" t="s">
        <v>1147</v>
      </c>
      <c r="AA55">
        <v>2.166666666666667</v>
      </c>
    </row>
    <row r="56" spans="1:27" x14ac:dyDescent="0.3">
      <c r="A56" t="s">
        <v>676</v>
      </c>
      <c r="B56" t="s">
        <v>1242</v>
      </c>
      <c r="C56" t="s">
        <v>1062</v>
      </c>
      <c r="D56" t="s">
        <v>1116</v>
      </c>
      <c r="E56" t="s">
        <v>1171</v>
      </c>
      <c r="F56" s="1">
        <v>46273.044444444437</v>
      </c>
      <c r="G56" s="1">
        <v>46273.053472222222</v>
      </c>
      <c r="H56">
        <v>1</v>
      </c>
      <c r="I56">
        <v>13</v>
      </c>
      <c r="J56" t="b">
        <v>0</v>
      </c>
      <c r="K56" t="b">
        <v>0</v>
      </c>
      <c r="L56" t="b">
        <v>0</v>
      </c>
      <c r="M56">
        <v>10</v>
      </c>
      <c r="N56" t="s">
        <v>1168</v>
      </c>
      <c r="O56" s="1">
        <v>46273.044444444437</v>
      </c>
      <c r="P56" t="b">
        <v>0</v>
      </c>
      <c r="Q56" t="s">
        <v>1119</v>
      </c>
      <c r="R56" t="s">
        <v>1131</v>
      </c>
      <c r="S56" t="s">
        <v>1121</v>
      </c>
      <c r="T56" t="s">
        <v>1122</v>
      </c>
      <c r="U56" t="s">
        <v>1123</v>
      </c>
      <c r="V56" t="s">
        <v>1124</v>
      </c>
      <c r="W56" t="s">
        <v>1125</v>
      </c>
      <c r="X56">
        <v>1</v>
      </c>
      <c r="Y56" t="s">
        <v>1126</v>
      </c>
      <c r="Z56" t="s">
        <v>1134</v>
      </c>
      <c r="AA56">
        <v>13</v>
      </c>
    </row>
    <row r="57" spans="1:27" x14ac:dyDescent="0.3">
      <c r="A57" t="s">
        <v>121</v>
      </c>
      <c r="B57" t="s">
        <v>1243</v>
      </c>
      <c r="C57" t="s">
        <v>1059</v>
      </c>
      <c r="D57" t="s">
        <v>1149</v>
      </c>
      <c r="E57" t="s">
        <v>1244</v>
      </c>
      <c r="F57" s="1">
        <v>46286.189583333333</v>
      </c>
      <c r="G57" s="1">
        <v>46286.197916666657</v>
      </c>
      <c r="H57">
        <v>6</v>
      </c>
      <c r="I57">
        <v>12</v>
      </c>
      <c r="J57" t="b">
        <v>0</v>
      </c>
      <c r="K57" t="b">
        <v>0</v>
      </c>
      <c r="L57" t="b">
        <v>0</v>
      </c>
      <c r="M57">
        <v>20</v>
      </c>
      <c r="N57" t="s">
        <v>1155</v>
      </c>
      <c r="O57" s="1">
        <v>46286.134722222218</v>
      </c>
      <c r="P57" t="b">
        <v>0</v>
      </c>
      <c r="Q57" t="s">
        <v>1119</v>
      </c>
      <c r="R57" t="s">
        <v>1120</v>
      </c>
      <c r="S57" t="s">
        <v>1121</v>
      </c>
      <c r="T57" t="s">
        <v>1122</v>
      </c>
      <c r="U57" t="s">
        <v>1172</v>
      </c>
      <c r="V57" t="s">
        <v>1152</v>
      </c>
      <c r="W57" t="s">
        <v>1145</v>
      </c>
      <c r="X57">
        <v>3</v>
      </c>
      <c r="Y57" t="s">
        <v>1185</v>
      </c>
      <c r="Z57" t="s">
        <v>1127</v>
      </c>
      <c r="AA57">
        <v>2</v>
      </c>
    </row>
    <row r="58" spans="1:27" x14ac:dyDescent="0.3">
      <c r="A58" t="s">
        <v>677</v>
      </c>
      <c r="B58" t="s">
        <v>1245</v>
      </c>
      <c r="C58" t="s">
        <v>1087</v>
      </c>
      <c r="D58" t="s">
        <v>1149</v>
      </c>
      <c r="E58" t="s">
        <v>1246</v>
      </c>
      <c r="F58" s="1">
        <v>46285.546527777777</v>
      </c>
      <c r="G58" s="1">
        <v>46285.554861111108</v>
      </c>
      <c r="H58">
        <v>6</v>
      </c>
      <c r="I58">
        <v>12</v>
      </c>
      <c r="J58" t="b">
        <v>0</v>
      </c>
      <c r="K58" t="b">
        <v>0</v>
      </c>
      <c r="L58" t="b">
        <v>0</v>
      </c>
      <c r="M58">
        <v>3</v>
      </c>
      <c r="N58" t="s">
        <v>1168</v>
      </c>
      <c r="O58" s="1">
        <v>46285.45208333333</v>
      </c>
      <c r="P58" t="b">
        <v>0</v>
      </c>
      <c r="Q58" t="s">
        <v>1145</v>
      </c>
      <c r="R58" t="s">
        <v>1120</v>
      </c>
      <c r="S58" t="s">
        <v>1157</v>
      </c>
      <c r="T58" t="s">
        <v>1145</v>
      </c>
      <c r="U58" t="s">
        <v>1247</v>
      </c>
      <c r="V58" t="s">
        <v>1152</v>
      </c>
      <c r="W58" t="s">
        <v>1145</v>
      </c>
      <c r="X58">
        <v>10</v>
      </c>
      <c r="Y58" t="s">
        <v>1133</v>
      </c>
      <c r="Z58" t="s">
        <v>1147</v>
      </c>
      <c r="AA58">
        <v>2</v>
      </c>
    </row>
    <row r="59" spans="1:27" x14ac:dyDescent="0.3">
      <c r="A59" t="s">
        <v>745</v>
      </c>
      <c r="B59" t="s">
        <v>1248</v>
      </c>
      <c r="C59" t="s">
        <v>1060</v>
      </c>
      <c r="D59" t="s">
        <v>1116</v>
      </c>
      <c r="E59" t="s">
        <v>1249</v>
      </c>
      <c r="F59" s="1">
        <v>46293.275694444441</v>
      </c>
      <c r="G59" s="1">
        <v>46293.28402777778</v>
      </c>
      <c r="H59">
        <v>7</v>
      </c>
      <c r="I59">
        <v>12</v>
      </c>
      <c r="J59" t="b">
        <v>0</v>
      </c>
      <c r="K59" t="b">
        <v>0</v>
      </c>
      <c r="L59" t="b">
        <v>0</v>
      </c>
      <c r="M59">
        <v>3</v>
      </c>
      <c r="N59" t="s">
        <v>1168</v>
      </c>
      <c r="O59" s="1">
        <v>46293.162499999999</v>
      </c>
      <c r="P59" t="b">
        <v>0</v>
      </c>
      <c r="Q59" t="s">
        <v>1169</v>
      </c>
      <c r="R59" t="s">
        <v>1131</v>
      </c>
      <c r="S59" t="s">
        <v>1157</v>
      </c>
      <c r="T59" t="s">
        <v>1140</v>
      </c>
      <c r="U59" t="s">
        <v>1145</v>
      </c>
      <c r="V59" t="s">
        <v>1124</v>
      </c>
      <c r="W59" t="s">
        <v>1125</v>
      </c>
      <c r="X59">
        <v>3</v>
      </c>
      <c r="Y59" t="s">
        <v>1185</v>
      </c>
      <c r="Z59" t="s">
        <v>1147</v>
      </c>
      <c r="AA59">
        <v>1.714285714285714</v>
      </c>
    </row>
    <row r="60" spans="1:27" x14ac:dyDescent="0.3">
      <c r="A60" t="s">
        <v>582</v>
      </c>
      <c r="B60" t="s">
        <v>1250</v>
      </c>
      <c r="C60" t="s">
        <v>1082</v>
      </c>
      <c r="D60" t="s">
        <v>1116</v>
      </c>
      <c r="E60" t="s">
        <v>1237</v>
      </c>
      <c r="F60" s="1">
        <v>46288.845138888893</v>
      </c>
      <c r="G60" s="1">
        <v>46288.853472222218</v>
      </c>
      <c r="H60">
        <v>5</v>
      </c>
      <c r="I60">
        <v>12</v>
      </c>
      <c r="J60" t="b">
        <v>0</v>
      </c>
      <c r="K60" t="b">
        <v>0</v>
      </c>
      <c r="L60" t="b">
        <v>0</v>
      </c>
      <c r="M60">
        <v>10</v>
      </c>
      <c r="N60" t="s">
        <v>1118</v>
      </c>
      <c r="O60" s="1">
        <v>46288.808333333327</v>
      </c>
      <c r="P60" t="b">
        <v>0</v>
      </c>
      <c r="Q60" t="s">
        <v>1151</v>
      </c>
      <c r="R60" t="s">
        <v>1120</v>
      </c>
      <c r="S60" t="s">
        <v>1152</v>
      </c>
      <c r="T60" t="s">
        <v>1122</v>
      </c>
      <c r="U60" t="s">
        <v>1145</v>
      </c>
      <c r="V60" t="s">
        <v>1124</v>
      </c>
      <c r="W60" t="s">
        <v>1125</v>
      </c>
      <c r="X60">
        <v>19</v>
      </c>
      <c r="Y60" t="s">
        <v>1161</v>
      </c>
      <c r="Z60" t="s">
        <v>1134</v>
      </c>
      <c r="AA60">
        <v>2.4</v>
      </c>
    </row>
    <row r="61" spans="1:27" x14ac:dyDescent="0.3">
      <c r="A61" t="s">
        <v>580</v>
      </c>
      <c r="B61" t="s">
        <v>1250</v>
      </c>
      <c r="C61" t="s">
        <v>1083</v>
      </c>
      <c r="D61" t="s">
        <v>1149</v>
      </c>
      <c r="E61" t="s">
        <v>1221</v>
      </c>
      <c r="F61" s="1">
        <v>46288.808333333327</v>
      </c>
      <c r="G61" s="1">
        <v>46288.816666666673</v>
      </c>
      <c r="H61">
        <v>3</v>
      </c>
      <c r="I61">
        <v>12</v>
      </c>
      <c r="J61" t="b">
        <v>0</v>
      </c>
      <c r="K61" t="b">
        <v>0</v>
      </c>
      <c r="L61" t="b">
        <v>0</v>
      </c>
      <c r="M61">
        <v>10</v>
      </c>
      <c r="N61" t="s">
        <v>1118</v>
      </c>
      <c r="O61" s="1">
        <v>46288.808333333327</v>
      </c>
      <c r="P61" t="b">
        <v>0</v>
      </c>
      <c r="Q61" t="s">
        <v>1151</v>
      </c>
      <c r="R61" t="s">
        <v>1131</v>
      </c>
      <c r="S61" t="s">
        <v>1121</v>
      </c>
      <c r="T61" t="s">
        <v>1180</v>
      </c>
      <c r="U61" t="s">
        <v>1123</v>
      </c>
      <c r="V61" t="s">
        <v>1152</v>
      </c>
      <c r="W61" t="s">
        <v>1145</v>
      </c>
      <c r="X61">
        <v>19</v>
      </c>
      <c r="Y61" t="s">
        <v>1161</v>
      </c>
      <c r="Z61" t="s">
        <v>1134</v>
      </c>
      <c r="AA61">
        <v>4</v>
      </c>
    </row>
    <row r="62" spans="1:27" x14ac:dyDescent="0.3">
      <c r="A62" t="s">
        <v>83</v>
      </c>
      <c r="B62" t="s">
        <v>1251</v>
      </c>
      <c r="C62" t="s">
        <v>1077</v>
      </c>
      <c r="D62" t="s">
        <v>1136</v>
      </c>
      <c r="E62" t="s">
        <v>1200</v>
      </c>
      <c r="F62" s="1">
        <v>46290.3125</v>
      </c>
      <c r="G62" s="1">
        <v>46290.320833333331</v>
      </c>
      <c r="H62">
        <v>7</v>
      </c>
      <c r="I62">
        <v>12</v>
      </c>
      <c r="J62" t="b">
        <v>0</v>
      </c>
      <c r="K62" t="b">
        <v>0</v>
      </c>
      <c r="L62" t="b">
        <v>0</v>
      </c>
      <c r="M62">
        <v>4</v>
      </c>
      <c r="N62" t="s">
        <v>1130</v>
      </c>
      <c r="O62" s="1">
        <v>46290.261111111111</v>
      </c>
      <c r="P62" t="b">
        <v>0</v>
      </c>
      <c r="Q62" t="s">
        <v>1156</v>
      </c>
      <c r="R62" t="s">
        <v>1139</v>
      </c>
      <c r="S62" t="s">
        <v>1132</v>
      </c>
      <c r="T62" t="s">
        <v>1122</v>
      </c>
      <c r="U62" t="s">
        <v>1172</v>
      </c>
      <c r="V62" t="s">
        <v>1141</v>
      </c>
      <c r="W62" t="s">
        <v>1125</v>
      </c>
      <c r="X62">
        <v>6</v>
      </c>
      <c r="Y62" t="s">
        <v>1142</v>
      </c>
      <c r="Z62" t="s">
        <v>1147</v>
      </c>
      <c r="AA62">
        <v>1.714285714285714</v>
      </c>
    </row>
    <row r="63" spans="1:27" x14ac:dyDescent="0.3">
      <c r="A63" t="s">
        <v>955</v>
      </c>
      <c r="B63" t="s">
        <v>1252</v>
      </c>
      <c r="C63" t="s">
        <v>1070</v>
      </c>
      <c r="D63" t="s">
        <v>1136</v>
      </c>
      <c r="E63" t="s">
        <v>1253</v>
      </c>
      <c r="F63" s="1">
        <v>46282.287499999999</v>
      </c>
      <c r="G63" s="1">
        <v>46282.29583333333</v>
      </c>
      <c r="H63">
        <v>5</v>
      </c>
      <c r="I63">
        <v>12</v>
      </c>
      <c r="J63" t="b">
        <v>0</v>
      </c>
      <c r="K63" t="b">
        <v>0</v>
      </c>
      <c r="L63" t="b">
        <v>0</v>
      </c>
      <c r="M63">
        <v>20</v>
      </c>
      <c r="N63" t="s">
        <v>1168</v>
      </c>
      <c r="O63" s="1">
        <v>46282.218055555553</v>
      </c>
      <c r="P63" t="b">
        <v>0</v>
      </c>
      <c r="Q63" t="s">
        <v>1156</v>
      </c>
      <c r="R63" t="s">
        <v>1139</v>
      </c>
      <c r="S63" t="s">
        <v>1121</v>
      </c>
      <c r="T63" t="s">
        <v>1180</v>
      </c>
      <c r="U63" t="s">
        <v>1145</v>
      </c>
      <c r="V63" t="s">
        <v>1141</v>
      </c>
      <c r="W63" t="s">
        <v>1125</v>
      </c>
      <c r="X63">
        <v>5</v>
      </c>
      <c r="Y63" t="s">
        <v>1146</v>
      </c>
      <c r="Z63" t="s">
        <v>1127</v>
      </c>
      <c r="AA63">
        <v>2.4</v>
      </c>
    </row>
    <row r="64" spans="1:27" x14ac:dyDescent="0.3">
      <c r="A64" t="s">
        <v>304</v>
      </c>
      <c r="B64" t="s">
        <v>1254</v>
      </c>
      <c r="C64" t="s">
        <v>1082</v>
      </c>
      <c r="D64" t="s">
        <v>1255</v>
      </c>
      <c r="E64" t="s">
        <v>1256</v>
      </c>
      <c r="F64" s="1">
        <v>46273.081944444442</v>
      </c>
      <c r="G64" s="1">
        <v>46273.090277777781</v>
      </c>
      <c r="H64">
        <v>7</v>
      </c>
      <c r="I64">
        <v>12</v>
      </c>
      <c r="J64" t="b">
        <v>0</v>
      </c>
      <c r="K64" t="b">
        <v>0</v>
      </c>
      <c r="L64" t="b">
        <v>0</v>
      </c>
      <c r="M64">
        <v>4</v>
      </c>
      <c r="N64" t="s">
        <v>1118</v>
      </c>
      <c r="O64" s="1">
        <v>46273.029166666667</v>
      </c>
      <c r="P64" t="b">
        <v>0</v>
      </c>
      <c r="Q64" t="s">
        <v>1145</v>
      </c>
      <c r="R64" t="s">
        <v>1139</v>
      </c>
      <c r="S64" t="s">
        <v>1157</v>
      </c>
      <c r="T64" t="s">
        <v>1122</v>
      </c>
      <c r="U64" t="s">
        <v>1145</v>
      </c>
      <c r="V64" t="s">
        <v>1141</v>
      </c>
      <c r="W64" t="s">
        <v>1257</v>
      </c>
      <c r="X64">
        <v>0</v>
      </c>
      <c r="Y64" t="s">
        <v>1126</v>
      </c>
      <c r="Z64" t="s">
        <v>1147</v>
      </c>
      <c r="AA64">
        <v>1.714285714285714</v>
      </c>
    </row>
    <row r="65" spans="1:27" x14ac:dyDescent="0.3">
      <c r="A65" t="s">
        <v>610</v>
      </c>
      <c r="B65" t="s">
        <v>1258</v>
      </c>
      <c r="C65" t="s">
        <v>1088</v>
      </c>
      <c r="D65" t="s">
        <v>1238</v>
      </c>
      <c r="E65" t="s">
        <v>1259</v>
      </c>
      <c r="F65" s="1">
        <v>46277.637499999997</v>
      </c>
      <c r="G65" s="1">
        <v>46277.645833333343</v>
      </c>
      <c r="H65">
        <v>3</v>
      </c>
      <c r="I65">
        <v>12</v>
      </c>
      <c r="J65" t="b">
        <v>0</v>
      </c>
      <c r="K65" t="b">
        <v>0</v>
      </c>
      <c r="L65" t="b">
        <v>0</v>
      </c>
      <c r="N65" t="s">
        <v>1130</v>
      </c>
      <c r="O65" s="1">
        <v>46277.556250000001</v>
      </c>
      <c r="P65" t="b">
        <v>1</v>
      </c>
      <c r="Q65" t="s">
        <v>1179</v>
      </c>
      <c r="R65" t="s">
        <v>1120</v>
      </c>
      <c r="S65" t="s">
        <v>1132</v>
      </c>
      <c r="T65" t="s">
        <v>1140</v>
      </c>
      <c r="U65" t="s">
        <v>1123</v>
      </c>
      <c r="V65" t="s">
        <v>1151</v>
      </c>
      <c r="W65" t="s">
        <v>1131</v>
      </c>
      <c r="X65">
        <v>13</v>
      </c>
      <c r="Y65" t="s">
        <v>1173</v>
      </c>
      <c r="AA65">
        <v>4</v>
      </c>
    </row>
    <row r="66" spans="1:27" x14ac:dyDescent="0.3">
      <c r="A66" t="s">
        <v>600</v>
      </c>
      <c r="B66" t="s">
        <v>1260</v>
      </c>
      <c r="C66" t="s">
        <v>1063</v>
      </c>
      <c r="D66" t="s">
        <v>1149</v>
      </c>
      <c r="E66" t="s">
        <v>1261</v>
      </c>
      <c r="F66" s="1">
        <v>46282.634722222218</v>
      </c>
      <c r="G66" s="1">
        <v>46282.643055555563</v>
      </c>
      <c r="H66">
        <v>2</v>
      </c>
      <c r="I66">
        <v>12</v>
      </c>
      <c r="J66" t="b">
        <v>0</v>
      </c>
      <c r="K66" t="b">
        <v>0</v>
      </c>
      <c r="L66" t="b">
        <v>0</v>
      </c>
      <c r="M66">
        <v>8</v>
      </c>
      <c r="N66" t="s">
        <v>1118</v>
      </c>
      <c r="O66" s="1">
        <v>46282.520833333343</v>
      </c>
      <c r="P66" t="b">
        <v>0</v>
      </c>
      <c r="Q66" t="s">
        <v>1151</v>
      </c>
      <c r="R66" t="s">
        <v>1120</v>
      </c>
      <c r="S66" t="s">
        <v>1157</v>
      </c>
      <c r="T66" t="s">
        <v>1122</v>
      </c>
      <c r="U66" t="s">
        <v>1172</v>
      </c>
      <c r="V66" t="s">
        <v>1152</v>
      </c>
      <c r="W66" t="s">
        <v>1145</v>
      </c>
      <c r="X66">
        <v>12</v>
      </c>
      <c r="Y66" t="s">
        <v>1146</v>
      </c>
      <c r="Z66" t="s">
        <v>1134</v>
      </c>
      <c r="AA66">
        <v>6</v>
      </c>
    </row>
    <row r="67" spans="1:27" x14ac:dyDescent="0.3">
      <c r="A67" t="s">
        <v>948</v>
      </c>
      <c r="B67" t="s">
        <v>1262</v>
      </c>
      <c r="C67" t="s">
        <v>1075</v>
      </c>
      <c r="D67" t="s">
        <v>1149</v>
      </c>
      <c r="E67" t="s">
        <v>1189</v>
      </c>
      <c r="F67" s="1">
        <v>46285.546527777777</v>
      </c>
      <c r="G67" s="1">
        <v>46285.554861111108</v>
      </c>
      <c r="H67">
        <v>3</v>
      </c>
      <c r="I67">
        <v>12</v>
      </c>
      <c r="J67" t="b">
        <v>0</v>
      </c>
      <c r="K67" t="b">
        <v>0</v>
      </c>
      <c r="L67" t="b">
        <v>0</v>
      </c>
      <c r="M67">
        <v>8</v>
      </c>
      <c r="N67" t="s">
        <v>1168</v>
      </c>
      <c r="O67" s="1">
        <v>46285.46875</v>
      </c>
      <c r="P67" t="b">
        <v>0</v>
      </c>
      <c r="Q67" t="s">
        <v>1138</v>
      </c>
      <c r="R67" t="s">
        <v>1131</v>
      </c>
      <c r="S67" t="s">
        <v>1152</v>
      </c>
      <c r="T67" t="s">
        <v>1122</v>
      </c>
      <c r="U67" t="s">
        <v>1172</v>
      </c>
      <c r="V67" t="s">
        <v>1152</v>
      </c>
      <c r="W67" t="s">
        <v>1145</v>
      </c>
      <c r="X67">
        <v>11</v>
      </c>
      <c r="Y67" t="s">
        <v>1133</v>
      </c>
      <c r="Z67" t="s">
        <v>1134</v>
      </c>
      <c r="AA67">
        <v>4</v>
      </c>
    </row>
    <row r="68" spans="1:27" x14ac:dyDescent="0.3">
      <c r="A68" t="s">
        <v>950</v>
      </c>
      <c r="B68" t="s">
        <v>1263</v>
      </c>
      <c r="C68" t="s">
        <v>1061</v>
      </c>
      <c r="D68" t="s">
        <v>1149</v>
      </c>
      <c r="E68" t="s">
        <v>1198</v>
      </c>
      <c r="F68" s="1">
        <v>46269.29583333333</v>
      </c>
      <c r="G68" s="1">
        <v>46269.304166666669</v>
      </c>
      <c r="H68">
        <v>4</v>
      </c>
      <c r="I68">
        <v>12</v>
      </c>
      <c r="J68" t="b">
        <v>0</v>
      </c>
      <c r="K68" t="b">
        <v>0</v>
      </c>
      <c r="L68" t="b">
        <v>0</v>
      </c>
      <c r="M68">
        <v>8</v>
      </c>
      <c r="N68" t="s">
        <v>1118</v>
      </c>
      <c r="O68" s="1">
        <v>46269.193055555559</v>
      </c>
      <c r="P68" t="b">
        <v>0</v>
      </c>
      <c r="Q68" t="s">
        <v>1169</v>
      </c>
      <c r="R68" t="s">
        <v>1131</v>
      </c>
      <c r="S68" t="s">
        <v>1145</v>
      </c>
      <c r="T68" t="s">
        <v>1145</v>
      </c>
      <c r="U68" t="s">
        <v>1172</v>
      </c>
      <c r="V68" t="s">
        <v>1152</v>
      </c>
      <c r="W68" t="s">
        <v>1145</v>
      </c>
      <c r="X68">
        <v>4</v>
      </c>
      <c r="Y68" t="s">
        <v>1142</v>
      </c>
      <c r="Z68" t="s">
        <v>1134</v>
      </c>
      <c r="AA68">
        <v>3</v>
      </c>
    </row>
    <row r="69" spans="1:27" x14ac:dyDescent="0.3">
      <c r="A69" t="s">
        <v>733</v>
      </c>
      <c r="B69" t="s">
        <v>1264</v>
      </c>
      <c r="C69" t="s">
        <v>1068</v>
      </c>
      <c r="D69" t="s">
        <v>1116</v>
      </c>
      <c r="E69" t="s">
        <v>1265</v>
      </c>
      <c r="F69" s="1">
        <v>46272.551388888889</v>
      </c>
      <c r="G69" s="1">
        <v>46272.55972222222</v>
      </c>
      <c r="H69">
        <v>4</v>
      </c>
      <c r="I69">
        <v>12</v>
      </c>
      <c r="J69" t="b">
        <v>0</v>
      </c>
      <c r="K69" t="b">
        <v>0</v>
      </c>
      <c r="L69" t="b">
        <v>0</v>
      </c>
      <c r="M69">
        <v>6</v>
      </c>
      <c r="N69" t="s">
        <v>1155</v>
      </c>
      <c r="O69" s="1">
        <v>46272.520138888889</v>
      </c>
      <c r="P69" t="b">
        <v>0</v>
      </c>
      <c r="Q69" t="s">
        <v>1179</v>
      </c>
      <c r="R69" t="s">
        <v>1139</v>
      </c>
      <c r="S69" t="s">
        <v>1157</v>
      </c>
      <c r="T69" t="s">
        <v>1122</v>
      </c>
      <c r="U69" t="s">
        <v>1123</v>
      </c>
      <c r="V69" t="s">
        <v>1124</v>
      </c>
      <c r="W69" t="s">
        <v>1125</v>
      </c>
      <c r="X69">
        <v>12</v>
      </c>
      <c r="Y69" t="s">
        <v>1185</v>
      </c>
      <c r="Z69" t="s">
        <v>1134</v>
      </c>
      <c r="AA69">
        <v>3</v>
      </c>
    </row>
    <row r="70" spans="1:27" x14ac:dyDescent="0.3">
      <c r="A70" t="s">
        <v>577</v>
      </c>
      <c r="B70" t="s">
        <v>1266</v>
      </c>
      <c r="C70" t="s">
        <v>1086</v>
      </c>
      <c r="D70" t="s">
        <v>1116</v>
      </c>
      <c r="E70" t="s">
        <v>1267</v>
      </c>
      <c r="F70" s="1">
        <v>46287.534722222219</v>
      </c>
      <c r="G70" s="1">
        <v>46287.543055555558</v>
      </c>
      <c r="H70">
        <v>3</v>
      </c>
      <c r="I70">
        <v>12</v>
      </c>
      <c r="J70" t="b">
        <v>0</v>
      </c>
      <c r="K70" t="b">
        <v>0</v>
      </c>
      <c r="L70" t="b">
        <v>0</v>
      </c>
      <c r="M70">
        <v>10</v>
      </c>
      <c r="N70" t="s">
        <v>1118</v>
      </c>
      <c r="O70" s="1">
        <v>46287.481944444437</v>
      </c>
      <c r="P70" t="b">
        <v>0</v>
      </c>
      <c r="Q70" t="s">
        <v>1151</v>
      </c>
      <c r="R70" t="s">
        <v>1145</v>
      </c>
      <c r="S70" t="s">
        <v>1121</v>
      </c>
      <c r="T70" t="s">
        <v>1122</v>
      </c>
      <c r="U70" t="s">
        <v>1145</v>
      </c>
      <c r="V70" t="s">
        <v>1124</v>
      </c>
      <c r="W70" t="s">
        <v>1125</v>
      </c>
      <c r="X70">
        <v>11</v>
      </c>
      <c r="Y70" t="s">
        <v>1126</v>
      </c>
      <c r="Z70" t="s">
        <v>1134</v>
      </c>
      <c r="AA70">
        <v>4</v>
      </c>
    </row>
    <row r="71" spans="1:27" x14ac:dyDescent="0.3">
      <c r="A71" t="s">
        <v>737</v>
      </c>
      <c r="B71" t="s">
        <v>1268</v>
      </c>
      <c r="C71" t="s">
        <v>1079</v>
      </c>
      <c r="D71" t="s">
        <v>1149</v>
      </c>
      <c r="E71" t="s">
        <v>1213</v>
      </c>
      <c r="F71" s="1">
        <v>46270.056944444441</v>
      </c>
      <c r="G71" s="1">
        <v>46270.06527777778</v>
      </c>
      <c r="H71">
        <v>7</v>
      </c>
      <c r="I71">
        <v>12</v>
      </c>
      <c r="J71" t="b">
        <v>0</v>
      </c>
      <c r="K71" t="b">
        <v>0</v>
      </c>
      <c r="L71" t="b">
        <v>0</v>
      </c>
      <c r="M71">
        <v>4</v>
      </c>
      <c r="N71" t="s">
        <v>1130</v>
      </c>
      <c r="O71" s="1">
        <v>46269.984722222223</v>
      </c>
      <c r="P71" t="b">
        <v>0</v>
      </c>
      <c r="Q71" t="s">
        <v>1151</v>
      </c>
      <c r="R71" t="s">
        <v>1131</v>
      </c>
      <c r="S71" t="s">
        <v>1152</v>
      </c>
      <c r="T71" t="s">
        <v>1145</v>
      </c>
      <c r="U71" t="s">
        <v>1123</v>
      </c>
      <c r="V71" t="s">
        <v>1152</v>
      </c>
      <c r="W71" t="s">
        <v>1145</v>
      </c>
      <c r="X71">
        <v>23</v>
      </c>
      <c r="Y71" t="s">
        <v>1142</v>
      </c>
      <c r="Z71" t="s">
        <v>1147</v>
      </c>
      <c r="AA71">
        <v>1.714285714285714</v>
      </c>
    </row>
    <row r="72" spans="1:27" x14ac:dyDescent="0.3">
      <c r="A72" t="s">
        <v>375</v>
      </c>
      <c r="B72" t="s">
        <v>1177</v>
      </c>
      <c r="C72" t="s">
        <v>1072</v>
      </c>
      <c r="D72" t="s">
        <v>1149</v>
      </c>
      <c r="E72" t="s">
        <v>1228</v>
      </c>
      <c r="F72" s="1">
        <v>46290.501388888893</v>
      </c>
      <c r="G72" s="1">
        <v>46290.509722222218</v>
      </c>
      <c r="H72">
        <v>6</v>
      </c>
      <c r="I72">
        <v>12</v>
      </c>
      <c r="J72" t="b">
        <v>0</v>
      </c>
      <c r="K72" t="b">
        <v>0</v>
      </c>
      <c r="L72" t="b">
        <v>0</v>
      </c>
      <c r="M72">
        <v>20</v>
      </c>
      <c r="N72" t="s">
        <v>1168</v>
      </c>
      <c r="O72" s="1">
        <v>46290.395138888889</v>
      </c>
      <c r="P72" t="b">
        <v>0</v>
      </c>
      <c r="Q72" t="s">
        <v>1179</v>
      </c>
      <c r="R72" t="s">
        <v>1145</v>
      </c>
      <c r="S72" t="s">
        <v>1157</v>
      </c>
      <c r="T72" t="s">
        <v>1180</v>
      </c>
      <c r="U72" t="s">
        <v>1172</v>
      </c>
      <c r="V72" t="s">
        <v>1152</v>
      </c>
      <c r="W72" t="s">
        <v>1145</v>
      </c>
      <c r="X72">
        <v>9</v>
      </c>
      <c r="Y72" t="s">
        <v>1142</v>
      </c>
      <c r="Z72" t="s">
        <v>1127</v>
      </c>
      <c r="AA72">
        <v>2</v>
      </c>
    </row>
    <row r="73" spans="1:27" x14ac:dyDescent="0.3">
      <c r="A73" t="s">
        <v>910</v>
      </c>
      <c r="B73" t="s">
        <v>1269</v>
      </c>
      <c r="C73" t="s">
        <v>1077</v>
      </c>
      <c r="D73" t="s">
        <v>1116</v>
      </c>
      <c r="E73" t="s">
        <v>1246</v>
      </c>
      <c r="F73" s="1">
        <v>46284.071527777778</v>
      </c>
      <c r="G73" s="1">
        <v>46284.079861111109</v>
      </c>
      <c r="H73">
        <v>5</v>
      </c>
      <c r="I73">
        <v>12</v>
      </c>
      <c r="J73" t="b">
        <v>0</v>
      </c>
      <c r="K73" t="b">
        <v>0</v>
      </c>
      <c r="L73" t="b">
        <v>0</v>
      </c>
      <c r="M73">
        <v>8</v>
      </c>
      <c r="N73" t="s">
        <v>1118</v>
      </c>
      <c r="O73" s="1">
        <v>46283.953472222223</v>
      </c>
      <c r="P73" t="b">
        <v>0</v>
      </c>
      <c r="Q73" t="s">
        <v>1145</v>
      </c>
      <c r="R73" t="s">
        <v>1120</v>
      </c>
      <c r="S73" t="s">
        <v>1157</v>
      </c>
      <c r="T73" t="s">
        <v>1122</v>
      </c>
      <c r="U73" t="s">
        <v>1172</v>
      </c>
      <c r="V73" t="s">
        <v>1124</v>
      </c>
      <c r="W73" t="s">
        <v>1125</v>
      </c>
      <c r="X73">
        <v>22</v>
      </c>
      <c r="Y73" t="s">
        <v>1142</v>
      </c>
      <c r="Z73" t="s">
        <v>1134</v>
      </c>
      <c r="AA73">
        <v>2.4</v>
      </c>
    </row>
    <row r="74" spans="1:27" x14ac:dyDescent="0.3">
      <c r="A74" t="s">
        <v>219</v>
      </c>
      <c r="B74" t="s">
        <v>1270</v>
      </c>
      <c r="C74" t="s">
        <v>1087</v>
      </c>
      <c r="D74" t="s">
        <v>1116</v>
      </c>
      <c r="E74" t="s">
        <v>1154</v>
      </c>
      <c r="F74" s="1">
        <v>46270.104166666657</v>
      </c>
      <c r="G74" s="1">
        <v>46270.112500000003</v>
      </c>
      <c r="H74">
        <v>5</v>
      </c>
      <c r="I74">
        <v>12</v>
      </c>
      <c r="J74" t="b">
        <v>0</v>
      </c>
      <c r="K74" t="b">
        <v>0</v>
      </c>
      <c r="L74" t="b">
        <v>0</v>
      </c>
      <c r="M74">
        <v>5</v>
      </c>
      <c r="N74" t="s">
        <v>1130</v>
      </c>
      <c r="P74" t="b">
        <v>0</v>
      </c>
      <c r="Q74" t="s">
        <v>1156</v>
      </c>
      <c r="R74" t="s">
        <v>1131</v>
      </c>
      <c r="S74" t="s">
        <v>1157</v>
      </c>
      <c r="T74" t="s">
        <v>1145</v>
      </c>
      <c r="U74" t="s">
        <v>1247</v>
      </c>
      <c r="V74" t="s">
        <v>1124</v>
      </c>
      <c r="W74" t="s">
        <v>1125</v>
      </c>
      <c r="Z74" t="s">
        <v>1147</v>
      </c>
      <c r="AA74">
        <v>2.4</v>
      </c>
    </row>
    <row r="75" spans="1:27" x14ac:dyDescent="0.3">
      <c r="A75" t="s">
        <v>237</v>
      </c>
      <c r="B75" t="s">
        <v>1271</v>
      </c>
      <c r="C75" t="s">
        <v>1083</v>
      </c>
      <c r="D75" t="s">
        <v>1136</v>
      </c>
      <c r="E75" t="s">
        <v>1272</v>
      </c>
      <c r="F75" s="1">
        <v>46278.65625</v>
      </c>
      <c r="G75" s="1">
        <v>46278.664583333331</v>
      </c>
      <c r="H75">
        <v>6</v>
      </c>
      <c r="I75">
        <v>12</v>
      </c>
      <c r="J75" t="b">
        <v>0</v>
      </c>
      <c r="K75" t="b">
        <v>0</v>
      </c>
      <c r="L75" t="b">
        <v>0</v>
      </c>
      <c r="M75">
        <v>3</v>
      </c>
      <c r="N75" t="s">
        <v>1118</v>
      </c>
      <c r="O75" s="1">
        <v>46278.592361111107</v>
      </c>
      <c r="P75" t="b">
        <v>0</v>
      </c>
      <c r="Q75" t="s">
        <v>1179</v>
      </c>
      <c r="R75" t="s">
        <v>1120</v>
      </c>
      <c r="S75" t="s">
        <v>1157</v>
      </c>
      <c r="T75" t="s">
        <v>1180</v>
      </c>
      <c r="U75" t="s">
        <v>1123</v>
      </c>
      <c r="V75" t="s">
        <v>1141</v>
      </c>
      <c r="W75" t="s">
        <v>1125</v>
      </c>
      <c r="X75">
        <v>14</v>
      </c>
      <c r="Y75" t="s">
        <v>1133</v>
      </c>
      <c r="Z75" t="s">
        <v>1147</v>
      </c>
      <c r="AA75">
        <v>2</v>
      </c>
    </row>
    <row r="76" spans="1:27" x14ac:dyDescent="0.3">
      <c r="A76" t="s">
        <v>786</v>
      </c>
      <c r="B76" t="s">
        <v>1135</v>
      </c>
      <c r="C76" t="s">
        <v>1070</v>
      </c>
      <c r="D76" t="s">
        <v>1149</v>
      </c>
      <c r="E76" t="s">
        <v>1163</v>
      </c>
      <c r="F76" s="1">
        <v>46269.776388888888</v>
      </c>
      <c r="G76" s="1">
        <v>46269.784722222219</v>
      </c>
      <c r="H76">
        <v>7</v>
      </c>
      <c r="I76">
        <v>12</v>
      </c>
      <c r="J76" t="b">
        <v>0</v>
      </c>
      <c r="K76" t="b">
        <v>0</v>
      </c>
      <c r="L76" t="b">
        <v>0</v>
      </c>
      <c r="M76">
        <v>15</v>
      </c>
      <c r="N76" t="s">
        <v>1118</v>
      </c>
      <c r="O76" s="1">
        <v>46269.660416666673</v>
      </c>
      <c r="P76" t="b">
        <v>0</v>
      </c>
      <c r="Q76" t="s">
        <v>1119</v>
      </c>
      <c r="R76" t="s">
        <v>1131</v>
      </c>
      <c r="S76" t="s">
        <v>1132</v>
      </c>
      <c r="T76" t="s">
        <v>1180</v>
      </c>
      <c r="U76" t="s">
        <v>1145</v>
      </c>
      <c r="V76" t="s">
        <v>1152</v>
      </c>
      <c r="W76" t="s">
        <v>1145</v>
      </c>
      <c r="X76">
        <v>15</v>
      </c>
      <c r="Y76" t="s">
        <v>1142</v>
      </c>
      <c r="Z76" t="s">
        <v>1127</v>
      </c>
      <c r="AA76">
        <v>1.714285714285714</v>
      </c>
    </row>
    <row r="77" spans="1:27" x14ac:dyDescent="0.3">
      <c r="A77" t="s">
        <v>511</v>
      </c>
      <c r="B77" t="s">
        <v>1273</v>
      </c>
      <c r="C77" t="s">
        <v>1064</v>
      </c>
      <c r="D77" t="s">
        <v>1136</v>
      </c>
      <c r="E77" t="s">
        <v>1165</v>
      </c>
      <c r="F77" s="1">
        <v>46284.657638888893</v>
      </c>
      <c r="G77" s="1">
        <v>46284.665972222218</v>
      </c>
      <c r="H77">
        <v>4</v>
      </c>
      <c r="I77">
        <v>12</v>
      </c>
      <c r="J77" t="b">
        <v>0</v>
      </c>
      <c r="K77" t="b">
        <v>0</v>
      </c>
      <c r="L77" t="b">
        <v>0</v>
      </c>
      <c r="M77">
        <v>20</v>
      </c>
      <c r="N77" t="s">
        <v>1168</v>
      </c>
      <c r="O77" s="1">
        <v>46284.599305555559</v>
      </c>
      <c r="P77" t="b">
        <v>0</v>
      </c>
      <c r="Q77" t="s">
        <v>1138</v>
      </c>
      <c r="R77" t="s">
        <v>1120</v>
      </c>
      <c r="S77" t="s">
        <v>1152</v>
      </c>
      <c r="T77" t="s">
        <v>1122</v>
      </c>
      <c r="U77" t="s">
        <v>1123</v>
      </c>
      <c r="V77" t="s">
        <v>1141</v>
      </c>
      <c r="W77" t="s">
        <v>1125</v>
      </c>
      <c r="X77">
        <v>14</v>
      </c>
      <c r="Y77" t="s">
        <v>1173</v>
      </c>
      <c r="Z77" t="s">
        <v>1127</v>
      </c>
      <c r="AA77">
        <v>3</v>
      </c>
    </row>
    <row r="78" spans="1:27" x14ac:dyDescent="0.3">
      <c r="A78" t="s">
        <v>508</v>
      </c>
      <c r="B78" t="s">
        <v>1273</v>
      </c>
      <c r="C78" t="s">
        <v>1071</v>
      </c>
      <c r="D78" t="s">
        <v>1116</v>
      </c>
      <c r="E78" t="s">
        <v>1171</v>
      </c>
      <c r="F78" s="1">
        <v>46284.613888888889</v>
      </c>
      <c r="G78" s="1">
        <v>46284.62222222222</v>
      </c>
      <c r="H78">
        <v>7</v>
      </c>
      <c r="I78">
        <v>12</v>
      </c>
      <c r="J78" t="b">
        <v>0</v>
      </c>
      <c r="K78" t="b">
        <v>0</v>
      </c>
      <c r="L78" t="b">
        <v>0</v>
      </c>
      <c r="M78">
        <v>20</v>
      </c>
      <c r="N78" t="s">
        <v>1168</v>
      </c>
      <c r="O78" s="1">
        <v>46284.599305555559</v>
      </c>
      <c r="P78" t="b">
        <v>0</v>
      </c>
      <c r="Q78" t="s">
        <v>1119</v>
      </c>
      <c r="R78" t="s">
        <v>1131</v>
      </c>
      <c r="S78" t="s">
        <v>1121</v>
      </c>
      <c r="T78" t="s">
        <v>1122</v>
      </c>
      <c r="U78" t="s">
        <v>1145</v>
      </c>
      <c r="V78" t="s">
        <v>1124</v>
      </c>
      <c r="W78" t="s">
        <v>1125</v>
      </c>
      <c r="X78">
        <v>14</v>
      </c>
      <c r="Y78" t="s">
        <v>1173</v>
      </c>
      <c r="Z78" t="s">
        <v>1127</v>
      </c>
      <c r="AA78">
        <v>1.714285714285714</v>
      </c>
    </row>
    <row r="79" spans="1:27" x14ac:dyDescent="0.3">
      <c r="A79" t="s">
        <v>596</v>
      </c>
      <c r="B79" t="s">
        <v>1260</v>
      </c>
      <c r="C79" t="s">
        <v>1074</v>
      </c>
      <c r="D79" t="s">
        <v>1116</v>
      </c>
      <c r="E79" t="s">
        <v>1274</v>
      </c>
      <c r="F79" s="1">
        <v>46282.6</v>
      </c>
      <c r="G79" s="1">
        <v>46282.60833333333</v>
      </c>
      <c r="H79">
        <v>3</v>
      </c>
      <c r="I79">
        <v>12</v>
      </c>
      <c r="J79" t="b">
        <v>0</v>
      </c>
      <c r="K79" t="b">
        <v>0</v>
      </c>
      <c r="L79" t="b">
        <v>0</v>
      </c>
      <c r="M79">
        <v>8</v>
      </c>
      <c r="N79" t="s">
        <v>1118</v>
      </c>
      <c r="O79" s="1">
        <v>46282.520833333343</v>
      </c>
      <c r="P79" t="b">
        <v>0</v>
      </c>
      <c r="Q79" t="s">
        <v>1138</v>
      </c>
      <c r="R79" t="s">
        <v>1120</v>
      </c>
      <c r="S79" t="s">
        <v>1157</v>
      </c>
      <c r="T79" t="s">
        <v>1145</v>
      </c>
      <c r="U79" t="s">
        <v>1145</v>
      </c>
      <c r="V79" t="s">
        <v>1124</v>
      </c>
      <c r="W79" t="s">
        <v>1125</v>
      </c>
      <c r="X79">
        <v>12</v>
      </c>
      <c r="Y79" t="s">
        <v>1146</v>
      </c>
      <c r="Z79" t="s">
        <v>1134</v>
      </c>
      <c r="AA79">
        <v>4</v>
      </c>
    </row>
    <row r="80" spans="1:27" x14ac:dyDescent="0.3">
      <c r="A80" t="s">
        <v>827</v>
      </c>
      <c r="B80" t="s">
        <v>1191</v>
      </c>
      <c r="C80" t="s">
        <v>1070</v>
      </c>
      <c r="D80" t="s">
        <v>1149</v>
      </c>
      <c r="E80" t="s">
        <v>1216</v>
      </c>
      <c r="F80" s="1">
        <v>46267.397916666669</v>
      </c>
      <c r="G80" s="1">
        <v>46267.40625</v>
      </c>
      <c r="H80">
        <v>5</v>
      </c>
      <c r="I80">
        <v>12</v>
      </c>
      <c r="J80" t="b">
        <v>0</v>
      </c>
      <c r="K80" t="b">
        <v>0</v>
      </c>
      <c r="L80" t="b">
        <v>0</v>
      </c>
      <c r="M80">
        <v>12</v>
      </c>
      <c r="N80" t="s">
        <v>1130</v>
      </c>
      <c r="O80" s="1">
        <v>46267.375694444447</v>
      </c>
      <c r="P80" t="b">
        <v>0</v>
      </c>
      <c r="Q80" t="s">
        <v>1119</v>
      </c>
      <c r="R80" t="s">
        <v>1131</v>
      </c>
      <c r="S80" t="s">
        <v>1157</v>
      </c>
      <c r="T80" t="s">
        <v>1180</v>
      </c>
      <c r="U80" t="s">
        <v>1145</v>
      </c>
      <c r="V80" t="s">
        <v>1152</v>
      </c>
      <c r="W80" t="s">
        <v>1145</v>
      </c>
      <c r="X80">
        <v>9</v>
      </c>
      <c r="Y80" t="s">
        <v>1161</v>
      </c>
      <c r="Z80" t="s">
        <v>1127</v>
      </c>
      <c r="AA80">
        <v>2.4</v>
      </c>
    </row>
    <row r="81" spans="1:27" x14ac:dyDescent="0.3">
      <c r="A81" t="s">
        <v>497</v>
      </c>
      <c r="B81" t="s">
        <v>1275</v>
      </c>
      <c r="C81" t="s">
        <v>1062</v>
      </c>
      <c r="D81" t="s">
        <v>1149</v>
      </c>
      <c r="E81" t="s">
        <v>1223</v>
      </c>
      <c r="F81" s="1">
        <v>46287.504166666673</v>
      </c>
      <c r="G81" s="1">
        <v>46287.512499999997</v>
      </c>
      <c r="H81">
        <v>2</v>
      </c>
      <c r="I81">
        <v>12</v>
      </c>
      <c r="J81" t="b">
        <v>0</v>
      </c>
      <c r="K81" t="b">
        <v>0</v>
      </c>
      <c r="L81" t="b">
        <v>0</v>
      </c>
      <c r="M81">
        <v>20</v>
      </c>
      <c r="N81" t="s">
        <v>1118</v>
      </c>
      <c r="O81" s="1">
        <v>46287.399305555547</v>
      </c>
      <c r="P81" t="b">
        <v>0</v>
      </c>
      <c r="Q81" t="s">
        <v>1119</v>
      </c>
      <c r="R81" t="s">
        <v>1120</v>
      </c>
      <c r="S81" t="s">
        <v>1152</v>
      </c>
      <c r="T81" t="s">
        <v>1122</v>
      </c>
      <c r="U81" t="s">
        <v>1123</v>
      </c>
      <c r="V81" t="s">
        <v>1152</v>
      </c>
      <c r="W81" t="s">
        <v>1145</v>
      </c>
      <c r="X81">
        <v>9</v>
      </c>
      <c r="Y81" t="s">
        <v>1126</v>
      </c>
      <c r="Z81" t="s">
        <v>1127</v>
      </c>
      <c r="AA81">
        <v>6</v>
      </c>
    </row>
    <row r="82" spans="1:27" x14ac:dyDescent="0.3">
      <c r="A82" t="s">
        <v>132</v>
      </c>
      <c r="B82" t="s">
        <v>1239</v>
      </c>
      <c r="C82" t="s">
        <v>1062</v>
      </c>
      <c r="D82" t="s">
        <v>1116</v>
      </c>
      <c r="E82" t="s">
        <v>1210</v>
      </c>
      <c r="F82" s="1">
        <v>46292.844444444447</v>
      </c>
      <c r="G82" s="1">
        <v>46292.852777777778</v>
      </c>
      <c r="H82">
        <v>4</v>
      </c>
      <c r="I82">
        <v>12</v>
      </c>
      <c r="J82" t="b">
        <v>0</v>
      </c>
      <c r="K82" t="b">
        <v>0</v>
      </c>
      <c r="L82" t="b">
        <v>0</v>
      </c>
      <c r="M82">
        <v>12</v>
      </c>
      <c r="N82" t="s">
        <v>1130</v>
      </c>
      <c r="O82" s="1">
        <v>46292.831250000003</v>
      </c>
      <c r="P82" t="b">
        <v>0</v>
      </c>
      <c r="Q82" t="s">
        <v>1151</v>
      </c>
      <c r="R82" t="s">
        <v>1131</v>
      </c>
      <c r="S82" t="s">
        <v>1157</v>
      </c>
      <c r="T82" t="s">
        <v>1122</v>
      </c>
      <c r="U82" t="s">
        <v>1123</v>
      </c>
      <c r="V82" t="s">
        <v>1124</v>
      </c>
      <c r="W82" t="s">
        <v>1125</v>
      </c>
      <c r="X82">
        <v>19</v>
      </c>
      <c r="Y82" t="s">
        <v>1133</v>
      </c>
      <c r="Z82" t="s">
        <v>1127</v>
      </c>
      <c r="AA82">
        <v>3</v>
      </c>
    </row>
    <row r="83" spans="1:27" x14ac:dyDescent="0.3">
      <c r="A83" t="s">
        <v>182</v>
      </c>
      <c r="B83" t="s">
        <v>1276</v>
      </c>
      <c r="C83" t="s">
        <v>1082</v>
      </c>
      <c r="D83" t="s">
        <v>1149</v>
      </c>
      <c r="E83" t="s">
        <v>1189</v>
      </c>
      <c r="F83" s="1">
        <v>46277.542361111111</v>
      </c>
      <c r="G83" s="1">
        <v>46277.550694444442</v>
      </c>
      <c r="H83">
        <v>3</v>
      </c>
      <c r="I83">
        <v>12</v>
      </c>
      <c r="J83" t="b">
        <v>0</v>
      </c>
      <c r="K83" t="b">
        <v>0</v>
      </c>
      <c r="L83" t="b">
        <v>0</v>
      </c>
      <c r="M83">
        <v>6</v>
      </c>
      <c r="N83" t="s">
        <v>1118</v>
      </c>
      <c r="O83" s="1">
        <v>46277.459027777782</v>
      </c>
      <c r="P83" t="b">
        <v>0</v>
      </c>
      <c r="Q83" t="s">
        <v>1138</v>
      </c>
      <c r="R83" t="s">
        <v>1131</v>
      </c>
      <c r="S83" t="s">
        <v>1152</v>
      </c>
      <c r="T83" t="s">
        <v>1122</v>
      </c>
      <c r="U83" t="s">
        <v>1145</v>
      </c>
      <c r="V83" t="s">
        <v>1152</v>
      </c>
      <c r="W83" t="s">
        <v>1145</v>
      </c>
      <c r="X83">
        <v>11</v>
      </c>
      <c r="Y83" t="s">
        <v>1173</v>
      </c>
      <c r="Z83" t="s">
        <v>1134</v>
      </c>
      <c r="AA83">
        <v>4</v>
      </c>
    </row>
    <row r="84" spans="1:27" x14ac:dyDescent="0.3">
      <c r="A84" t="s">
        <v>157</v>
      </c>
      <c r="B84" t="s">
        <v>1277</v>
      </c>
      <c r="C84" t="s">
        <v>1061</v>
      </c>
      <c r="D84" t="s">
        <v>1149</v>
      </c>
      <c r="E84" t="s">
        <v>1230</v>
      </c>
      <c r="F84" s="1">
        <v>46270.669444444437</v>
      </c>
      <c r="G84" s="1">
        <v>46270.677777777782</v>
      </c>
      <c r="H84">
        <v>6</v>
      </c>
      <c r="I84">
        <v>12</v>
      </c>
      <c r="J84" t="b">
        <v>0</v>
      </c>
      <c r="K84" t="b">
        <v>0</v>
      </c>
      <c r="L84" t="b">
        <v>0</v>
      </c>
      <c r="M84">
        <v>6</v>
      </c>
      <c r="N84" t="s">
        <v>1130</v>
      </c>
      <c r="P84" t="b">
        <v>0</v>
      </c>
      <c r="Q84" t="s">
        <v>1145</v>
      </c>
      <c r="R84" t="s">
        <v>1120</v>
      </c>
      <c r="S84" t="s">
        <v>1157</v>
      </c>
      <c r="T84" t="s">
        <v>1145</v>
      </c>
      <c r="U84" t="s">
        <v>1172</v>
      </c>
      <c r="V84" t="s">
        <v>1152</v>
      </c>
      <c r="W84" t="s">
        <v>1145</v>
      </c>
      <c r="Z84" t="s">
        <v>1134</v>
      </c>
      <c r="AA84">
        <v>2</v>
      </c>
    </row>
    <row r="85" spans="1:27" x14ac:dyDescent="0.3">
      <c r="A85" t="s">
        <v>864</v>
      </c>
      <c r="B85" t="s">
        <v>1278</v>
      </c>
      <c r="C85" t="s">
        <v>1061</v>
      </c>
      <c r="D85" t="s">
        <v>1116</v>
      </c>
      <c r="E85" t="s">
        <v>1237</v>
      </c>
      <c r="F85" s="1">
        <v>46276.449305555558</v>
      </c>
      <c r="G85" s="1">
        <v>46276.457638888889</v>
      </c>
      <c r="H85">
        <v>7</v>
      </c>
      <c r="I85">
        <v>12</v>
      </c>
      <c r="J85" t="b">
        <v>0</v>
      </c>
      <c r="K85" t="b">
        <v>0</v>
      </c>
      <c r="L85" t="b">
        <v>0</v>
      </c>
      <c r="M85">
        <v>10</v>
      </c>
      <c r="N85" t="s">
        <v>1118</v>
      </c>
      <c r="O85" s="1">
        <v>46276.388888888891</v>
      </c>
      <c r="P85" t="b">
        <v>0</v>
      </c>
      <c r="Q85" t="s">
        <v>1151</v>
      </c>
      <c r="R85" t="s">
        <v>1120</v>
      </c>
      <c r="S85" t="s">
        <v>1152</v>
      </c>
      <c r="T85" t="s">
        <v>1145</v>
      </c>
      <c r="U85" t="s">
        <v>1172</v>
      </c>
      <c r="V85" t="s">
        <v>1124</v>
      </c>
      <c r="W85" t="s">
        <v>1125</v>
      </c>
      <c r="X85">
        <v>9</v>
      </c>
      <c r="Y85" t="s">
        <v>1142</v>
      </c>
      <c r="Z85" t="s">
        <v>1134</v>
      </c>
      <c r="AA85">
        <v>1.714285714285714</v>
      </c>
    </row>
    <row r="86" spans="1:27" x14ac:dyDescent="0.3">
      <c r="A86" t="s">
        <v>406</v>
      </c>
      <c r="B86" t="s">
        <v>1279</v>
      </c>
      <c r="C86" t="s">
        <v>1068</v>
      </c>
      <c r="D86" t="s">
        <v>1280</v>
      </c>
      <c r="E86" t="s">
        <v>1154</v>
      </c>
      <c r="F86" s="1">
        <v>46268.671527777777</v>
      </c>
      <c r="G86" s="1">
        <v>46268.679861111108</v>
      </c>
      <c r="H86">
        <v>7</v>
      </c>
      <c r="I86">
        <v>12</v>
      </c>
      <c r="J86" t="b">
        <v>0</v>
      </c>
      <c r="K86" t="b">
        <v>0</v>
      </c>
      <c r="L86" t="b">
        <v>0</v>
      </c>
      <c r="M86">
        <v>20</v>
      </c>
      <c r="N86" t="s">
        <v>1118</v>
      </c>
      <c r="O86" s="1">
        <v>46268.624305555553</v>
      </c>
      <c r="P86" t="b">
        <v>0</v>
      </c>
      <c r="Q86" t="s">
        <v>1156</v>
      </c>
      <c r="R86" t="s">
        <v>1131</v>
      </c>
      <c r="S86" t="s">
        <v>1157</v>
      </c>
      <c r="T86" t="s">
        <v>1122</v>
      </c>
      <c r="U86" t="s">
        <v>1123</v>
      </c>
      <c r="V86" t="s">
        <v>1151</v>
      </c>
      <c r="W86" t="s">
        <v>1257</v>
      </c>
      <c r="X86">
        <v>14</v>
      </c>
      <c r="Y86" t="s">
        <v>1146</v>
      </c>
      <c r="Z86" t="s">
        <v>1127</v>
      </c>
      <c r="AA86">
        <v>1.714285714285714</v>
      </c>
    </row>
    <row r="87" spans="1:27" x14ac:dyDescent="0.3">
      <c r="A87" t="s">
        <v>893</v>
      </c>
      <c r="B87" t="s">
        <v>1281</v>
      </c>
      <c r="C87" t="s">
        <v>1077</v>
      </c>
      <c r="D87" t="s">
        <v>1116</v>
      </c>
      <c r="E87" t="s">
        <v>1187</v>
      </c>
      <c r="F87" s="1">
        <v>46291.941666666673</v>
      </c>
      <c r="G87" s="1">
        <v>46291.95</v>
      </c>
      <c r="H87">
        <v>5</v>
      </c>
      <c r="I87">
        <v>12</v>
      </c>
      <c r="J87" t="b">
        <v>0</v>
      </c>
      <c r="K87" t="b">
        <v>0</v>
      </c>
      <c r="L87" t="b">
        <v>0</v>
      </c>
      <c r="M87">
        <v>12</v>
      </c>
      <c r="N87" t="s">
        <v>1130</v>
      </c>
      <c r="O87" s="1">
        <v>46291.904861111107</v>
      </c>
      <c r="P87" t="b">
        <v>0</v>
      </c>
      <c r="Q87" t="s">
        <v>1156</v>
      </c>
      <c r="R87" t="s">
        <v>1131</v>
      </c>
      <c r="S87" t="s">
        <v>1132</v>
      </c>
      <c r="T87" t="s">
        <v>1122</v>
      </c>
      <c r="U87" t="s">
        <v>1172</v>
      </c>
      <c r="V87" t="s">
        <v>1124</v>
      </c>
      <c r="W87" t="s">
        <v>1125</v>
      </c>
      <c r="X87">
        <v>21</v>
      </c>
      <c r="Y87" t="s">
        <v>1173</v>
      </c>
      <c r="Z87" t="s">
        <v>1127</v>
      </c>
      <c r="AA87">
        <v>2.4</v>
      </c>
    </row>
    <row r="88" spans="1:27" x14ac:dyDescent="0.3">
      <c r="A88" t="s">
        <v>845</v>
      </c>
      <c r="B88" t="s">
        <v>1282</v>
      </c>
      <c r="C88" t="s">
        <v>1088</v>
      </c>
      <c r="D88" t="s">
        <v>1283</v>
      </c>
      <c r="E88" t="s">
        <v>1154</v>
      </c>
      <c r="F88" s="1">
        <v>46274.338194444441</v>
      </c>
      <c r="G88" s="1">
        <v>46274.34652777778</v>
      </c>
      <c r="H88">
        <v>5</v>
      </c>
      <c r="I88">
        <v>12</v>
      </c>
      <c r="J88" t="b">
        <v>0</v>
      </c>
      <c r="K88" t="b">
        <v>0</v>
      </c>
      <c r="L88" t="b">
        <v>0</v>
      </c>
      <c r="M88">
        <v>12</v>
      </c>
      <c r="N88" t="s">
        <v>1118</v>
      </c>
      <c r="O88" s="1">
        <v>46274.3</v>
      </c>
      <c r="P88" t="b">
        <v>0</v>
      </c>
      <c r="Q88" t="s">
        <v>1156</v>
      </c>
      <c r="R88" t="s">
        <v>1131</v>
      </c>
      <c r="S88" t="s">
        <v>1157</v>
      </c>
      <c r="T88" t="s">
        <v>1140</v>
      </c>
      <c r="U88" t="s">
        <v>1123</v>
      </c>
      <c r="V88" t="s">
        <v>1284</v>
      </c>
      <c r="W88" t="s">
        <v>1131</v>
      </c>
      <c r="X88">
        <v>7</v>
      </c>
      <c r="Y88" t="s">
        <v>1161</v>
      </c>
      <c r="Z88" t="s">
        <v>1127</v>
      </c>
      <c r="AA88">
        <v>2.4</v>
      </c>
    </row>
    <row r="89" spans="1:27" x14ac:dyDescent="0.3">
      <c r="A89" t="s">
        <v>392</v>
      </c>
      <c r="B89" t="s">
        <v>1285</v>
      </c>
      <c r="C89" t="s">
        <v>1061</v>
      </c>
      <c r="D89" t="s">
        <v>1136</v>
      </c>
      <c r="E89" t="s">
        <v>1213</v>
      </c>
      <c r="F89" s="1">
        <v>46282.556250000001</v>
      </c>
      <c r="G89" s="1">
        <v>46282.564583333333</v>
      </c>
      <c r="H89">
        <v>3</v>
      </c>
      <c r="I89">
        <v>12</v>
      </c>
      <c r="J89" t="b">
        <v>0</v>
      </c>
      <c r="K89" t="b">
        <v>0</v>
      </c>
      <c r="L89" t="b">
        <v>0</v>
      </c>
      <c r="M89">
        <v>20</v>
      </c>
      <c r="N89" t="s">
        <v>1130</v>
      </c>
      <c r="O89" s="1">
        <v>46282.532638888893</v>
      </c>
      <c r="P89" t="b">
        <v>0</v>
      </c>
      <c r="Q89" t="s">
        <v>1151</v>
      </c>
      <c r="R89" t="s">
        <v>1131</v>
      </c>
      <c r="S89" t="s">
        <v>1152</v>
      </c>
      <c r="T89" t="s">
        <v>1145</v>
      </c>
      <c r="U89" t="s">
        <v>1172</v>
      </c>
      <c r="V89" t="s">
        <v>1141</v>
      </c>
      <c r="W89" t="s">
        <v>1125</v>
      </c>
      <c r="X89">
        <v>12</v>
      </c>
      <c r="Y89" t="s">
        <v>1146</v>
      </c>
      <c r="Z89" t="s">
        <v>1127</v>
      </c>
      <c r="AA89">
        <v>4</v>
      </c>
    </row>
    <row r="90" spans="1:27" x14ac:dyDescent="0.3">
      <c r="A90" t="s">
        <v>156</v>
      </c>
      <c r="B90" t="s">
        <v>1286</v>
      </c>
      <c r="C90" t="s">
        <v>1063</v>
      </c>
      <c r="D90" t="s">
        <v>1136</v>
      </c>
      <c r="E90" t="s">
        <v>1244</v>
      </c>
      <c r="F90" s="1">
        <v>46290.347916666673</v>
      </c>
      <c r="G90" s="1">
        <v>46290.356249999997</v>
      </c>
      <c r="H90">
        <v>7</v>
      </c>
      <c r="I90">
        <v>12</v>
      </c>
      <c r="J90" t="b">
        <v>0</v>
      </c>
      <c r="K90" t="b">
        <v>0</v>
      </c>
      <c r="L90" t="b">
        <v>0</v>
      </c>
      <c r="M90">
        <v>15</v>
      </c>
      <c r="N90" t="s">
        <v>1118</v>
      </c>
      <c r="O90" s="1">
        <v>46290.302777777782</v>
      </c>
      <c r="P90" t="b">
        <v>0</v>
      </c>
      <c r="Q90" t="s">
        <v>1119</v>
      </c>
      <c r="R90" t="s">
        <v>1120</v>
      </c>
      <c r="S90" t="s">
        <v>1121</v>
      </c>
      <c r="T90" t="s">
        <v>1122</v>
      </c>
      <c r="U90" t="s">
        <v>1172</v>
      </c>
      <c r="V90" t="s">
        <v>1141</v>
      </c>
      <c r="W90" t="s">
        <v>1125</v>
      </c>
      <c r="X90">
        <v>7</v>
      </c>
      <c r="Y90" t="s">
        <v>1142</v>
      </c>
      <c r="Z90" t="s">
        <v>1127</v>
      </c>
      <c r="AA90">
        <v>1.714285714285714</v>
      </c>
    </row>
    <row r="91" spans="1:27" x14ac:dyDescent="0.3">
      <c r="A91" t="s">
        <v>405</v>
      </c>
      <c r="B91" t="s">
        <v>1279</v>
      </c>
      <c r="C91" t="s">
        <v>1076</v>
      </c>
      <c r="D91" t="s">
        <v>1149</v>
      </c>
      <c r="E91" t="s">
        <v>1287</v>
      </c>
      <c r="F91" s="1">
        <v>46268.68472222222</v>
      </c>
      <c r="G91" s="1">
        <v>46268.693055555559</v>
      </c>
      <c r="H91">
        <v>6</v>
      </c>
      <c r="I91">
        <v>12</v>
      </c>
      <c r="J91" t="b">
        <v>0</v>
      </c>
      <c r="K91" t="b">
        <v>0</v>
      </c>
      <c r="L91" t="b">
        <v>0</v>
      </c>
      <c r="M91">
        <v>20</v>
      </c>
      <c r="N91" t="s">
        <v>1118</v>
      </c>
      <c r="O91" s="1">
        <v>46268.624305555553</v>
      </c>
      <c r="P91" t="b">
        <v>0</v>
      </c>
      <c r="Q91" t="s">
        <v>1179</v>
      </c>
      <c r="R91" t="s">
        <v>1120</v>
      </c>
      <c r="S91" t="s">
        <v>1145</v>
      </c>
      <c r="T91" t="s">
        <v>1122</v>
      </c>
      <c r="U91" t="s">
        <v>1172</v>
      </c>
      <c r="V91" t="s">
        <v>1152</v>
      </c>
      <c r="W91" t="s">
        <v>1145</v>
      </c>
      <c r="X91">
        <v>14</v>
      </c>
      <c r="Y91" t="s">
        <v>1146</v>
      </c>
      <c r="Z91" t="s">
        <v>1127</v>
      </c>
      <c r="AA91">
        <v>2</v>
      </c>
    </row>
    <row r="92" spans="1:27" x14ac:dyDescent="0.3">
      <c r="A92" t="s">
        <v>453</v>
      </c>
      <c r="B92" t="s">
        <v>1288</v>
      </c>
      <c r="C92" t="s">
        <v>1069</v>
      </c>
      <c r="D92" t="s">
        <v>1149</v>
      </c>
      <c r="E92" t="s">
        <v>1235</v>
      </c>
      <c r="F92" s="1">
        <v>46282.887499999997</v>
      </c>
      <c r="G92" s="1">
        <v>46282.895833333343</v>
      </c>
      <c r="H92">
        <v>5</v>
      </c>
      <c r="I92">
        <v>12</v>
      </c>
      <c r="J92" t="b">
        <v>0</v>
      </c>
      <c r="K92" t="b">
        <v>0</v>
      </c>
      <c r="L92" t="b">
        <v>0</v>
      </c>
      <c r="M92">
        <v>12</v>
      </c>
      <c r="N92" t="s">
        <v>1168</v>
      </c>
      <c r="O92" s="1">
        <v>46282.832638888889</v>
      </c>
      <c r="P92" t="b">
        <v>0</v>
      </c>
      <c r="Q92" t="s">
        <v>1151</v>
      </c>
      <c r="R92" t="s">
        <v>1131</v>
      </c>
      <c r="S92" t="s">
        <v>1152</v>
      </c>
      <c r="T92" t="s">
        <v>1140</v>
      </c>
      <c r="U92" t="s">
        <v>1172</v>
      </c>
      <c r="V92" t="s">
        <v>1152</v>
      </c>
      <c r="W92" t="s">
        <v>1145</v>
      </c>
      <c r="X92">
        <v>19</v>
      </c>
      <c r="Y92" t="s">
        <v>1146</v>
      </c>
      <c r="Z92" t="s">
        <v>1127</v>
      </c>
      <c r="AA92">
        <v>2.4</v>
      </c>
    </row>
    <row r="93" spans="1:27" x14ac:dyDescent="0.3">
      <c r="A93" t="s">
        <v>452</v>
      </c>
      <c r="B93" t="s">
        <v>1288</v>
      </c>
      <c r="C93" t="s">
        <v>1060</v>
      </c>
      <c r="D93" t="s">
        <v>1116</v>
      </c>
      <c r="E93" t="s">
        <v>1289</v>
      </c>
      <c r="F93" s="1">
        <v>46282.93472222222</v>
      </c>
      <c r="G93" s="1">
        <v>46282.943055555559</v>
      </c>
      <c r="H93">
        <v>7</v>
      </c>
      <c r="I93">
        <v>12</v>
      </c>
      <c r="J93" t="b">
        <v>0</v>
      </c>
      <c r="K93" t="b">
        <v>0</v>
      </c>
      <c r="L93" t="b">
        <v>0</v>
      </c>
      <c r="M93">
        <v>12</v>
      </c>
      <c r="N93" t="s">
        <v>1168</v>
      </c>
      <c r="O93" s="1">
        <v>46282.832638888889</v>
      </c>
      <c r="P93" t="b">
        <v>0</v>
      </c>
      <c r="Q93" t="s">
        <v>1145</v>
      </c>
      <c r="R93" t="s">
        <v>1139</v>
      </c>
      <c r="S93" t="s">
        <v>1152</v>
      </c>
      <c r="T93" t="s">
        <v>1140</v>
      </c>
      <c r="U93" t="s">
        <v>1145</v>
      </c>
      <c r="V93" t="s">
        <v>1124</v>
      </c>
      <c r="W93" t="s">
        <v>1125</v>
      </c>
      <c r="X93">
        <v>19</v>
      </c>
      <c r="Y93" t="s">
        <v>1146</v>
      </c>
      <c r="Z93" t="s">
        <v>1127</v>
      </c>
      <c r="AA93">
        <v>1.714285714285714</v>
      </c>
    </row>
    <row r="94" spans="1:27" x14ac:dyDescent="0.3">
      <c r="A94" t="s">
        <v>994</v>
      </c>
      <c r="B94" t="s">
        <v>1290</v>
      </c>
      <c r="C94" t="s">
        <v>1082</v>
      </c>
      <c r="D94" t="s">
        <v>1136</v>
      </c>
      <c r="E94" t="s">
        <v>1244</v>
      </c>
      <c r="F94" s="1">
        <v>46266.905555555553</v>
      </c>
      <c r="G94" s="1">
        <v>46266.913888888892</v>
      </c>
      <c r="H94">
        <v>4</v>
      </c>
      <c r="I94">
        <v>12</v>
      </c>
      <c r="J94" t="b">
        <v>0</v>
      </c>
      <c r="K94" t="b">
        <v>0</v>
      </c>
      <c r="L94" t="b">
        <v>0</v>
      </c>
      <c r="M94">
        <v>20</v>
      </c>
      <c r="N94" t="s">
        <v>1168</v>
      </c>
      <c r="O94" s="1">
        <v>46266.9</v>
      </c>
      <c r="P94" t="b">
        <v>0</v>
      </c>
      <c r="Q94" t="s">
        <v>1119</v>
      </c>
      <c r="R94" t="s">
        <v>1120</v>
      </c>
      <c r="S94" t="s">
        <v>1121</v>
      </c>
      <c r="T94" t="s">
        <v>1122</v>
      </c>
      <c r="U94" t="s">
        <v>1145</v>
      </c>
      <c r="V94" t="s">
        <v>1141</v>
      </c>
      <c r="W94" t="s">
        <v>1125</v>
      </c>
      <c r="X94">
        <v>21</v>
      </c>
      <c r="Y94" t="s">
        <v>1126</v>
      </c>
      <c r="Z94" t="s">
        <v>1127</v>
      </c>
      <c r="AA94">
        <v>3</v>
      </c>
    </row>
    <row r="95" spans="1:27" x14ac:dyDescent="0.3">
      <c r="A95" t="s">
        <v>444</v>
      </c>
      <c r="B95" t="s">
        <v>1291</v>
      </c>
      <c r="C95" t="s">
        <v>1076</v>
      </c>
      <c r="D95" t="s">
        <v>1149</v>
      </c>
      <c r="E95" t="s">
        <v>1292</v>
      </c>
      <c r="F95" s="1">
        <v>46290.393750000003</v>
      </c>
      <c r="G95" s="1">
        <v>46290.402083333327</v>
      </c>
      <c r="H95">
        <v>5</v>
      </c>
      <c r="I95">
        <v>12</v>
      </c>
      <c r="J95" t="b">
        <v>0</v>
      </c>
      <c r="K95" t="b">
        <v>0</v>
      </c>
      <c r="L95" t="b">
        <v>0</v>
      </c>
      <c r="M95">
        <v>10</v>
      </c>
      <c r="N95" t="s">
        <v>1118</v>
      </c>
      <c r="O95" s="1">
        <v>46290.342361111107</v>
      </c>
      <c r="P95" t="b">
        <v>0</v>
      </c>
      <c r="Q95" t="s">
        <v>1179</v>
      </c>
      <c r="R95" t="s">
        <v>1131</v>
      </c>
      <c r="S95" t="s">
        <v>1152</v>
      </c>
      <c r="T95" t="s">
        <v>1122</v>
      </c>
      <c r="U95" t="s">
        <v>1172</v>
      </c>
      <c r="V95" t="s">
        <v>1152</v>
      </c>
      <c r="W95" t="s">
        <v>1145</v>
      </c>
      <c r="X95">
        <v>8</v>
      </c>
      <c r="Y95" t="s">
        <v>1142</v>
      </c>
      <c r="Z95" t="s">
        <v>1134</v>
      </c>
      <c r="AA95">
        <v>2.4</v>
      </c>
    </row>
    <row r="96" spans="1:27" x14ac:dyDescent="0.3">
      <c r="A96" t="s">
        <v>78</v>
      </c>
      <c r="B96" t="s">
        <v>1293</v>
      </c>
      <c r="C96" t="s">
        <v>1066</v>
      </c>
      <c r="D96" t="s">
        <v>1116</v>
      </c>
      <c r="E96" t="s">
        <v>1294</v>
      </c>
      <c r="F96" s="1">
        <v>46276.867361111108</v>
      </c>
      <c r="G96" s="1">
        <v>46276.875694444447</v>
      </c>
      <c r="H96">
        <v>4</v>
      </c>
      <c r="I96">
        <v>12</v>
      </c>
      <c r="J96" t="b">
        <v>0</v>
      </c>
      <c r="K96" t="b">
        <v>0</v>
      </c>
      <c r="L96" t="b">
        <v>0</v>
      </c>
      <c r="M96">
        <v>4</v>
      </c>
      <c r="N96" t="s">
        <v>1130</v>
      </c>
      <c r="O96" s="1">
        <v>46276.865972222222</v>
      </c>
      <c r="P96" t="b">
        <v>0</v>
      </c>
      <c r="Q96" t="s">
        <v>1119</v>
      </c>
      <c r="R96" t="s">
        <v>1145</v>
      </c>
      <c r="S96" t="s">
        <v>1132</v>
      </c>
      <c r="T96" t="s">
        <v>1122</v>
      </c>
      <c r="U96" t="s">
        <v>1247</v>
      </c>
      <c r="V96" t="s">
        <v>1124</v>
      </c>
      <c r="W96" t="s">
        <v>1125</v>
      </c>
      <c r="X96">
        <v>20</v>
      </c>
      <c r="Y96" t="s">
        <v>1142</v>
      </c>
      <c r="Z96" t="s">
        <v>1147</v>
      </c>
      <c r="AA96">
        <v>3</v>
      </c>
    </row>
    <row r="97" spans="1:27" x14ac:dyDescent="0.3">
      <c r="A97" t="s">
        <v>72</v>
      </c>
      <c r="B97" t="s">
        <v>1211</v>
      </c>
      <c r="C97" t="s">
        <v>1075</v>
      </c>
      <c r="D97" t="s">
        <v>1116</v>
      </c>
      <c r="E97" t="s">
        <v>1295</v>
      </c>
      <c r="F97" s="1">
        <v>46284.570138888892</v>
      </c>
      <c r="G97" s="1">
        <v>46284.577777777777</v>
      </c>
      <c r="H97">
        <v>4</v>
      </c>
      <c r="I97">
        <v>11</v>
      </c>
      <c r="J97" t="b">
        <v>0</v>
      </c>
      <c r="K97" t="b">
        <v>0</v>
      </c>
      <c r="L97" t="b">
        <v>0</v>
      </c>
      <c r="M97">
        <v>15</v>
      </c>
      <c r="N97" t="s">
        <v>1168</v>
      </c>
      <c r="O97" s="1">
        <v>46284.525694444441</v>
      </c>
      <c r="P97" t="b">
        <v>0</v>
      </c>
      <c r="Q97" t="s">
        <v>1151</v>
      </c>
      <c r="R97" t="s">
        <v>1120</v>
      </c>
      <c r="S97" t="s">
        <v>1145</v>
      </c>
      <c r="T97" t="s">
        <v>1122</v>
      </c>
      <c r="U97" t="s">
        <v>1172</v>
      </c>
      <c r="V97" t="s">
        <v>1124</v>
      </c>
      <c r="W97" t="s">
        <v>1125</v>
      </c>
      <c r="X97">
        <v>12</v>
      </c>
      <c r="Y97" t="s">
        <v>1173</v>
      </c>
      <c r="Z97" t="s">
        <v>1127</v>
      </c>
      <c r="AA97">
        <v>2.75</v>
      </c>
    </row>
    <row r="98" spans="1:27" x14ac:dyDescent="0.3">
      <c r="A98" t="s">
        <v>52</v>
      </c>
      <c r="B98" t="s">
        <v>1296</v>
      </c>
      <c r="C98" t="s">
        <v>1063</v>
      </c>
      <c r="D98" t="s">
        <v>1116</v>
      </c>
      <c r="E98" t="s">
        <v>1196</v>
      </c>
      <c r="F98" s="1">
        <v>46272.356944444437</v>
      </c>
      <c r="G98" s="1">
        <v>46272.364583333343</v>
      </c>
      <c r="H98">
        <v>5</v>
      </c>
      <c r="I98">
        <v>11</v>
      </c>
      <c r="J98" t="b">
        <v>0</v>
      </c>
      <c r="K98" t="b">
        <v>0</v>
      </c>
      <c r="L98" t="b">
        <v>0</v>
      </c>
      <c r="M98">
        <v>5</v>
      </c>
      <c r="N98" t="s">
        <v>1118</v>
      </c>
      <c r="O98" s="1">
        <v>46272.338888888888</v>
      </c>
      <c r="P98" t="b">
        <v>0</v>
      </c>
      <c r="Q98" t="s">
        <v>1138</v>
      </c>
      <c r="R98" t="s">
        <v>1120</v>
      </c>
      <c r="S98" t="s">
        <v>1121</v>
      </c>
      <c r="T98" t="s">
        <v>1122</v>
      </c>
      <c r="U98" t="s">
        <v>1172</v>
      </c>
      <c r="V98" t="s">
        <v>1124</v>
      </c>
      <c r="W98" t="s">
        <v>1125</v>
      </c>
      <c r="X98">
        <v>8</v>
      </c>
      <c r="Y98" t="s">
        <v>1185</v>
      </c>
      <c r="Z98" t="s">
        <v>1147</v>
      </c>
      <c r="AA98">
        <v>2.2000000000000002</v>
      </c>
    </row>
    <row r="99" spans="1:27" x14ac:dyDescent="0.3">
      <c r="A99" t="s">
        <v>435</v>
      </c>
      <c r="B99" t="s">
        <v>1115</v>
      </c>
      <c r="C99" t="s">
        <v>1071</v>
      </c>
      <c r="D99" t="s">
        <v>1136</v>
      </c>
      <c r="E99" t="s">
        <v>1249</v>
      </c>
      <c r="F99" s="1">
        <v>46294.291666666657</v>
      </c>
      <c r="G99" s="1">
        <v>46294.299305555563</v>
      </c>
      <c r="H99">
        <v>5</v>
      </c>
      <c r="I99">
        <v>11</v>
      </c>
      <c r="J99" t="b">
        <v>0</v>
      </c>
      <c r="K99" t="b">
        <v>0</v>
      </c>
      <c r="L99" t="b">
        <v>0</v>
      </c>
      <c r="M99">
        <v>15</v>
      </c>
      <c r="N99" t="s">
        <v>1118</v>
      </c>
      <c r="O99" s="1">
        <v>46294.216666666667</v>
      </c>
      <c r="P99" t="b">
        <v>0</v>
      </c>
      <c r="Q99" t="s">
        <v>1169</v>
      </c>
      <c r="R99" t="s">
        <v>1131</v>
      </c>
      <c r="S99" t="s">
        <v>1157</v>
      </c>
      <c r="T99" t="s">
        <v>1122</v>
      </c>
      <c r="U99" t="s">
        <v>1145</v>
      </c>
      <c r="V99" t="s">
        <v>1141</v>
      </c>
      <c r="W99" t="s">
        <v>1125</v>
      </c>
      <c r="X99">
        <v>5</v>
      </c>
      <c r="Y99" t="s">
        <v>1126</v>
      </c>
      <c r="Z99" t="s">
        <v>1127</v>
      </c>
      <c r="AA99">
        <v>2.2000000000000002</v>
      </c>
    </row>
    <row r="100" spans="1:27" x14ac:dyDescent="0.3">
      <c r="A100" t="s">
        <v>866</v>
      </c>
      <c r="B100" t="s">
        <v>1278</v>
      </c>
      <c r="C100" t="s">
        <v>1084</v>
      </c>
      <c r="D100" t="s">
        <v>1116</v>
      </c>
      <c r="E100" t="s">
        <v>1189</v>
      </c>
      <c r="F100" s="1">
        <v>46276.448611111111</v>
      </c>
      <c r="G100" s="1">
        <v>46276.456250000003</v>
      </c>
      <c r="H100">
        <v>3</v>
      </c>
      <c r="I100">
        <v>11</v>
      </c>
      <c r="J100" t="b">
        <v>0</v>
      </c>
      <c r="K100" t="b">
        <v>0</v>
      </c>
      <c r="L100" t="b">
        <v>0</v>
      </c>
      <c r="M100">
        <v>10</v>
      </c>
      <c r="N100" t="s">
        <v>1118</v>
      </c>
      <c r="O100" s="1">
        <v>46276.388888888891</v>
      </c>
      <c r="P100" t="b">
        <v>0</v>
      </c>
      <c r="Q100" t="s">
        <v>1138</v>
      </c>
      <c r="R100" t="s">
        <v>1131</v>
      </c>
      <c r="S100" t="s">
        <v>1152</v>
      </c>
      <c r="T100" t="s">
        <v>1122</v>
      </c>
      <c r="U100" t="s">
        <v>1247</v>
      </c>
      <c r="V100" t="s">
        <v>1124</v>
      </c>
      <c r="W100" t="s">
        <v>1125</v>
      </c>
      <c r="X100">
        <v>9</v>
      </c>
      <c r="Y100" t="s">
        <v>1142</v>
      </c>
      <c r="Z100" t="s">
        <v>1134</v>
      </c>
      <c r="AA100">
        <v>3.666666666666667</v>
      </c>
    </row>
    <row r="101" spans="1:27" x14ac:dyDescent="0.3">
      <c r="A101" t="s">
        <v>356</v>
      </c>
      <c r="B101" t="s">
        <v>1181</v>
      </c>
      <c r="C101" t="s">
        <v>1058</v>
      </c>
      <c r="D101" t="s">
        <v>1149</v>
      </c>
      <c r="E101" t="s">
        <v>1240</v>
      </c>
      <c r="F101" s="1">
        <v>46283.797222222223</v>
      </c>
      <c r="G101" s="1">
        <v>46283.804861111108</v>
      </c>
      <c r="H101">
        <v>5</v>
      </c>
      <c r="I101">
        <v>11</v>
      </c>
      <c r="J101" t="b">
        <v>0</v>
      </c>
      <c r="K101" t="b">
        <v>0</v>
      </c>
      <c r="L101" t="b">
        <v>0</v>
      </c>
      <c r="M101">
        <v>20</v>
      </c>
      <c r="N101" t="s">
        <v>1168</v>
      </c>
      <c r="O101" s="1">
        <v>46283.73541666667</v>
      </c>
      <c r="P101" t="b">
        <v>0</v>
      </c>
      <c r="Q101" t="s">
        <v>1156</v>
      </c>
      <c r="R101" t="s">
        <v>1120</v>
      </c>
      <c r="S101" t="s">
        <v>1145</v>
      </c>
      <c r="T101" t="s">
        <v>1122</v>
      </c>
      <c r="U101" t="s">
        <v>1145</v>
      </c>
      <c r="V101" t="s">
        <v>1152</v>
      </c>
      <c r="W101" t="s">
        <v>1145</v>
      </c>
      <c r="X101">
        <v>17</v>
      </c>
      <c r="Y101" t="s">
        <v>1142</v>
      </c>
      <c r="Z101" t="s">
        <v>1127</v>
      </c>
      <c r="AA101">
        <v>2.2000000000000002</v>
      </c>
    </row>
    <row r="102" spans="1:27" x14ac:dyDescent="0.3">
      <c r="A102" t="s">
        <v>528</v>
      </c>
      <c r="B102" t="s">
        <v>1297</v>
      </c>
      <c r="C102" t="s">
        <v>1059</v>
      </c>
      <c r="D102" t="s">
        <v>1116</v>
      </c>
      <c r="E102" t="s">
        <v>1221</v>
      </c>
      <c r="F102" s="1">
        <v>46289.999305555553</v>
      </c>
      <c r="G102" s="1">
        <v>46290.006944444453</v>
      </c>
      <c r="H102">
        <v>2</v>
      </c>
      <c r="I102">
        <v>11</v>
      </c>
      <c r="J102" t="b">
        <v>0</v>
      </c>
      <c r="K102" t="b">
        <v>0</v>
      </c>
      <c r="L102" t="b">
        <v>0</v>
      </c>
      <c r="M102">
        <v>15</v>
      </c>
      <c r="N102" t="s">
        <v>1155</v>
      </c>
      <c r="O102" s="1">
        <v>46289.979861111111</v>
      </c>
      <c r="P102" t="b">
        <v>0</v>
      </c>
      <c r="Q102" t="s">
        <v>1151</v>
      </c>
      <c r="R102" t="s">
        <v>1131</v>
      </c>
      <c r="S102" t="s">
        <v>1121</v>
      </c>
      <c r="T102" t="s">
        <v>1122</v>
      </c>
      <c r="U102" t="s">
        <v>1172</v>
      </c>
      <c r="V102" t="s">
        <v>1124</v>
      </c>
      <c r="W102" t="s">
        <v>1125</v>
      </c>
      <c r="X102">
        <v>23</v>
      </c>
      <c r="Y102" t="s">
        <v>1146</v>
      </c>
      <c r="Z102" t="s">
        <v>1127</v>
      </c>
      <c r="AA102">
        <v>5.5</v>
      </c>
    </row>
    <row r="103" spans="1:27" x14ac:dyDescent="0.3">
      <c r="A103" t="s">
        <v>901</v>
      </c>
      <c r="B103" t="s">
        <v>1298</v>
      </c>
      <c r="C103" t="s">
        <v>1059</v>
      </c>
      <c r="D103" t="s">
        <v>1136</v>
      </c>
      <c r="E103" t="s">
        <v>1299</v>
      </c>
      <c r="F103" s="1">
        <v>46271.559027777781</v>
      </c>
      <c r="G103" s="1">
        <v>46271.566666666673</v>
      </c>
      <c r="H103">
        <v>4</v>
      </c>
      <c r="I103">
        <v>11</v>
      </c>
      <c r="J103" t="b">
        <v>0</v>
      </c>
      <c r="K103" t="b">
        <v>0</v>
      </c>
      <c r="L103" t="b">
        <v>0</v>
      </c>
      <c r="M103">
        <v>8</v>
      </c>
      <c r="N103" t="s">
        <v>1155</v>
      </c>
      <c r="O103" s="1">
        <v>46271.509027777778</v>
      </c>
      <c r="P103" t="b">
        <v>0</v>
      </c>
      <c r="Q103" t="s">
        <v>1156</v>
      </c>
      <c r="R103" t="s">
        <v>1120</v>
      </c>
      <c r="S103" t="s">
        <v>1121</v>
      </c>
      <c r="T103" t="s">
        <v>1122</v>
      </c>
      <c r="U103" t="s">
        <v>1172</v>
      </c>
      <c r="V103" t="s">
        <v>1141</v>
      </c>
      <c r="W103" t="s">
        <v>1125</v>
      </c>
      <c r="X103">
        <v>12</v>
      </c>
      <c r="Y103" t="s">
        <v>1133</v>
      </c>
      <c r="Z103" t="s">
        <v>1134</v>
      </c>
      <c r="AA103">
        <v>2.75</v>
      </c>
    </row>
    <row r="104" spans="1:27" x14ac:dyDescent="0.3">
      <c r="A104" t="s">
        <v>903</v>
      </c>
      <c r="B104" t="s">
        <v>1298</v>
      </c>
      <c r="C104" t="s">
        <v>1070</v>
      </c>
      <c r="D104" t="s">
        <v>1116</v>
      </c>
      <c r="E104" t="s">
        <v>1292</v>
      </c>
      <c r="F104" s="1">
        <v>46271.631944444453</v>
      </c>
      <c r="G104" s="1">
        <v>46271.63958333333</v>
      </c>
      <c r="H104">
        <v>1</v>
      </c>
      <c r="I104">
        <v>11</v>
      </c>
      <c r="J104" t="b">
        <v>0</v>
      </c>
      <c r="K104" t="b">
        <v>0</v>
      </c>
      <c r="L104" t="b">
        <v>0</v>
      </c>
      <c r="M104">
        <v>8</v>
      </c>
      <c r="N104" t="s">
        <v>1155</v>
      </c>
      <c r="O104" s="1">
        <v>46271.509027777778</v>
      </c>
      <c r="P104" t="b">
        <v>0</v>
      </c>
      <c r="Q104" t="s">
        <v>1179</v>
      </c>
      <c r="R104" t="s">
        <v>1131</v>
      </c>
      <c r="S104" t="s">
        <v>1152</v>
      </c>
      <c r="T104" t="s">
        <v>1180</v>
      </c>
      <c r="U104" t="s">
        <v>1145</v>
      </c>
      <c r="V104" t="s">
        <v>1124</v>
      </c>
      <c r="W104" t="s">
        <v>1125</v>
      </c>
      <c r="X104">
        <v>12</v>
      </c>
      <c r="Y104" t="s">
        <v>1133</v>
      </c>
      <c r="Z104" t="s">
        <v>1134</v>
      </c>
      <c r="AA104">
        <v>11</v>
      </c>
    </row>
    <row r="105" spans="1:27" x14ac:dyDescent="0.3">
      <c r="A105" t="s">
        <v>1020</v>
      </c>
      <c r="B105" t="s">
        <v>1300</v>
      </c>
      <c r="C105" t="s">
        <v>1064</v>
      </c>
      <c r="D105" t="s">
        <v>1149</v>
      </c>
      <c r="E105" t="s">
        <v>1265</v>
      </c>
      <c r="F105" s="1">
        <v>46269.804861111108</v>
      </c>
      <c r="G105" s="1">
        <v>46269.8125</v>
      </c>
      <c r="H105">
        <v>2</v>
      </c>
      <c r="I105">
        <v>11</v>
      </c>
      <c r="J105" t="b">
        <v>0</v>
      </c>
      <c r="K105" t="b">
        <v>0</v>
      </c>
      <c r="L105" t="b">
        <v>0</v>
      </c>
      <c r="M105">
        <v>8</v>
      </c>
      <c r="N105" t="s">
        <v>1155</v>
      </c>
      <c r="O105" s="1">
        <v>46269.727083333331</v>
      </c>
      <c r="P105" t="b">
        <v>0</v>
      </c>
      <c r="Q105" t="s">
        <v>1179</v>
      </c>
      <c r="R105" t="s">
        <v>1139</v>
      </c>
      <c r="S105" t="s">
        <v>1157</v>
      </c>
      <c r="T105" t="s">
        <v>1122</v>
      </c>
      <c r="U105" t="s">
        <v>1123</v>
      </c>
      <c r="V105" t="s">
        <v>1152</v>
      </c>
      <c r="W105" t="s">
        <v>1145</v>
      </c>
      <c r="X105">
        <v>17</v>
      </c>
      <c r="Y105" t="s">
        <v>1142</v>
      </c>
      <c r="Z105" t="s">
        <v>1134</v>
      </c>
      <c r="AA105">
        <v>5.5</v>
      </c>
    </row>
    <row r="106" spans="1:27" x14ac:dyDescent="0.3">
      <c r="A106" t="s">
        <v>449</v>
      </c>
      <c r="B106" t="s">
        <v>1288</v>
      </c>
      <c r="C106" t="s">
        <v>1077</v>
      </c>
      <c r="D106" t="s">
        <v>1136</v>
      </c>
      <c r="E106" t="s">
        <v>1233</v>
      </c>
      <c r="F106" s="1">
        <v>46282.852083333331</v>
      </c>
      <c r="G106" s="1">
        <v>46282.859722222223</v>
      </c>
      <c r="H106">
        <v>3</v>
      </c>
      <c r="I106">
        <v>11</v>
      </c>
      <c r="J106" t="b">
        <v>0</v>
      </c>
      <c r="K106" t="b">
        <v>0</v>
      </c>
      <c r="L106" t="b">
        <v>0</v>
      </c>
      <c r="M106">
        <v>12</v>
      </c>
      <c r="N106" t="s">
        <v>1168</v>
      </c>
      <c r="O106" s="1">
        <v>46282.832638888889</v>
      </c>
      <c r="P106" t="b">
        <v>0</v>
      </c>
      <c r="Q106" t="s">
        <v>1179</v>
      </c>
      <c r="R106" t="s">
        <v>1120</v>
      </c>
      <c r="S106" t="s">
        <v>1132</v>
      </c>
      <c r="T106" t="s">
        <v>1122</v>
      </c>
      <c r="U106" t="s">
        <v>1172</v>
      </c>
      <c r="V106" t="s">
        <v>1141</v>
      </c>
      <c r="W106" t="s">
        <v>1125</v>
      </c>
      <c r="X106">
        <v>19</v>
      </c>
      <c r="Y106" t="s">
        <v>1146</v>
      </c>
      <c r="Z106" t="s">
        <v>1127</v>
      </c>
      <c r="AA106">
        <v>3.666666666666667</v>
      </c>
    </row>
    <row r="107" spans="1:27" x14ac:dyDescent="0.3">
      <c r="A107" t="s">
        <v>454</v>
      </c>
      <c r="B107" t="s">
        <v>1288</v>
      </c>
      <c r="C107" t="s">
        <v>1062</v>
      </c>
      <c r="D107" t="s">
        <v>1136</v>
      </c>
      <c r="E107" t="s">
        <v>1267</v>
      </c>
      <c r="F107" s="1">
        <v>46282.945138888892</v>
      </c>
      <c r="G107" s="1">
        <v>46282.952777777777</v>
      </c>
      <c r="H107">
        <v>7</v>
      </c>
      <c r="I107">
        <v>11</v>
      </c>
      <c r="J107" t="b">
        <v>0</v>
      </c>
      <c r="K107" t="b">
        <v>0</v>
      </c>
      <c r="L107" t="b">
        <v>0</v>
      </c>
      <c r="M107">
        <v>12</v>
      </c>
      <c r="N107" t="s">
        <v>1168</v>
      </c>
      <c r="O107" s="1">
        <v>46282.832638888889</v>
      </c>
      <c r="P107" t="b">
        <v>0</v>
      </c>
      <c r="Q107" t="s">
        <v>1151</v>
      </c>
      <c r="R107" t="s">
        <v>1145</v>
      </c>
      <c r="S107" t="s">
        <v>1121</v>
      </c>
      <c r="T107" t="s">
        <v>1122</v>
      </c>
      <c r="U107" t="s">
        <v>1123</v>
      </c>
      <c r="V107" t="s">
        <v>1141</v>
      </c>
      <c r="W107" t="s">
        <v>1125</v>
      </c>
      <c r="X107">
        <v>19</v>
      </c>
      <c r="Y107" t="s">
        <v>1146</v>
      </c>
      <c r="Z107" t="s">
        <v>1127</v>
      </c>
      <c r="AA107">
        <v>1.571428571428571</v>
      </c>
    </row>
    <row r="108" spans="1:27" x14ac:dyDescent="0.3">
      <c r="A108" t="s">
        <v>455</v>
      </c>
      <c r="B108" t="s">
        <v>1205</v>
      </c>
      <c r="C108" t="s">
        <v>1072</v>
      </c>
      <c r="D108" t="s">
        <v>1116</v>
      </c>
      <c r="E108" t="s">
        <v>1301</v>
      </c>
      <c r="F108" s="1">
        <v>46269.501388888893</v>
      </c>
      <c r="G108" s="1">
        <v>46269.509027777778</v>
      </c>
      <c r="H108">
        <v>1</v>
      </c>
      <c r="I108">
        <v>11</v>
      </c>
      <c r="J108" t="b">
        <v>0</v>
      </c>
      <c r="K108" t="b">
        <v>0</v>
      </c>
      <c r="L108" t="b">
        <v>0</v>
      </c>
      <c r="M108">
        <v>10</v>
      </c>
      <c r="N108" t="s">
        <v>1155</v>
      </c>
      <c r="O108" s="1">
        <v>46269.489583333343</v>
      </c>
      <c r="P108" t="b">
        <v>0</v>
      </c>
      <c r="Q108" t="s">
        <v>1169</v>
      </c>
      <c r="R108" t="s">
        <v>1131</v>
      </c>
      <c r="S108" t="s">
        <v>1145</v>
      </c>
      <c r="T108" t="s">
        <v>1180</v>
      </c>
      <c r="U108" t="s">
        <v>1172</v>
      </c>
      <c r="V108" t="s">
        <v>1124</v>
      </c>
      <c r="W108" t="s">
        <v>1125</v>
      </c>
      <c r="X108">
        <v>11</v>
      </c>
      <c r="Y108" t="s">
        <v>1142</v>
      </c>
      <c r="Z108" t="s">
        <v>1134</v>
      </c>
      <c r="AA108">
        <v>11</v>
      </c>
    </row>
    <row r="109" spans="1:27" x14ac:dyDescent="0.3">
      <c r="A109" t="s">
        <v>366</v>
      </c>
      <c r="B109" t="s">
        <v>1302</v>
      </c>
      <c r="C109" t="s">
        <v>1067</v>
      </c>
      <c r="D109" t="s">
        <v>1116</v>
      </c>
      <c r="E109" t="s">
        <v>1272</v>
      </c>
      <c r="F109" s="1">
        <v>46285.572916666657</v>
      </c>
      <c r="G109" s="1">
        <v>46285.580555555563</v>
      </c>
      <c r="H109">
        <v>6</v>
      </c>
      <c r="I109">
        <v>11</v>
      </c>
      <c r="J109" t="b">
        <v>0</v>
      </c>
      <c r="K109" t="b">
        <v>0</v>
      </c>
      <c r="L109" t="b">
        <v>0</v>
      </c>
      <c r="M109">
        <v>10</v>
      </c>
      <c r="N109" t="s">
        <v>1118</v>
      </c>
      <c r="O109" s="1">
        <v>46285.515972222223</v>
      </c>
      <c r="P109" t="b">
        <v>0</v>
      </c>
      <c r="Q109" t="s">
        <v>1179</v>
      </c>
      <c r="R109" t="s">
        <v>1120</v>
      </c>
      <c r="S109" t="s">
        <v>1157</v>
      </c>
      <c r="T109" t="s">
        <v>1180</v>
      </c>
      <c r="U109" t="s">
        <v>1247</v>
      </c>
      <c r="V109" t="s">
        <v>1124</v>
      </c>
      <c r="W109" t="s">
        <v>1125</v>
      </c>
      <c r="X109">
        <v>12</v>
      </c>
      <c r="Y109" t="s">
        <v>1133</v>
      </c>
      <c r="Z109" t="s">
        <v>1134</v>
      </c>
      <c r="AA109">
        <v>1.833333333333333</v>
      </c>
    </row>
    <row r="110" spans="1:27" x14ac:dyDescent="0.3">
      <c r="A110" t="s">
        <v>542</v>
      </c>
      <c r="B110" t="s">
        <v>1303</v>
      </c>
      <c r="C110" t="s">
        <v>1057</v>
      </c>
      <c r="D110" t="s">
        <v>1116</v>
      </c>
      <c r="E110" t="s">
        <v>1129</v>
      </c>
      <c r="F110" s="1">
        <v>46290.749305555553</v>
      </c>
      <c r="G110" s="1">
        <v>46290.756944444453</v>
      </c>
      <c r="H110">
        <v>4</v>
      </c>
      <c r="I110">
        <v>11</v>
      </c>
      <c r="J110" t="b">
        <v>0</v>
      </c>
      <c r="K110" t="b">
        <v>0</v>
      </c>
      <c r="L110" t="b">
        <v>0</v>
      </c>
      <c r="M110">
        <v>5</v>
      </c>
      <c r="N110" t="s">
        <v>1155</v>
      </c>
      <c r="O110" s="1">
        <v>46290.7</v>
      </c>
      <c r="P110" t="b">
        <v>0</v>
      </c>
      <c r="Q110" t="s">
        <v>1119</v>
      </c>
      <c r="R110" t="s">
        <v>1131</v>
      </c>
      <c r="S110" t="s">
        <v>1132</v>
      </c>
      <c r="T110" t="s">
        <v>1122</v>
      </c>
      <c r="U110" t="s">
        <v>1172</v>
      </c>
      <c r="V110" t="s">
        <v>1124</v>
      </c>
      <c r="W110" t="s">
        <v>1125</v>
      </c>
      <c r="X110">
        <v>16</v>
      </c>
      <c r="Y110" t="s">
        <v>1142</v>
      </c>
      <c r="Z110" t="s">
        <v>1147</v>
      </c>
      <c r="AA110">
        <v>2.75</v>
      </c>
    </row>
    <row r="111" spans="1:27" x14ac:dyDescent="0.3">
      <c r="A111" t="s">
        <v>485</v>
      </c>
      <c r="B111" t="s">
        <v>1304</v>
      </c>
      <c r="C111" t="s">
        <v>1060</v>
      </c>
      <c r="D111" t="s">
        <v>1149</v>
      </c>
      <c r="E111" t="s">
        <v>1305</v>
      </c>
      <c r="F111" s="1">
        <v>46268.18472222222</v>
      </c>
      <c r="G111" s="1">
        <v>46268.192361111112</v>
      </c>
      <c r="H111">
        <v>2</v>
      </c>
      <c r="I111">
        <v>11</v>
      </c>
      <c r="J111" t="b">
        <v>0</v>
      </c>
      <c r="K111" t="b">
        <v>0</v>
      </c>
      <c r="L111" t="b">
        <v>0</v>
      </c>
      <c r="M111">
        <v>15</v>
      </c>
      <c r="N111" t="s">
        <v>1118</v>
      </c>
      <c r="O111" s="1">
        <v>46268.107638888891</v>
      </c>
      <c r="P111" t="b">
        <v>0</v>
      </c>
      <c r="Q111" t="s">
        <v>1156</v>
      </c>
      <c r="R111" t="s">
        <v>1131</v>
      </c>
      <c r="S111" t="s">
        <v>1157</v>
      </c>
      <c r="T111" t="s">
        <v>1140</v>
      </c>
      <c r="U111" t="s">
        <v>1145</v>
      </c>
      <c r="V111" t="s">
        <v>1152</v>
      </c>
      <c r="W111" t="s">
        <v>1145</v>
      </c>
      <c r="X111">
        <v>2</v>
      </c>
      <c r="Y111" t="s">
        <v>1146</v>
      </c>
      <c r="Z111" t="s">
        <v>1127</v>
      </c>
      <c r="AA111">
        <v>5.5</v>
      </c>
    </row>
    <row r="112" spans="1:27" x14ac:dyDescent="0.3">
      <c r="A112" t="s">
        <v>887</v>
      </c>
      <c r="B112" t="s">
        <v>1306</v>
      </c>
      <c r="C112" t="s">
        <v>1087</v>
      </c>
      <c r="D112" t="s">
        <v>1116</v>
      </c>
      <c r="E112" t="s">
        <v>1307</v>
      </c>
      <c r="F112" s="1">
        <v>46288.783333333333</v>
      </c>
      <c r="G112" s="1">
        <v>46288.790972222218</v>
      </c>
      <c r="H112">
        <v>5</v>
      </c>
      <c r="I112">
        <v>11</v>
      </c>
      <c r="J112" t="b">
        <v>0</v>
      </c>
      <c r="K112" t="b">
        <v>0</v>
      </c>
      <c r="L112" t="b">
        <v>0</v>
      </c>
      <c r="M112">
        <v>5</v>
      </c>
      <c r="N112" t="s">
        <v>1118</v>
      </c>
      <c r="O112" s="1">
        <v>46288.68472222222</v>
      </c>
      <c r="P112" t="b">
        <v>0</v>
      </c>
      <c r="Q112" t="s">
        <v>1151</v>
      </c>
      <c r="R112" t="s">
        <v>1139</v>
      </c>
      <c r="S112" t="s">
        <v>1121</v>
      </c>
      <c r="T112" t="s">
        <v>1145</v>
      </c>
      <c r="U112" t="s">
        <v>1247</v>
      </c>
      <c r="V112" t="s">
        <v>1124</v>
      </c>
      <c r="W112" t="s">
        <v>1125</v>
      </c>
      <c r="X112">
        <v>16</v>
      </c>
      <c r="Y112" t="s">
        <v>1161</v>
      </c>
      <c r="Z112" t="s">
        <v>1147</v>
      </c>
      <c r="AA112">
        <v>2.2000000000000002</v>
      </c>
    </row>
    <row r="113" spans="1:27" x14ac:dyDescent="0.3">
      <c r="A113" t="s">
        <v>833</v>
      </c>
      <c r="B113" t="s">
        <v>1308</v>
      </c>
      <c r="C113" t="s">
        <v>1062</v>
      </c>
      <c r="D113" t="s">
        <v>1149</v>
      </c>
      <c r="E113" t="s">
        <v>1209</v>
      </c>
      <c r="F113" s="1">
        <v>46290.75</v>
      </c>
      <c r="G113" s="1">
        <v>46290.757638888892</v>
      </c>
      <c r="H113">
        <v>5</v>
      </c>
      <c r="I113">
        <v>11</v>
      </c>
      <c r="J113" t="b">
        <v>0</v>
      </c>
      <c r="K113" t="b">
        <v>0</v>
      </c>
      <c r="L113" t="b">
        <v>0</v>
      </c>
      <c r="M113">
        <v>2</v>
      </c>
      <c r="N113" t="s">
        <v>1118</v>
      </c>
      <c r="O113" s="1">
        <v>46290.654166666667</v>
      </c>
      <c r="P113" t="b">
        <v>0</v>
      </c>
      <c r="Q113" t="s">
        <v>1138</v>
      </c>
      <c r="R113" t="s">
        <v>1131</v>
      </c>
      <c r="S113" t="s">
        <v>1132</v>
      </c>
      <c r="T113" t="s">
        <v>1122</v>
      </c>
      <c r="U113" t="s">
        <v>1123</v>
      </c>
      <c r="V113" t="s">
        <v>1152</v>
      </c>
      <c r="W113" t="s">
        <v>1145</v>
      </c>
      <c r="X113">
        <v>15</v>
      </c>
      <c r="Y113" t="s">
        <v>1142</v>
      </c>
      <c r="Z113" t="s">
        <v>1147</v>
      </c>
      <c r="AA113">
        <v>2.2000000000000002</v>
      </c>
    </row>
    <row r="114" spans="1:27" x14ac:dyDescent="0.3">
      <c r="A114" t="s">
        <v>831</v>
      </c>
      <c r="B114" t="s">
        <v>1191</v>
      </c>
      <c r="C114" t="s">
        <v>1071</v>
      </c>
      <c r="D114" t="s">
        <v>1149</v>
      </c>
      <c r="E114" t="s">
        <v>1178</v>
      </c>
      <c r="F114" s="1">
        <v>46267.375694444447</v>
      </c>
      <c r="G114" s="1">
        <v>46267.383333333331</v>
      </c>
      <c r="H114">
        <v>6</v>
      </c>
      <c r="I114">
        <v>11</v>
      </c>
      <c r="J114" t="b">
        <v>0</v>
      </c>
      <c r="K114" t="b">
        <v>0</v>
      </c>
      <c r="L114" t="b">
        <v>0</v>
      </c>
      <c r="M114">
        <v>12</v>
      </c>
      <c r="N114" t="s">
        <v>1130</v>
      </c>
      <c r="O114" s="1">
        <v>46267.375694444447</v>
      </c>
      <c r="P114" t="b">
        <v>0</v>
      </c>
      <c r="Q114" t="s">
        <v>1179</v>
      </c>
      <c r="R114" t="s">
        <v>1139</v>
      </c>
      <c r="S114" t="s">
        <v>1157</v>
      </c>
      <c r="T114" t="s">
        <v>1122</v>
      </c>
      <c r="U114" t="s">
        <v>1145</v>
      </c>
      <c r="V114" t="s">
        <v>1152</v>
      </c>
      <c r="W114" t="s">
        <v>1145</v>
      </c>
      <c r="X114">
        <v>9</v>
      </c>
      <c r="Y114" t="s">
        <v>1161</v>
      </c>
      <c r="Z114" t="s">
        <v>1127</v>
      </c>
      <c r="AA114">
        <v>1.833333333333333</v>
      </c>
    </row>
    <row r="115" spans="1:27" x14ac:dyDescent="0.3">
      <c r="A115" t="s">
        <v>847</v>
      </c>
      <c r="B115" t="s">
        <v>1282</v>
      </c>
      <c r="C115" t="s">
        <v>1088</v>
      </c>
      <c r="D115" t="s">
        <v>1238</v>
      </c>
      <c r="E115" t="s">
        <v>1309</v>
      </c>
      <c r="F115" s="1">
        <v>46274.402777777781</v>
      </c>
      <c r="G115" s="1">
        <v>46274.410416666673</v>
      </c>
      <c r="H115">
        <v>4</v>
      </c>
      <c r="I115">
        <v>11</v>
      </c>
      <c r="J115" t="b">
        <v>0</v>
      </c>
      <c r="K115" t="b">
        <v>0</v>
      </c>
      <c r="L115" t="b">
        <v>0</v>
      </c>
      <c r="M115">
        <v>12</v>
      </c>
      <c r="N115" t="s">
        <v>1118</v>
      </c>
      <c r="O115" s="1">
        <v>46274.3</v>
      </c>
      <c r="P115" t="b">
        <v>0</v>
      </c>
      <c r="Q115" t="s">
        <v>1119</v>
      </c>
      <c r="R115" t="s">
        <v>1120</v>
      </c>
      <c r="S115" t="s">
        <v>1157</v>
      </c>
      <c r="T115" t="s">
        <v>1140</v>
      </c>
      <c r="U115" t="s">
        <v>1123</v>
      </c>
      <c r="V115" t="s">
        <v>1151</v>
      </c>
      <c r="W115" t="s">
        <v>1131</v>
      </c>
      <c r="X115">
        <v>7</v>
      </c>
      <c r="Y115" t="s">
        <v>1161</v>
      </c>
      <c r="Z115" t="s">
        <v>1127</v>
      </c>
      <c r="AA115">
        <v>2.75</v>
      </c>
    </row>
    <row r="116" spans="1:27" x14ac:dyDescent="0.3">
      <c r="A116" t="s">
        <v>846</v>
      </c>
      <c r="B116" t="s">
        <v>1282</v>
      </c>
      <c r="C116" t="s">
        <v>1059</v>
      </c>
      <c r="D116" t="s">
        <v>1238</v>
      </c>
      <c r="E116" t="s">
        <v>1150</v>
      </c>
      <c r="F116" s="1">
        <v>46274.339583333327</v>
      </c>
      <c r="G116" s="1">
        <v>46274.347222222219</v>
      </c>
      <c r="H116">
        <v>6</v>
      </c>
      <c r="I116">
        <v>11</v>
      </c>
      <c r="J116" t="b">
        <v>0</v>
      </c>
      <c r="K116" t="b">
        <v>0</v>
      </c>
      <c r="L116" t="b">
        <v>0</v>
      </c>
      <c r="M116">
        <v>12</v>
      </c>
      <c r="N116" t="s">
        <v>1118</v>
      </c>
      <c r="O116" s="1">
        <v>46274.3</v>
      </c>
      <c r="P116" t="b">
        <v>0</v>
      </c>
      <c r="Q116" t="s">
        <v>1151</v>
      </c>
      <c r="R116" t="s">
        <v>1131</v>
      </c>
      <c r="S116" t="s">
        <v>1121</v>
      </c>
      <c r="T116" t="s">
        <v>1122</v>
      </c>
      <c r="U116" t="s">
        <v>1172</v>
      </c>
      <c r="V116" t="s">
        <v>1151</v>
      </c>
      <c r="W116" t="s">
        <v>1131</v>
      </c>
      <c r="X116">
        <v>7</v>
      </c>
      <c r="Y116" t="s">
        <v>1161</v>
      </c>
      <c r="Z116" t="s">
        <v>1127</v>
      </c>
      <c r="AA116">
        <v>1.833333333333333</v>
      </c>
    </row>
    <row r="117" spans="1:27" x14ac:dyDescent="0.3">
      <c r="A117" t="s">
        <v>352</v>
      </c>
      <c r="B117" t="s">
        <v>1310</v>
      </c>
      <c r="C117" t="s">
        <v>1057</v>
      </c>
      <c r="D117" t="s">
        <v>1149</v>
      </c>
      <c r="E117" t="s">
        <v>1301</v>
      </c>
      <c r="F117" s="1">
        <v>46282.92083333333</v>
      </c>
      <c r="G117" s="1">
        <v>46282.928472222222</v>
      </c>
      <c r="H117">
        <v>6</v>
      </c>
      <c r="I117">
        <v>11</v>
      </c>
      <c r="J117" t="b">
        <v>0</v>
      </c>
      <c r="K117" t="b">
        <v>0</v>
      </c>
      <c r="L117" t="b">
        <v>0</v>
      </c>
      <c r="M117">
        <v>12</v>
      </c>
      <c r="N117" t="s">
        <v>1130</v>
      </c>
      <c r="O117" s="1">
        <v>46282.884722222218</v>
      </c>
      <c r="P117" t="b">
        <v>0</v>
      </c>
      <c r="Q117" t="s">
        <v>1169</v>
      </c>
      <c r="R117" t="s">
        <v>1131</v>
      </c>
      <c r="S117" t="s">
        <v>1145</v>
      </c>
      <c r="T117" t="s">
        <v>1122</v>
      </c>
      <c r="U117" t="s">
        <v>1172</v>
      </c>
      <c r="V117" t="s">
        <v>1152</v>
      </c>
      <c r="W117" t="s">
        <v>1145</v>
      </c>
      <c r="X117">
        <v>21</v>
      </c>
      <c r="Y117" t="s">
        <v>1146</v>
      </c>
      <c r="Z117" t="s">
        <v>1127</v>
      </c>
      <c r="AA117">
        <v>1.833333333333333</v>
      </c>
    </row>
    <row r="118" spans="1:27" x14ac:dyDescent="0.3">
      <c r="A118" t="s">
        <v>395</v>
      </c>
      <c r="B118" t="s">
        <v>1311</v>
      </c>
      <c r="C118" t="s">
        <v>1088</v>
      </c>
      <c r="D118" t="s">
        <v>1149</v>
      </c>
      <c r="E118" t="s">
        <v>1219</v>
      </c>
      <c r="F118" s="1">
        <v>46287.636805555558</v>
      </c>
      <c r="G118" s="1">
        <v>46287.644444444442</v>
      </c>
      <c r="H118">
        <v>3</v>
      </c>
      <c r="I118">
        <v>11</v>
      </c>
      <c r="J118" t="b">
        <v>0</v>
      </c>
      <c r="K118" t="b">
        <v>0</v>
      </c>
      <c r="L118" t="b">
        <v>0</v>
      </c>
      <c r="M118">
        <v>6</v>
      </c>
      <c r="N118" t="s">
        <v>1118</v>
      </c>
      <c r="O118" s="1">
        <v>46287.543749999997</v>
      </c>
      <c r="P118" t="b">
        <v>0</v>
      </c>
      <c r="Q118" t="s">
        <v>1145</v>
      </c>
      <c r="R118" t="s">
        <v>1120</v>
      </c>
      <c r="S118" t="s">
        <v>1121</v>
      </c>
      <c r="T118" t="s">
        <v>1140</v>
      </c>
      <c r="U118" t="s">
        <v>1123</v>
      </c>
      <c r="V118" t="s">
        <v>1152</v>
      </c>
      <c r="W118" t="s">
        <v>1145</v>
      </c>
      <c r="X118">
        <v>13</v>
      </c>
      <c r="Y118" t="s">
        <v>1126</v>
      </c>
      <c r="Z118" t="s">
        <v>1134</v>
      </c>
      <c r="AA118">
        <v>3.666666666666667</v>
      </c>
    </row>
    <row r="119" spans="1:27" x14ac:dyDescent="0.3">
      <c r="A119" t="s">
        <v>225</v>
      </c>
      <c r="B119" t="s">
        <v>1206</v>
      </c>
      <c r="C119" t="s">
        <v>1070</v>
      </c>
      <c r="D119" t="s">
        <v>1136</v>
      </c>
      <c r="E119" t="s">
        <v>1312</v>
      </c>
      <c r="F119" s="1">
        <v>46266.888194444437</v>
      </c>
      <c r="G119" s="1">
        <v>46266.895833333343</v>
      </c>
      <c r="H119">
        <v>7</v>
      </c>
      <c r="I119">
        <v>11</v>
      </c>
      <c r="J119" t="b">
        <v>0</v>
      </c>
      <c r="K119" t="b">
        <v>0</v>
      </c>
      <c r="L119" t="b">
        <v>0</v>
      </c>
      <c r="N119" t="s">
        <v>1130</v>
      </c>
      <c r="O119" s="1">
        <v>46266.843055555553</v>
      </c>
      <c r="P119" t="b">
        <v>1</v>
      </c>
      <c r="Q119" t="s">
        <v>1119</v>
      </c>
      <c r="R119" t="s">
        <v>1120</v>
      </c>
      <c r="S119" t="s">
        <v>1157</v>
      </c>
      <c r="T119" t="s">
        <v>1180</v>
      </c>
      <c r="U119" t="s">
        <v>1145</v>
      </c>
      <c r="V119" t="s">
        <v>1141</v>
      </c>
      <c r="W119" t="s">
        <v>1125</v>
      </c>
      <c r="X119">
        <v>20</v>
      </c>
      <c r="Y119" t="s">
        <v>1126</v>
      </c>
      <c r="AA119">
        <v>1.571428571428571</v>
      </c>
    </row>
    <row r="120" spans="1:27" x14ac:dyDescent="0.3">
      <c r="A120" t="s">
        <v>321</v>
      </c>
      <c r="B120" t="s">
        <v>1313</v>
      </c>
      <c r="C120" t="s">
        <v>1082</v>
      </c>
      <c r="D120" t="s">
        <v>1136</v>
      </c>
      <c r="E120" t="s">
        <v>1163</v>
      </c>
      <c r="F120" s="1">
        <v>46290.907638888893</v>
      </c>
      <c r="G120" s="1">
        <v>46290.915277777778</v>
      </c>
      <c r="H120">
        <v>7</v>
      </c>
      <c r="I120">
        <v>11</v>
      </c>
      <c r="J120" t="b">
        <v>0</v>
      </c>
      <c r="K120" t="b">
        <v>0</v>
      </c>
      <c r="L120" t="b">
        <v>0</v>
      </c>
      <c r="M120">
        <v>4</v>
      </c>
      <c r="N120" t="s">
        <v>1130</v>
      </c>
      <c r="O120" s="1">
        <v>46290.799305555563</v>
      </c>
      <c r="P120" t="b">
        <v>0</v>
      </c>
      <c r="Q120" t="s">
        <v>1119</v>
      </c>
      <c r="R120" t="s">
        <v>1131</v>
      </c>
      <c r="S120" t="s">
        <v>1132</v>
      </c>
      <c r="T120" t="s">
        <v>1122</v>
      </c>
      <c r="U120" t="s">
        <v>1145</v>
      </c>
      <c r="V120" t="s">
        <v>1141</v>
      </c>
      <c r="W120" t="s">
        <v>1125</v>
      </c>
      <c r="X120">
        <v>19</v>
      </c>
      <c r="Y120" t="s">
        <v>1142</v>
      </c>
      <c r="Z120" t="s">
        <v>1147</v>
      </c>
      <c r="AA120">
        <v>1.571428571428571</v>
      </c>
    </row>
    <row r="121" spans="1:27" x14ac:dyDescent="0.3">
      <c r="A121" t="s">
        <v>134</v>
      </c>
      <c r="B121" t="s">
        <v>1239</v>
      </c>
      <c r="C121" t="s">
        <v>1074</v>
      </c>
      <c r="D121" t="s">
        <v>1116</v>
      </c>
      <c r="E121" t="s">
        <v>1287</v>
      </c>
      <c r="F121" s="1">
        <v>46292.948611111111</v>
      </c>
      <c r="G121" s="1">
        <v>46292.956250000003</v>
      </c>
      <c r="H121">
        <v>3</v>
      </c>
      <c r="I121">
        <v>11</v>
      </c>
      <c r="J121" t="b">
        <v>0</v>
      </c>
      <c r="K121" t="b">
        <v>0</v>
      </c>
      <c r="L121" t="b">
        <v>0</v>
      </c>
      <c r="M121">
        <v>12</v>
      </c>
      <c r="N121" t="s">
        <v>1130</v>
      </c>
      <c r="O121" s="1">
        <v>46292.831250000003</v>
      </c>
      <c r="P121" t="b">
        <v>0</v>
      </c>
      <c r="Q121" t="s">
        <v>1179</v>
      </c>
      <c r="R121" t="s">
        <v>1120</v>
      </c>
      <c r="S121" t="s">
        <v>1145</v>
      </c>
      <c r="T121" t="s">
        <v>1145</v>
      </c>
      <c r="U121" t="s">
        <v>1145</v>
      </c>
      <c r="V121" t="s">
        <v>1124</v>
      </c>
      <c r="W121" t="s">
        <v>1125</v>
      </c>
      <c r="X121">
        <v>19</v>
      </c>
      <c r="Y121" t="s">
        <v>1133</v>
      </c>
      <c r="Z121" t="s">
        <v>1127</v>
      </c>
      <c r="AA121">
        <v>3.666666666666667</v>
      </c>
    </row>
    <row r="122" spans="1:27" x14ac:dyDescent="0.3">
      <c r="A122" t="s">
        <v>106</v>
      </c>
      <c r="B122" t="s">
        <v>1314</v>
      </c>
      <c r="C122" t="s">
        <v>1060</v>
      </c>
      <c r="D122" t="s">
        <v>1149</v>
      </c>
      <c r="E122" t="s">
        <v>1287</v>
      </c>
      <c r="F122" s="1">
        <v>46272.419444444437</v>
      </c>
      <c r="G122" s="1">
        <v>46272.427083333343</v>
      </c>
      <c r="H122">
        <v>4</v>
      </c>
      <c r="I122">
        <v>11</v>
      </c>
      <c r="J122" t="b">
        <v>0</v>
      </c>
      <c r="K122" t="b">
        <v>0</v>
      </c>
      <c r="L122" t="b">
        <v>0</v>
      </c>
      <c r="M122">
        <v>1</v>
      </c>
      <c r="N122" t="s">
        <v>1168</v>
      </c>
      <c r="O122" s="1">
        <v>46272.352777777778</v>
      </c>
      <c r="P122" t="b">
        <v>0</v>
      </c>
      <c r="Q122" t="s">
        <v>1179</v>
      </c>
      <c r="R122" t="s">
        <v>1120</v>
      </c>
      <c r="S122" t="s">
        <v>1145</v>
      </c>
      <c r="T122" t="s">
        <v>1140</v>
      </c>
      <c r="U122" t="s">
        <v>1145</v>
      </c>
      <c r="V122" t="s">
        <v>1152</v>
      </c>
      <c r="W122" t="s">
        <v>1145</v>
      </c>
      <c r="X122">
        <v>8</v>
      </c>
      <c r="Y122" t="s">
        <v>1185</v>
      </c>
      <c r="Z122" t="s">
        <v>1147</v>
      </c>
      <c r="AA122">
        <v>2.75</v>
      </c>
    </row>
    <row r="123" spans="1:27" x14ac:dyDescent="0.3">
      <c r="A123" t="s">
        <v>940</v>
      </c>
      <c r="B123" t="s">
        <v>1315</v>
      </c>
      <c r="C123" t="s">
        <v>1078</v>
      </c>
      <c r="D123" t="s">
        <v>1116</v>
      </c>
      <c r="E123" t="s">
        <v>1223</v>
      </c>
      <c r="F123" s="1">
        <v>46278.432638888888</v>
      </c>
      <c r="G123" s="1">
        <v>46278.44027777778</v>
      </c>
      <c r="H123">
        <v>6</v>
      </c>
      <c r="I123">
        <v>11</v>
      </c>
      <c r="J123" t="b">
        <v>0</v>
      </c>
      <c r="K123" t="b">
        <v>0</v>
      </c>
      <c r="L123" t="b">
        <v>0</v>
      </c>
      <c r="N123" t="s">
        <v>1118</v>
      </c>
      <c r="O123" s="1">
        <v>46278.355555555558</v>
      </c>
      <c r="P123" t="b">
        <v>1</v>
      </c>
      <c r="Q123" t="s">
        <v>1119</v>
      </c>
      <c r="R123" t="s">
        <v>1120</v>
      </c>
      <c r="S123" t="s">
        <v>1152</v>
      </c>
      <c r="T123" t="s">
        <v>1145</v>
      </c>
      <c r="U123" t="s">
        <v>1172</v>
      </c>
      <c r="V123" t="s">
        <v>1124</v>
      </c>
      <c r="W123" t="s">
        <v>1125</v>
      </c>
      <c r="X123">
        <v>8</v>
      </c>
      <c r="Y123" t="s">
        <v>1133</v>
      </c>
      <c r="AA123">
        <v>1.833333333333333</v>
      </c>
    </row>
    <row r="124" spans="1:27" x14ac:dyDescent="0.3">
      <c r="A124" t="s">
        <v>920</v>
      </c>
      <c r="B124" t="s">
        <v>1316</v>
      </c>
      <c r="C124" t="s">
        <v>1075</v>
      </c>
      <c r="D124" t="s">
        <v>1149</v>
      </c>
      <c r="E124" t="s">
        <v>1219</v>
      </c>
      <c r="F124" s="1">
        <v>46288.877083333333</v>
      </c>
      <c r="G124" s="1">
        <v>46288.884722222218</v>
      </c>
      <c r="H124">
        <v>3</v>
      </c>
      <c r="I124">
        <v>11</v>
      </c>
      <c r="J124" t="b">
        <v>0</v>
      </c>
      <c r="K124" t="b">
        <v>0</v>
      </c>
      <c r="L124" t="b">
        <v>0</v>
      </c>
      <c r="M124">
        <v>6</v>
      </c>
      <c r="N124" t="s">
        <v>1118</v>
      </c>
      <c r="O124" s="1">
        <v>46288.84097222222</v>
      </c>
      <c r="P124" t="b">
        <v>0</v>
      </c>
      <c r="Q124" t="s">
        <v>1145</v>
      </c>
      <c r="R124" t="s">
        <v>1120</v>
      </c>
      <c r="S124" t="s">
        <v>1121</v>
      </c>
      <c r="T124" t="s">
        <v>1122</v>
      </c>
      <c r="U124" t="s">
        <v>1172</v>
      </c>
      <c r="V124" t="s">
        <v>1152</v>
      </c>
      <c r="W124" t="s">
        <v>1145</v>
      </c>
      <c r="X124">
        <v>20</v>
      </c>
      <c r="Y124" t="s">
        <v>1161</v>
      </c>
      <c r="Z124" t="s">
        <v>1134</v>
      </c>
      <c r="AA124">
        <v>3.666666666666667</v>
      </c>
    </row>
    <row r="125" spans="1:27" x14ac:dyDescent="0.3">
      <c r="A125" t="s">
        <v>486</v>
      </c>
      <c r="B125" t="s">
        <v>1304</v>
      </c>
      <c r="C125" t="s">
        <v>1088</v>
      </c>
      <c r="D125" t="s">
        <v>1149</v>
      </c>
      <c r="E125" t="s">
        <v>1212</v>
      </c>
      <c r="F125" s="1">
        <v>46268.167361111111</v>
      </c>
      <c r="G125" s="1">
        <v>46268.175000000003</v>
      </c>
      <c r="H125">
        <v>3</v>
      </c>
      <c r="I125">
        <v>11</v>
      </c>
      <c r="J125" t="b">
        <v>0</v>
      </c>
      <c r="K125" t="b">
        <v>0</v>
      </c>
      <c r="L125" t="b">
        <v>0</v>
      </c>
      <c r="M125">
        <v>15</v>
      </c>
      <c r="N125" t="s">
        <v>1118</v>
      </c>
      <c r="O125" s="1">
        <v>46268.107638888891</v>
      </c>
      <c r="P125" t="b">
        <v>0</v>
      </c>
      <c r="Q125" t="s">
        <v>1145</v>
      </c>
      <c r="R125" t="s">
        <v>1139</v>
      </c>
      <c r="S125" t="s">
        <v>1157</v>
      </c>
      <c r="T125" t="s">
        <v>1140</v>
      </c>
      <c r="U125" t="s">
        <v>1123</v>
      </c>
      <c r="V125" t="s">
        <v>1152</v>
      </c>
      <c r="W125" t="s">
        <v>1145</v>
      </c>
      <c r="X125">
        <v>2</v>
      </c>
      <c r="Y125" t="s">
        <v>1146</v>
      </c>
      <c r="Z125" t="s">
        <v>1127</v>
      </c>
      <c r="AA125">
        <v>3.666666666666667</v>
      </c>
    </row>
    <row r="126" spans="1:27" x14ac:dyDescent="0.3">
      <c r="A126" t="s">
        <v>336</v>
      </c>
      <c r="B126" t="s">
        <v>1195</v>
      </c>
      <c r="C126" t="s">
        <v>1058</v>
      </c>
      <c r="D126" t="s">
        <v>1149</v>
      </c>
      <c r="E126" t="s">
        <v>1317</v>
      </c>
      <c r="F126" s="1">
        <v>46290.451388888891</v>
      </c>
      <c r="G126" s="1">
        <v>46290.459027777782</v>
      </c>
      <c r="H126">
        <v>2</v>
      </c>
      <c r="I126">
        <v>11</v>
      </c>
      <c r="J126" t="b">
        <v>0</v>
      </c>
      <c r="K126" t="b">
        <v>0</v>
      </c>
      <c r="L126" t="b">
        <v>0</v>
      </c>
      <c r="M126">
        <v>20</v>
      </c>
      <c r="N126" t="s">
        <v>1130</v>
      </c>
      <c r="O126" s="1">
        <v>46290.347916666673</v>
      </c>
      <c r="P126" t="b">
        <v>0</v>
      </c>
      <c r="Q126" t="s">
        <v>1156</v>
      </c>
      <c r="R126" t="s">
        <v>1120</v>
      </c>
      <c r="S126" t="s">
        <v>1152</v>
      </c>
      <c r="T126" t="s">
        <v>1122</v>
      </c>
      <c r="U126" t="s">
        <v>1145</v>
      </c>
      <c r="V126" t="s">
        <v>1152</v>
      </c>
      <c r="W126" t="s">
        <v>1145</v>
      </c>
      <c r="X126">
        <v>8</v>
      </c>
      <c r="Y126" t="s">
        <v>1142</v>
      </c>
      <c r="Z126" t="s">
        <v>1127</v>
      </c>
      <c r="AA126">
        <v>5.5</v>
      </c>
    </row>
    <row r="127" spans="1:27" x14ac:dyDescent="0.3">
      <c r="A127" t="s">
        <v>829</v>
      </c>
      <c r="B127" t="s">
        <v>1191</v>
      </c>
      <c r="C127" t="s">
        <v>1086</v>
      </c>
      <c r="D127" t="s">
        <v>1116</v>
      </c>
      <c r="E127" t="s">
        <v>1256</v>
      </c>
      <c r="F127" s="1">
        <v>46267.448611111111</v>
      </c>
      <c r="G127" s="1">
        <v>46267.456250000003</v>
      </c>
      <c r="H127">
        <v>2</v>
      </c>
      <c r="I127">
        <v>11</v>
      </c>
      <c r="J127" t="b">
        <v>0</v>
      </c>
      <c r="K127" t="b">
        <v>0</v>
      </c>
      <c r="L127" t="b">
        <v>0</v>
      </c>
      <c r="M127">
        <v>12</v>
      </c>
      <c r="N127" t="s">
        <v>1130</v>
      </c>
      <c r="O127" s="1">
        <v>46267.375694444447</v>
      </c>
      <c r="P127" t="b">
        <v>0</v>
      </c>
      <c r="Q127" t="s">
        <v>1145</v>
      </c>
      <c r="R127" t="s">
        <v>1139</v>
      </c>
      <c r="S127" t="s">
        <v>1157</v>
      </c>
      <c r="T127" t="s">
        <v>1122</v>
      </c>
      <c r="U127" t="s">
        <v>1145</v>
      </c>
      <c r="V127" t="s">
        <v>1124</v>
      </c>
      <c r="W127" t="s">
        <v>1125</v>
      </c>
      <c r="X127">
        <v>9</v>
      </c>
      <c r="Y127" t="s">
        <v>1161</v>
      </c>
      <c r="Z127" t="s">
        <v>1127</v>
      </c>
      <c r="AA127">
        <v>5.5</v>
      </c>
    </row>
    <row r="128" spans="1:27" x14ac:dyDescent="0.3">
      <c r="A128" t="s">
        <v>795</v>
      </c>
      <c r="B128" t="s">
        <v>1318</v>
      </c>
      <c r="C128" t="s">
        <v>1085</v>
      </c>
      <c r="D128" t="s">
        <v>1116</v>
      </c>
      <c r="E128" t="s">
        <v>1307</v>
      </c>
      <c r="F128" s="1">
        <v>46293.894444444442</v>
      </c>
      <c r="G128" s="1">
        <v>46293.902083333327</v>
      </c>
      <c r="H128">
        <v>7</v>
      </c>
      <c r="I128">
        <v>11</v>
      </c>
      <c r="J128" t="b">
        <v>0</v>
      </c>
      <c r="K128" t="b">
        <v>0</v>
      </c>
      <c r="L128" t="b">
        <v>0</v>
      </c>
      <c r="M128">
        <v>8</v>
      </c>
      <c r="N128" t="s">
        <v>1130</v>
      </c>
      <c r="O128" s="1">
        <v>46293.824999999997</v>
      </c>
      <c r="P128" t="b">
        <v>0</v>
      </c>
      <c r="Q128" t="s">
        <v>1151</v>
      </c>
      <c r="R128" t="s">
        <v>1139</v>
      </c>
      <c r="S128" t="s">
        <v>1121</v>
      </c>
      <c r="T128" t="s">
        <v>1122</v>
      </c>
      <c r="U128" t="s">
        <v>1247</v>
      </c>
      <c r="V128" t="s">
        <v>1124</v>
      </c>
      <c r="W128" t="s">
        <v>1125</v>
      </c>
      <c r="X128">
        <v>19</v>
      </c>
      <c r="Y128" t="s">
        <v>1185</v>
      </c>
      <c r="Z128" t="s">
        <v>1134</v>
      </c>
      <c r="AA128">
        <v>1.571428571428571</v>
      </c>
    </row>
    <row r="129" spans="1:27" x14ac:dyDescent="0.3">
      <c r="A129" t="s">
        <v>143</v>
      </c>
      <c r="B129" t="s">
        <v>1319</v>
      </c>
      <c r="C129" t="s">
        <v>1063</v>
      </c>
      <c r="D129" t="s">
        <v>1149</v>
      </c>
      <c r="E129" t="s">
        <v>1246</v>
      </c>
      <c r="F129" s="1">
        <v>46276.305555555547</v>
      </c>
      <c r="G129" s="1">
        <v>46276.313194444447</v>
      </c>
      <c r="H129">
        <v>7</v>
      </c>
      <c r="I129">
        <v>11</v>
      </c>
      <c r="J129" t="b">
        <v>0</v>
      </c>
      <c r="K129" t="b">
        <v>0</v>
      </c>
      <c r="L129" t="b">
        <v>0</v>
      </c>
      <c r="M129">
        <v>15</v>
      </c>
      <c r="N129" t="s">
        <v>1130</v>
      </c>
      <c r="O129" s="1">
        <v>46276.186111111107</v>
      </c>
      <c r="P129" t="b">
        <v>0</v>
      </c>
      <c r="Q129" t="s">
        <v>1145</v>
      </c>
      <c r="R129" t="s">
        <v>1120</v>
      </c>
      <c r="S129" t="s">
        <v>1157</v>
      </c>
      <c r="T129" t="s">
        <v>1122</v>
      </c>
      <c r="U129" t="s">
        <v>1172</v>
      </c>
      <c r="V129" t="s">
        <v>1152</v>
      </c>
      <c r="W129" t="s">
        <v>1145</v>
      </c>
      <c r="X129">
        <v>4</v>
      </c>
      <c r="Y129" t="s">
        <v>1142</v>
      </c>
      <c r="Z129" t="s">
        <v>1127</v>
      </c>
      <c r="AA129">
        <v>1.571428571428571</v>
      </c>
    </row>
    <row r="130" spans="1:27" x14ac:dyDescent="0.3">
      <c r="A130" t="s">
        <v>139</v>
      </c>
      <c r="B130" t="s">
        <v>1319</v>
      </c>
      <c r="C130" t="s">
        <v>1059</v>
      </c>
      <c r="D130" t="s">
        <v>1116</v>
      </c>
      <c r="E130" t="s">
        <v>1237</v>
      </c>
      <c r="F130" s="1">
        <v>46276.20416666667</v>
      </c>
      <c r="G130" s="1">
        <v>46276.211805555547</v>
      </c>
      <c r="H130">
        <v>4</v>
      </c>
      <c r="I130">
        <v>11</v>
      </c>
      <c r="J130" t="b">
        <v>0</v>
      </c>
      <c r="K130" t="b">
        <v>0</v>
      </c>
      <c r="L130" t="b">
        <v>0</v>
      </c>
      <c r="M130">
        <v>15</v>
      </c>
      <c r="N130" t="s">
        <v>1130</v>
      </c>
      <c r="O130" s="1">
        <v>46276.186111111107</v>
      </c>
      <c r="P130" t="b">
        <v>0</v>
      </c>
      <c r="Q130" t="s">
        <v>1151</v>
      </c>
      <c r="R130" t="s">
        <v>1120</v>
      </c>
      <c r="S130" t="s">
        <v>1152</v>
      </c>
      <c r="T130" t="s">
        <v>1122</v>
      </c>
      <c r="U130" t="s">
        <v>1172</v>
      </c>
      <c r="V130" t="s">
        <v>1124</v>
      </c>
      <c r="W130" t="s">
        <v>1125</v>
      </c>
      <c r="X130">
        <v>4</v>
      </c>
      <c r="Y130" t="s">
        <v>1142</v>
      </c>
      <c r="Z130" t="s">
        <v>1127</v>
      </c>
      <c r="AA130">
        <v>2.75</v>
      </c>
    </row>
    <row r="131" spans="1:27" x14ac:dyDescent="0.3">
      <c r="A131" t="s">
        <v>116</v>
      </c>
      <c r="B131" t="s">
        <v>1320</v>
      </c>
      <c r="C131" t="s">
        <v>1060</v>
      </c>
      <c r="D131" t="s">
        <v>1149</v>
      </c>
      <c r="E131" t="s">
        <v>1321</v>
      </c>
      <c r="F131" s="1">
        <v>46270.688194444447</v>
      </c>
      <c r="G131" s="1">
        <v>46270.695833333331</v>
      </c>
      <c r="H131">
        <v>3</v>
      </c>
      <c r="I131">
        <v>11</v>
      </c>
      <c r="J131" t="b">
        <v>0</v>
      </c>
      <c r="K131" t="b">
        <v>0</v>
      </c>
      <c r="L131" t="b">
        <v>0</v>
      </c>
      <c r="M131">
        <v>6</v>
      </c>
      <c r="N131" t="s">
        <v>1155</v>
      </c>
      <c r="O131" s="1">
        <v>46270.611111111109</v>
      </c>
      <c r="P131" t="b">
        <v>0</v>
      </c>
      <c r="Q131" t="s">
        <v>1179</v>
      </c>
      <c r="R131" t="s">
        <v>1139</v>
      </c>
      <c r="S131" t="s">
        <v>1157</v>
      </c>
      <c r="T131" t="s">
        <v>1140</v>
      </c>
      <c r="U131" t="s">
        <v>1145</v>
      </c>
      <c r="V131" t="s">
        <v>1152</v>
      </c>
      <c r="W131" t="s">
        <v>1145</v>
      </c>
      <c r="X131">
        <v>14</v>
      </c>
      <c r="Y131" t="s">
        <v>1173</v>
      </c>
      <c r="Z131" t="s">
        <v>1134</v>
      </c>
      <c r="AA131">
        <v>3.666666666666667</v>
      </c>
    </row>
    <row r="132" spans="1:27" x14ac:dyDescent="0.3">
      <c r="A132" t="s">
        <v>905</v>
      </c>
      <c r="B132" t="s">
        <v>1269</v>
      </c>
      <c r="C132" t="s">
        <v>1076</v>
      </c>
      <c r="D132" t="s">
        <v>1149</v>
      </c>
      <c r="E132" t="s">
        <v>1187</v>
      </c>
      <c r="F132" s="1">
        <v>46284.070833333331</v>
      </c>
      <c r="G132" s="1">
        <v>46284.078472222223</v>
      </c>
      <c r="H132">
        <v>5</v>
      </c>
      <c r="I132">
        <v>11</v>
      </c>
      <c r="J132" t="b">
        <v>0</v>
      </c>
      <c r="K132" t="b">
        <v>0</v>
      </c>
      <c r="L132" t="b">
        <v>0</v>
      </c>
      <c r="M132">
        <v>8</v>
      </c>
      <c r="N132" t="s">
        <v>1118</v>
      </c>
      <c r="O132" s="1">
        <v>46283.953472222223</v>
      </c>
      <c r="P132" t="b">
        <v>0</v>
      </c>
      <c r="Q132" t="s">
        <v>1156</v>
      </c>
      <c r="R132" t="s">
        <v>1131</v>
      </c>
      <c r="S132" t="s">
        <v>1132</v>
      </c>
      <c r="T132" t="s">
        <v>1122</v>
      </c>
      <c r="U132" t="s">
        <v>1172</v>
      </c>
      <c r="V132" t="s">
        <v>1152</v>
      </c>
      <c r="W132" t="s">
        <v>1145</v>
      </c>
      <c r="X132">
        <v>22</v>
      </c>
      <c r="Y132" t="s">
        <v>1142</v>
      </c>
      <c r="Z132" t="s">
        <v>1134</v>
      </c>
      <c r="AA132">
        <v>2.2000000000000002</v>
      </c>
    </row>
    <row r="133" spans="1:27" x14ac:dyDescent="0.3">
      <c r="A133" t="s">
        <v>186</v>
      </c>
      <c r="B133" t="s">
        <v>1170</v>
      </c>
      <c r="C133" t="s">
        <v>1088</v>
      </c>
      <c r="D133" t="s">
        <v>1149</v>
      </c>
      <c r="E133" t="s">
        <v>1117</v>
      </c>
      <c r="F133" s="1">
        <v>46277.048611111109</v>
      </c>
      <c r="G133" s="1">
        <v>46277.056250000001</v>
      </c>
      <c r="H133">
        <v>5</v>
      </c>
      <c r="I133">
        <v>11</v>
      </c>
      <c r="J133" t="b">
        <v>0</v>
      </c>
      <c r="K133" t="b">
        <v>0</v>
      </c>
      <c r="L133" t="b">
        <v>0</v>
      </c>
      <c r="M133">
        <v>20</v>
      </c>
      <c r="N133" t="s">
        <v>1118</v>
      </c>
      <c r="O133" s="1">
        <v>46277.038194444453</v>
      </c>
      <c r="P133" t="b">
        <v>0</v>
      </c>
      <c r="Q133" t="s">
        <v>1119</v>
      </c>
      <c r="R133" t="s">
        <v>1120</v>
      </c>
      <c r="S133" t="s">
        <v>1121</v>
      </c>
      <c r="T133" t="s">
        <v>1140</v>
      </c>
      <c r="U133" t="s">
        <v>1123</v>
      </c>
      <c r="V133" t="s">
        <v>1152</v>
      </c>
      <c r="W133" t="s">
        <v>1145</v>
      </c>
      <c r="X133">
        <v>0</v>
      </c>
      <c r="Y133" t="s">
        <v>1173</v>
      </c>
      <c r="Z133" t="s">
        <v>1127</v>
      </c>
      <c r="AA133">
        <v>2.2000000000000002</v>
      </c>
    </row>
    <row r="134" spans="1:27" x14ac:dyDescent="0.3">
      <c r="A134" t="s">
        <v>347</v>
      </c>
      <c r="B134" t="s">
        <v>1310</v>
      </c>
      <c r="C134" t="s">
        <v>1061</v>
      </c>
      <c r="D134" t="s">
        <v>1149</v>
      </c>
      <c r="E134" t="s">
        <v>1167</v>
      </c>
      <c r="F134" s="1">
        <v>46282.911111111112</v>
      </c>
      <c r="G134" s="1">
        <v>46282.918749999997</v>
      </c>
      <c r="H134">
        <v>7</v>
      </c>
      <c r="I134">
        <v>11</v>
      </c>
      <c r="J134" t="b">
        <v>0</v>
      </c>
      <c r="K134" t="b">
        <v>0</v>
      </c>
      <c r="L134" t="b">
        <v>0</v>
      </c>
      <c r="M134">
        <v>12</v>
      </c>
      <c r="N134" t="s">
        <v>1130</v>
      </c>
      <c r="O134" s="1">
        <v>46282.884722222218</v>
      </c>
      <c r="P134" t="b">
        <v>0</v>
      </c>
      <c r="Q134" t="s">
        <v>1169</v>
      </c>
      <c r="R134" t="s">
        <v>1131</v>
      </c>
      <c r="S134" t="s">
        <v>1157</v>
      </c>
      <c r="T134" t="s">
        <v>1145</v>
      </c>
      <c r="U134" t="s">
        <v>1172</v>
      </c>
      <c r="V134" t="s">
        <v>1152</v>
      </c>
      <c r="W134" t="s">
        <v>1145</v>
      </c>
      <c r="X134">
        <v>21</v>
      </c>
      <c r="Y134" t="s">
        <v>1146</v>
      </c>
      <c r="Z134" t="s">
        <v>1127</v>
      </c>
      <c r="AA134">
        <v>1.571428571428571</v>
      </c>
    </row>
    <row r="135" spans="1:27" x14ac:dyDescent="0.3">
      <c r="A135" t="s">
        <v>189</v>
      </c>
      <c r="B135" t="s">
        <v>1170</v>
      </c>
      <c r="C135" t="s">
        <v>1074</v>
      </c>
      <c r="D135" t="s">
        <v>1149</v>
      </c>
      <c r="E135" t="s">
        <v>1163</v>
      </c>
      <c r="F135" s="1">
        <v>46277.11041666667</v>
      </c>
      <c r="G135" s="1">
        <v>46277.118055555547</v>
      </c>
      <c r="H135">
        <v>7</v>
      </c>
      <c r="I135">
        <v>11</v>
      </c>
      <c r="J135" t="b">
        <v>0</v>
      </c>
      <c r="K135" t="b">
        <v>0</v>
      </c>
      <c r="L135" t="b">
        <v>0</v>
      </c>
      <c r="M135">
        <v>20</v>
      </c>
      <c r="N135" t="s">
        <v>1118</v>
      </c>
      <c r="O135" s="1">
        <v>46277.038194444453</v>
      </c>
      <c r="P135" t="b">
        <v>0</v>
      </c>
      <c r="Q135" t="s">
        <v>1119</v>
      </c>
      <c r="R135" t="s">
        <v>1131</v>
      </c>
      <c r="S135" t="s">
        <v>1132</v>
      </c>
      <c r="T135" t="s">
        <v>1145</v>
      </c>
      <c r="U135" t="s">
        <v>1145</v>
      </c>
      <c r="V135" t="s">
        <v>1152</v>
      </c>
      <c r="W135" t="s">
        <v>1145</v>
      </c>
      <c r="X135">
        <v>0</v>
      </c>
      <c r="Y135" t="s">
        <v>1173</v>
      </c>
      <c r="Z135" t="s">
        <v>1127</v>
      </c>
      <c r="AA135">
        <v>1.571428571428571</v>
      </c>
    </row>
    <row r="136" spans="1:27" x14ac:dyDescent="0.3">
      <c r="A136" t="s">
        <v>817</v>
      </c>
      <c r="B136" t="s">
        <v>1322</v>
      </c>
      <c r="C136" t="s">
        <v>1068</v>
      </c>
      <c r="D136" t="s">
        <v>1136</v>
      </c>
      <c r="E136" t="s">
        <v>1244</v>
      </c>
      <c r="F136" s="1">
        <v>46292.265972222223</v>
      </c>
      <c r="G136" s="1">
        <v>46292.273611111108</v>
      </c>
      <c r="H136">
        <v>1</v>
      </c>
      <c r="I136">
        <v>11</v>
      </c>
      <c r="J136" t="b">
        <v>0</v>
      </c>
      <c r="K136" t="b">
        <v>0</v>
      </c>
      <c r="L136" t="b">
        <v>0</v>
      </c>
      <c r="M136">
        <v>6</v>
      </c>
      <c r="N136" t="s">
        <v>1130</v>
      </c>
      <c r="O136" s="1">
        <v>46292.150694444441</v>
      </c>
      <c r="P136" t="b">
        <v>0</v>
      </c>
      <c r="Q136" t="s">
        <v>1119</v>
      </c>
      <c r="R136" t="s">
        <v>1120</v>
      </c>
      <c r="S136" t="s">
        <v>1121</v>
      </c>
      <c r="T136" t="s">
        <v>1122</v>
      </c>
      <c r="U136" t="s">
        <v>1123</v>
      </c>
      <c r="V136" t="s">
        <v>1141</v>
      </c>
      <c r="W136" t="s">
        <v>1125</v>
      </c>
      <c r="X136">
        <v>3</v>
      </c>
      <c r="Y136" t="s">
        <v>1133</v>
      </c>
      <c r="Z136" t="s">
        <v>1134</v>
      </c>
      <c r="AA136">
        <v>11</v>
      </c>
    </row>
    <row r="137" spans="1:27" x14ac:dyDescent="0.3">
      <c r="A137" t="s">
        <v>551</v>
      </c>
      <c r="B137" t="s">
        <v>1323</v>
      </c>
      <c r="C137" t="s">
        <v>1078</v>
      </c>
      <c r="D137" t="s">
        <v>1255</v>
      </c>
      <c r="E137" t="s">
        <v>1228</v>
      </c>
      <c r="F137" s="1">
        <v>46280.938194444447</v>
      </c>
      <c r="G137" s="1">
        <v>46280.945833333331</v>
      </c>
      <c r="H137">
        <v>6</v>
      </c>
      <c r="I137">
        <v>11</v>
      </c>
      <c r="J137" t="b">
        <v>0</v>
      </c>
      <c r="K137" t="b">
        <v>0</v>
      </c>
      <c r="L137" t="b">
        <v>0</v>
      </c>
      <c r="M137">
        <v>15</v>
      </c>
      <c r="N137" t="s">
        <v>1118</v>
      </c>
      <c r="O137" s="1">
        <v>46280.834722222222</v>
      </c>
      <c r="P137" t="b">
        <v>0</v>
      </c>
      <c r="Q137" t="s">
        <v>1179</v>
      </c>
      <c r="R137" t="s">
        <v>1145</v>
      </c>
      <c r="S137" t="s">
        <v>1157</v>
      </c>
      <c r="T137" t="s">
        <v>1145</v>
      </c>
      <c r="U137" t="s">
        <v>1172</v>
      </c>
      <c r="V137" t="s">
        <v>1141</v>
      </c>
      <c r="W137" t="s">
        <v>1257</v>
      </c>
      <c r="X137">
        <v>20</v>
      </c>
      <c r="Y137" t="s">
        <v>1126</v>
      </c>
      <c r="Z137" t="s">
        <v>1127</v>
      </c>
      <c r="AA137">
        <v>1.833333333333333</v>
      </c>
    </row>
    <row r="138" spans="1:27" x14ac:dyDescent="0.3">
      <c r="A138" t="s">
        <v>171</v>
      </c>
      <c r="B138" t="s">
        <v>1324</v>
      </c>
      <c r="C138" t="s">
        <v>1062</v>
      </c>
      <c r="D138" t="s">
        <v>1136</v>
      </c>
      <c r="E138" t="s">
        <v>1287</v>
      </c>
      <c r="F138" s="1">
        <v>46275.544444444437</v>
      </c>
      <c r="G138" s="1">
        <v>46275.552083333343</v>
      </c>
      <c r="H138">
        <v>5</v>
      </c>
      <c r="I138">
        <v>11</v>
      </c>
      <c r="J138" t="b">
        <v>0</v>
      </c>
      <c r="K138" t="b">
        <v>0</v>
      </c>
      <c r="L138" t="b">
        <v>0</v>
      </c>
      <c r="N138" t="s">
        <v>1155</v>
      </c>
      <c r="O138" s="1">
        <v>46275.525000000001</v>
      </c>
      <c r="P138" t="b">
        <v>1</v>
      </c>
      <c r="Q138" t="s">
        <v>1179</v>
      </c>
      <c r="R138" t="s">
        <v>1120</v>
      </c>
      <c r="S138" t="s">
        <v>1145</v>
      </c>
      <c r="T138" t="s">
        <v>1122</v>
      </c>
      <c r="U138" t="s">
        <v>1123</v>
      </c>
      <c r="V138" t="s">
        <v>1141</v>
      </c>
      <c r="W138" t="s">
        <v>1125</v>
      </c>
      <c r="X138">
        <v>12</v>
      </c>
      <c r="Y138" t="s">
        <v>1146</v>
      </c>
      <c r="AA138">
        <v>2.2000000000000002</v>
      </c>
    </row>
    <row r="139" spans="1:27" x14ac:dyDescent="0.3">
      <c r="A139" t="s">
        <v>174</v>
      </c>
      <c r="B139" t="s">
        <v>1325</v>
      </c>
      <c r="C139" t="s">
        <v>1059</v>
      </c>
      <c r="D139" t="s">
        <v>1149</v>
      </c>
      <c r="E139" t="s">
        <v>1289</v>
      </c>
      <c r="F139" s="1">
        <v>46269.684027777781</v>
      </c>
      <c r="G139" s="1">
        <v>46269.691666666673</v>
      </c>
      <c r="H139">
        <v>6</v>
      </c>
      <c r="I139">
        <v>11</v>
      </c>
      <c r="J139" t="b">
        <v>0</v>
      </c>
      <c r="K139" t="b">
        <v>0</v>
      </c>
      <c r="L139" t="b">
        <v>0</v>
      </c>
      <c r="M139">
        <v>3</v>
      </c>
      <c r="N139" t="s">
        <v>1130</v>
      </c>
      <c r="O139" s="1">
        <v>46269.654166666667</v>
      </c>
      <c r="P139" t="b">
        <v>0</v>
      </c>
      <c r="Q139" t="s">
        <v>1145</v>
      </c>
      <c r="R139" t="s">
        <v>1139</v>
      </c>
      <c r="S139" t="s">
        <v>1152</v>
      </c>
      <c r="T139" t="s">
        <v>1122</v>
      </c>
      <c r="U139" t="s">
        <v>1172</v>
      </c>
      <c r="V139" t="s">
        <v>1152</v>
      </c>
      <c r="W139" t="s">
        <v>1145</v>
      </c>
      <c r="X139">
        <v>15</v>
      </c>
      <c r="Y139" t="s">
        <v>1142</v>
      </c>
      <c r="Z139" t="s">
        <v>1147</v>
      </c>
      <c r="AA139">
        <v>1.833333333333333</v>
      </c>
    </row>
    <row r="140" spans="1:27" x14ac:dyDescent="0.3">
      <c r="A140" t="s">
        <v>875</v>
      </c>
      <c r="B140" t="s">
        <v>1326</v>
      </c>
      <c r="C140" t="s">
        <v>1063</v>
      </c>
      <c r="D140" t="s">
        <v>1149</v>
      </c>
      <c r="E140" t="s">
        <v>1230</v>
      </c>
      <c r="F140" s="1">
        <v>46270.911805555559</v>
      </c>
      <c r="G140" s="1">
        <v>46270.919444444437</v>
      </c>
      <c r="H140">
        <v>4</v>
      </c>
      <c r="I140">
        <v>11</v>
      </c>
      <c r="J140" t="b">
        <v>0</v>
      </c>
      <c r="K140" t="b">
        <v>0</v>
      </c>
      <c r="L140" t="b">
        <v>0</v>
      </c>
      <c r="M140">
        <v>20</v>
      </c>
      <c r="N140" t="s">
        <v>1130</v>
      </c>
      <c r="O140" s="1">
        <v>46270.8125</v>
      </c>
      <c r="P140" t="b">
        <v>0</v>
      </c>
      <c r="Q140" t="s">
        <v>1145</v>
      </c>
      <c r="R140" t="s">
        <v>1120</v>
      </c>
      <c r="S140" t="s">
        <v>1157</v>
      </c>
      <c r="T140" t="s">
        <v>1122</v>
      </c>
      <c r="U140" t="s">
        <v>1172</v>
      </c>
      <c r="V140" t="s">
        <v>1152</v>
      </c>
      <c r="W140" t="s">
        <v>1145</v>
      </c>
      <c r="X140">
        <v>19</v>
      </c>
      <c r="Y140" t="s">
        <v>1173</v>
      </c>
      <c r="Z140" t="s">
        <v>1127</v>
      </c>
      <c r="AA140">
        <v>2.75</v>
      </c>
    </row>
    <row r="141" spans="1:27" x14ac:dyDescent="0.3">
      <c r="A141" t="s">
        <v>609</v>
      </c>
      <c r="B141" t="s">
        <v>1258</v>
      </c>
      <c r="C141" t="s">
        <v>1079</v>
      </c>
      <c r="D141" t="s">
        <v>1255</v>
      </c>
      <c r="E141" t="s">
        <v>1235</v>
      </c>
      <c r="F141" s="1">
        <v>46277.604861111111</v>
      </c>
      <c r="G141" s="1">
        <v>46277.612500000003</v>
      </c>
      <c r="H141">
        <v>4</v>
      </c>
      <c r="I141">
        <v>11</v>
      </c>
      <c r="J141" t="b">
        <v>0</v>
      </c>
      <c r="K141" t="b">
        <v>0</v>
      </c>
      <c r="L141" t="b">
        <v>0</v>
      </c>
      <c r="N141" t="s">
        <v>1130</v>
      </c>
      <c r="O141" s="1">
        <v>46277.556250000001</v>
      </c>
      <c r="P141" t="b">
        <v>1</v>
      </c>
      <c r="Q141" t="s">
        <v>1151</v>
      </c>
      <c r="R141" t="s">
        <v>1131</v>
      </c>
      <c r="S141" t="s">
        <v>1152</v>
      </c>
      <c r="T141" t="s">
        <v>1145</v>
      </c>
      <c r="U141" t="s">
        <v>1123</v>
      </c>
      <c r="V141" t="s">
        <v>1141</v>
      </c>
      <c r="W141" t="s">
        <v>1257</v>
      </c>
      <c r="X141">
        <v>13</v>
      </c>
      <c r="Y141" t="s">
        <v>1173</v>
      </c>
      <c r="AA141">
        <v>2.75</v>
      </c>
    </row>
    <row r="142" spans="1:27" x14ac:dyDescent="0.3">
      <c r="A142" t="s">
        <v>603</v>
      </c>
      <c r="B142" t="s">
        <v>1208</v>
      </c>
      <c r="C142" t="s">
        <v>1084</v>
      </c>
      <c r="D142" t="s">
        <v>1149</v>
      </c>
      <c r="E142" t="s">
        <v>1227</v>
      </c>
      <c r="F142" s="1">
        <v>46269.643055555563</v>
      </c>
      <c r="G142" s="1">
        <v>46269.650694444441</v>
      </c>
      <c r="H142">
        <v>7</v>
      </c>
      <c r="I142">
        <v>11</v>
      </c>
      <c r="J142" t="b">
        <v>0</v>
      </c>
      <c r="K142" t="b">
        <v>0</v>
      </c>
      <c r="L142" t="b">
        <v>0</v>
      </c>
      <c r="M142">
        <v>12</v>
      </c>
      <c r="N142" t="s">
        <v>1118</v>
      </c>
      <c r="O142" s="1">
        <v>46269.521527777782</v>
      </c>
      <c r="P142" t="b">
        <v>0</v>
      </c>
      <c r="Q142" t="s">
        <v>1145</v>
      </c>
      <c r="R142" t="s">
        <v>1131</v>
      </c>
      <c r="S142" t="s">
        <v>1121</v>
      </c>
      <c r="T142" t="s">
        <v>1122</v>
      </c>
      <c r="U142" t="s">
        <v>1247</v>
      </c>
      <c r="V142" t="s">
        <v>1152</v>
      </c>
      <c r="W142" t="s">
        <v>1145</v>
      </c>
      <c r="X142">
        <v>12</v>
      </c>
      <c r="Y142" t="s">
        <v>1142</v>
      </c>
      <c r="Z142" t="s">
        <v>1127</v>
      </c>
      <c r="AA142">
        <v>1.571428571428571</v>
      </c>
    </row>
    <row r="143" spans="1:27" x14ac:dyDescent="0.3">
      <c r="A143" t="s">
        <v>403</v>
      </c>
      <c r="B143" t="s">
        <v>1279</v>
      </c>
      <c r="C143" t="s">
        <v>1084</v>
      </c>
      <c r="D143" t="s">
        <v>1116</v>
      </c>
      <c r="E143" t="s">
        <v>1221</v>
      </c>
      <c r="F143" s="1">
        <v>46268.686805555553</v>
      </c>
      <c r="G143" s="1">
        <v>46268.694444444453</v>
      </c>
      <c r="H143">
        <v>4</v>
      </c>
      <c r="I143">
        <v>11</v>
      </c>
      <c r="J143" t="b">
        <v>0</v>
      </c>
      <c r="K143" t="b">
        <v>0</v>
      </c>
      <c r="L143" t="b">
        <v>0</v>
      </c>
      <c r="M143">
        <v>20</v>
      </c>
      <c r="N143" t="s">
        <v>1118</v>
      </c>
      <c r="O143" s="1">
        <v>46268.624305555553</v>
      </c>
      <c r="P143" t="b">
        <v>0</v>
      </c>
      <c r="Q143" t="s">
        <v>1151</v>
      </c>
      <c r="R143" t="s">
        <v>1131</v>
      </c>
      <c r="S143" t="s">
        <v>1121</v>
      </c>
      <c r="T143" t="s">
        <v>1122</v>
      </c>
      <c r="U143" t="s">
        <v>1247</v>
      </c>
      <c r="V143" t="s">
        <v>1124</v>
      </c>
      <c r="W143" t="s">
        <v>1125</v>
      </c>
      <c r="X143">
        <v>14</v>
      </c>
      <c r="Y143" t="s">
        <v>1146</v>
      </c>
      <c r="Z143" t="s">
        <v>1127</v>
      </c>
      <c r="AA143">
        <v>2.75</v>
      </c>
    </row>
    <row r="144" spans="1:27" x14ac:dyDescent="0.3">
      <c r="A144" t="s">
        <v>646</v>
      </c>
      <c r="B144" t="s">
        <v>1327</v>
      </c>
      <c r="C144" t="s">
        <v>1058</v>
      </c>
      <c r="D144" t="s">
        <v>1136</v>
      </c>
      <c r="E144" t="s">
        <v>1261</v>
      </c>
      <c r="F144" s="1">
        <v>46269.398611111108</v>
      </c>
      <c r="G144" s="1">
        <v>46269.40625</v>
      </c>
      <c r="H144">
        <v>5</v>
      </c>
      <c r="I144">
        <v>11</v>
      </c>
      <c r="J144" t="b">
        <v>0</v>
      </c>
      <c r="K144" t="b">
        <v>0</v>
      </c>
      <c r="L144" t="b">
        <v>0</v>
      </c>
      <c r="M144">
        <v>12</v>
      </c>
      <c r="N144" t="s">
        <v>1130</v>
      </c>
      <c r="O144" s="1">
        <v>46269.290277777778</v>
      </c>
      <c r="P144" t="b">
        <v>0</v>
      </c>
      <c r="Q144" t="s">
        <v>1151</v>
      </c>
      <c r="R144" t="s">
        <v>1120</v>
      </c>
      <c r="S144" t="s">
        <v>1157</v>
      </c>
      <c r="T144" t="s">
        <v>1122</v>
      </c>
      <c r="U144" t="s">
        <v>1145</v>
      </c>
      <c r="V144" t="s">
        <v>1141</v>
      </c>
      <c r="W144" t="s">
        <v>1125</v>
      </c>
      <c r="X144">
        <v>6</v>
      </c>
      <c r="Y144" t="s">
        <v>1142</v>
      </c>
      <c r="Z144" t="s">
        <v>1127</v>
      </c>
      <c r="AA144">
        <v>2.2000000000000002</v>
      </c>
    </row>
    <row r="145" spans="1:27" x14ac:dyDescent="0.3">
      <c r="A145" t="s">
        <v>423</v>
      </c>
      <c r="B145" t="s">
        <v>1328</v>
      </c>
      <c r="C145" t="s">
        <v>1073</v>
      </c>
      <c r="D145" t="s">
        <v>1116</v>
      </c>
      <c r="E145" t="s">
        <v>1256</v>
      </c>
      <c r="F145" s="1">
        <v>46287.043749999997</v>
      </c>
      <c r="G145" s="1">
        <v>46287.051388888889</v>
      </c>
      <c r="H145">
        <v>3</v>
      </c>
      <c r="I145">
        <v>11</v>
      </c>
      <c r="J145" t="b">
        <v>0</v>
      </c>
      <c r="K145" t="b">
        <v>0</v>
      </c>
      <c r="L145" t="b">
        <v>0</v>
      </c>
      <c r="M145">
        <v>1</v>
      </c>
      <c r="N145" t="s">
        <v>1118</v>
      </c>
      <c r="O145" s="1">
        <v>46286.92291666667</v>
      </c>
      <c r="P145" t="b">
        <v>0</v>
      </c>
      <c r="Q145" t="s">
        <v>1145</v>
      </c>
      <c r="R145" t="s">
        <v>1139</v>
      </c>
      <c r="S145" t="s">
        <v>1157</v>
      </c>
      <c r="T145" t="s">
        <v>1122</v>
      </c>
      <c r="U145" t="s">
        <v>1247</v>
      </c>
      <c r="V145" t="s">
        <v>1124</v>
      </c>
      <c r="W145" t="s">
        <v>1125</v>
      </c>
      <c r="X145">
        <v>22</v>
      </c>
      <c r="Y145" t="s">
        <v>1185</v>
      </c>
      <c r="Z145" t="s">
        <v>1147</v>
      </c>
      <c r="AA145">
        <v>3.666666666666667</v>
      </c>
    </row>
    <row r="146" spans="1:27" x14ac:dyDescent="0.3">
      <c r="A146" t="s">
        <v>422</v>
      </c>
      <c r="B146" t="s">
        <v>1226</v>
      </c>
      <c r="C146" t="s">
        <v>1083</v>
      </c>
      <c r="D146" t="s">
        <v>1136</v>
      </c>
      <c r="E146" t="s">
        <v>1223</v>
      </c>
      <c r="F146" s="1">
        <v>46277.122916666667</v>
      </c>
      <c r="G146" s="1">
        <v>46277.130555555559</v>
      </c>
      <c r="H146">
        <v>3</v>
      </c>
      <c r="I146">
        <v>11</v>
      </c>
      <c r="J146" t="b">
        <v>0</v>
      </c>
      <c r="K146" t="b">
        <v>0</v>
      </c>
      <c r="L146" t="b">
        <v>0</v>
      </c>
      <c r="M146">
        <v>5</v>
      </c>
      <c r="N146" t="s">
        <v>1130</v>
      </c>
      <c r="O146" s="1">
        <v>46277.106249999997</v>
      </c>
      <c r="P146" t="b">
        <v>0</v>
      </c>
      <c r="Q146" t="s">
        <v>1119</v>
      </c>
      <c r="R146" t="s">
        <v>1120</v>
      </c>
      <c r="S146" t="s">
        <v>1152</v>
      </c>
      <c r="T146" t="s">
        <v>1180</v>
      </c>
      <c r="U146" t="s">
        <v>1123</v>
      </c>
      <c r="V146" t="s">
        <v>1141</v>
      </c>
      <c r="W146" t="s">
        <v>1125</v>
      </c>
      <c r="X146">
        <v>2</v>
      </c>
      <c r="Y146" t="s">
        <v>1173</v>
      </c>
      <c r="Z146" t="s">
        <v>1147</v>
      </c>
      <c r="AA146">
        <v>3.666666666666667</v>
      </c>
    </row>
    <row r="147" spans="1:27" x14ac:dyDescent="0.3">
      <c r="A147" t="s">
        <v>977</v>
      </c>
      <c r="B147" t="s">
        <v>1329</v>
      </c>
      <c r="C147" t="s">
        <v>1074</v>
      </c>
      <c r="D147" t="s">
        <v>1116</v>
      </c>
      <c r="E147" t="s">
        <v>1272</v>
      </c>
      <c r="F147" s="1">
        <v>46284.988888888889</v>
      </c>
      <c r="G147" s="1">
        <v>46284.996527777781</v>
      </c>
      <c r="H147">
        <v>7</v>
      </c>
      <c r="I147">
        <v>11</v>
      </c>
      <c r="J147" t="b">
        <v>0</v>
      </c>
      <c r="K147" t="b">
        <v>0</v>
      </c>
      <c r="L147" t="b">
        <v>0</v>
      </c>
      <c r="M147">
        <v>10</v>
      </c>
      <c r="N147" t="s">
        <v>1118</v>
      </c>
      <c r="O147" s="1">
        <v>46284.945833333331</v>
      </c>
      <c r="P147" t="b">
        <v>0</v>
      </c>
      <c r="Q147" t="s">
        <v>1179</v>
      </c>
      <c r="R147" t="s">
        <v>1120</v>
      </c>
      <c r="S147" t="s">
        <v>1157</v>
      </c>
      <c r="T147" t="s">
        <v>1145</v>
      </c>
      <c r="U147" t="s">
        <v>1145</v>
      </c>
      <c r="V147" t="s">
        <v>1124</v>
      </c>
      <c r="W147" t="s">
        <v>1125</v>
      </c>
      <c r="X147">
        <v>22</v>
      </c>
      <c r="Y147" t="s">
        <v>1173</v>
      </c>
      <c r="Z147" t="s">
        <v>1134</v>
      </c>
      <c r="AA147">
        <v>1.571428571428571</v>
      </c>
    </row>
    <row r="148" spans="1:27" x14ac:dyDescent="0.3">
      <c r="A148" t="s">
        <v>986</v>
      </c>
      <c r="B148" t="s">
        <v>1330</v>
      </c>
      <c r="C148" t="s">
        <v>1088</v>
      </c>
      <c r="D148" t="s">
        <v>1255</v>
      </c>
      <c r="E148" t="s">
        <v>1256</v>
      </c>
      <c r="F148" s="1">
        <v>46273.713888888888</v>
      </c>
      <c r="G148" s="1">
        <v>46273.72152777778</v>
      </c>
      <c r="H148">
        <v>6</v>
      </c>
      <c r="I148">
        <v>11</v>
      </c>
      <c r="J148" t="b">
        <v>0</v>
      </c>
      <c r="K148" t="b">
        <v>0</v>
      </c>
      <c r="L148" t="b">
        <v>0</v>
      </c>
      <c r="M148">
        <v>5</v>
      </c>
      <c r="N148" t="s">
        <v>1118</v>
      </c>
      <c r="O148" s="1">
        <v>46273.655555555553</v>
      </c>
      <c r="P148" t="b">
        <v>0</v>
      </c>
      <c r="Q148" t="s">
        <v>1145</v>
      </c>
      <c r="R148" t="s">
        <v>1139</v>
      </c>
      <c r="S148" t="s">
        <v>1157</v>
      </c>
      <c r="T148" t="s">
        <v>1140</v>
      </c>
      <c r="U148" t="s">
        <v>1123</v>
      </c>
      <c r="V148" t="s">
        <v>1141</v>
      </c>
      <c r="W148" t="s">
        <v>1257</v>
      </c>
      <c r="X148">
        <v>15</v>
      </c>
      <c r="Y148" t="s">
        <v>1126</v>
      </c>
      <c r="Z148" t="s">
        <v>1147</v>
      </c>
      <c r="AA148">
        <v>1.833333333333333</v>
      </c>
    </row>
    <row r="149" spans="1:27" x14ac:dyDescent="0.3">
      <c r="A149" t="s">
        <v>1008</v>
      </c>
      <c r="B149" t="s">
        <v>1331</v>
      </c>
      <c r="C149" t="s">
        <v>1057</v>
      </c>
      <c r="D149" t="s">
        <v>1238</v>
      </c>
      <c r="E149" t="s">
        <v>1167</v>
      </c>
      <c r="F149" s="1">
        <v>46272.625694444447</v>
      </c>
      <c r="G149" s="1">
        <v>46272.633333333331</v>
      </c>
      <c r="H149">
        <v>7</v>
      </c>
      <c r="I149">
        <v>11</v>
      </c>
      <c r="J149" t="b">
        <v>0</v>
      </c>
      <c r="K149" t="b">
        <v>0</v>
      </c>
      <c r="L149" t="b">
        <v>0</v>
      </c>
      <c r="M149">
        <v>10</v>
      </c>
      <c r="N149" t="s">
        <v>1168</v>
      </c>
      <c r="O149" s="1">
        <v>46272.580555555563</v>
      </c>
      <c r="P149" t="b">
        <v>0</v>
      </c>
      <c r="Q149" t="s">
        <v>1169</v>
      </c>
      <c r="R149" t="s">
        <v>1131</v>
      </c>
      <c r="S149" t="s">
        <v>1157</v>
      </c>
      <c r="T149" t="s">
        <v>1122</v>
      </c>
      <c r="U149" t="s">
        <v>1172</v>
      </c>
      <c r="V149" t="s">
        <v>1151</v>
      </c>
      <c r="W149" t="s">
        <v>1131</v>
      </c>
      <c r="X149">
        <v>13</v>
      </c>
      <c r="Y149" t="s">
        <v>1185</v>
      </c>
      <c r="Z149" t="s">
        <v>1134</v>
      </c>
      <c r="AA149">
        <v>1.571428571428571</v>
      </c>
    </row>
    <row r="150" spans="1:27" x14ac:dyDescent="0.3">
      <c r="A150" t="s">
        <v>1015</v>
      </c>
      <c r="B150" t="s">
        <v>1300</v>
      </c>
      <c r="C150" t="s">
        <v>1085</v>
      </c>
      <c r="D150" t="s">
        <v>1136</v>
      </c>
      <c r="E150" t="s">
        <v>1167</v>
      </c>
      <c r="F150" s="1">
        <v>46269.750694444447</v>
      </c>
      <c r="G150" s="1">
        <v>46269.758333333331</v>
      </c>
      <c r="H150">
        <v>5</v>
      </c>
      <c r="I150">
        <v>11</v>
      </c>
      <c r="J150" t="b">
        <v>0</v>
      </c>
      <c r="K150" t="b">
        <v>0</v>
      </c>
      <c r="L150" t="b">
        <v>0</v>
      </c>
      <c r="M150">
        <v>8</v>
      </c>
      <c r="N150" t="s">
        <v>1155</v>
      </c>
      <c r="O150" s="1">
        <v>46269.727083333331</v>
      </c>
      <c r="P150" t="b">
        <v>0</v>
      </c>
      <c r="Q150" t="s">
        <v>1169</v>
      </c>
      <c r="R150" t="s">
        <v>1131</v>
      </c>
      <c r="S150" t="s">
        <v>1157</v>
      </c>
      <c r="T150" t="s">
        <v>1122</v>
      </c>
      <c r="U150" t="s">
        <v>1247</v>
      </c>
      <c r="V150" t="s">
        <v>1141</v>
      </c>
      <c r="W150" t="s">
        <v>1125</v>
      </c>
      <c r="X150">
        <v>17</v>
      </c>
      <c r="Y150" t="s">
        <v>1142</v>
      </c>
      <c r="Z150" t="s">
        <v>1134</v>
      </c>
      <c r="AA150">
        <v>2.2000000000000002</v>
      </c>
    </row>
    <row r="151" spans="1:27" x14ac:dyDescent="0.3">
      <c r="A151" t="s">
        <v>1050</v>
      </c>
      <c r="B151" t="s">
        <v>1197</v>
      </c>
      <c r="C151" t="s">
        <v>1062</v>
      </c>
      <c r="D151" t="s">
        <v>1255</v>
      </c>
      <c r="E151" t="s">
        <v>1274</v>
      </c>
      <c r="F151" s="1">
        <v>46287.943749999999</v>
      </c>
      <c r="G151" s="1">
        <v>46287.951388888891</v>
      </c>
      <c r="H151">
        <v>4</v>
      </c>
      <c r="I151">
        <v>11</v>
      </c>
      <c r="J151" t="b">
        <v>0</v>
      </c>
      <c r="K151" t="b">
        <v>0</v>
      </c>
      <c r="L151" t="b">
        <v>0</v>
      </c>
      <c r="M151">
        <v>20</v>
      </c>
      <c r="N151" t="s">
        <v>1130</v>
      </c>
      <c r="O151" s="1">
        <v>46287.886805555558</v>
      </c>
      <c r="P151" t="b">
        <v>0</v>
      </c>
      <c r="Q151" t="s">
        <v>1138</v>
      </c>
      <c r="R151" t="s">
        <v>1120</v>
      </c>
      <c r="S151" t="s">
        <v>1157</v>
      </c>
      <c r="T151" t="s">
        <v>1122</v>
      </c>
      <c r="U151" t="s">
        <v>1123</v>
      </c>
      <c r="V151" t="s">
        <v>1141</v>
      </c>
      <c r="W151" t="s">
        <v>1257</v>
      </c>
      <c r="X151">
        <v>21</v>
      </c>
      <c r="Y151" t="s">
        <v>1126</v>
      </c>
      <c r="Z151" t="s">
        <v>1127</v>
      </c>
      <c r="AA151">
        <v>2.75</v>
      </c>
    </row>
    <row r="152" spans="1:27" x14ac:dyDescent="0.3">
      <c r="A152" t="s">
        <v>1005</v>
      </c>
      <c r="B152" t="s">
        <v>1331</v>
      </c>
      <c r="C152" t="s">
        <v>1064</v>
      </c>
      <c r="D152" t="s">
        <v>1255</v>
      </c>
      <c r="E152" t="s">
        <v>1332</v>
      </c>
      <c r="F152" s="1">
        <v>46272.593055555553</v>
      </c>
      <c r="G152" s="1">
        <v>46272.600694444453</v>
      </c>
      <c r="H152">
        <v>4</v>
      </c>
      <c r="I152">
        <v>11</v>
      </c>
      <c r="J152" t="b">
        <v>0</v>
      </c>
      <c r="K152" t="b">
        <v>0</v>
      </c>
      <c r="L152" t="b">
        <v>0</v>
      </c>
      <c r="M152">
        <v>10</v>
      </c>
      <c r="N152" t="s">
        <v>1168</v>
      </c>
      <c r="O152" s="1">
        <v>46272.580555555563</v>
      </c>
      <c r="P152" t="b">
        <v>0</v>
      </c>
      <c r="Q152" t="s">
        <v>1179</v>
      </c>
      <c r="R152" t="s">
        <v>1120</v>
      </c>
      <c r="S152" t="s">
        <v>1132</v>
      </c>
      <c r="T152" t="s">
        <v>1122</v>
      </c>
      <c r="U152" t="s">
        <v>1123</v>
      </c>
      <c r="V152" t="s">
        <v>1141</v>
      </c>
      <c r="W152" t="s">
        <v>1257</v>
      </c>
      <c r="X152">
        <v>13</v>
      </c>
      <c r="Y152" t="s">
        <v>1185</v>
      </c>
      <c r="Z152" t="s">
        <v>1134</v>
      </c>
      <c r="AA152">
        <v>2.75</v>
      </c>
    </row>
    <row r="153" spans="1:27" x14ac:dyDescent="0.3">
      <c r="A153" t="s">
        <v>276</v>
      </c>
      <c r="B153" t="s">
        <v>1333</v>
      </c>
      <c r="C153" t="s">
        <v>1086</v>
      </c>
      <c r="D153" t="s">
        <v>1116</v>
      </c>
      <c r="E153" t="s">
        <v>1287</v>
      </c>
      <c r="F153" s="1">
        <v>46290.810416666667</v>
      </c>
      <c r="G153" s="1">
        <v>46290.818055555559</v>
      </c>
      <c r="H153">
        <v>7</v>
      </c>
      <c r="I153">
        <v>11</v>
      </c>
      <c r="J153" t="b">
        <v>0</v>
      </c>
      <c r="K153" t="b">
        <v>0</v>
      </c>
      <c r="L153" t="b">
        <v>0</v>
      </c>
      <c r="M153">
        <v>20</v>
      </c>
      <c r="N153" t="s">
        <v>1118</v>
      </c>
      <c r="O153" s="1">
        <v>46290.806250000001</v>
      </c>
      <c r="P153" t="b">
        <v>0</v>
      </c>
      <c r="Q153" t="s">
        <v>1179</v>
      </c>
      <c r="R153" t="s">
        <v>1120</v>
      </c>
      <c r="S153" t="s">
        <v>1145</v>
      </c>
      <c r="T153" t="s">
        <v>1122</v>
      </c>
      <c r="U153" t="s">
        <v>1145</v>
      </c>
      <c r="V153" t="s">
        <v>1124</v>
      </c>
      <c r="W153" t="s">
        <v>1125</v>
      </c>
      <c r="X153">
        <v>19</v>
      </c>
      <c r="Y153" t="s">
        <v>1142</v>
      </c>
      <c r="Z153" t="s">
        <v>1127</v>
      </c>
      <c r="AA153">
        <v>1.571428571428571</v>
      </c>
    </row>
    <row r="154" spans="1:27" x14ac:dyDescent="0.3">
      <c r="A154" t="s">
        <v>958</v>
      </c>
      <c r="B154" t="s">
        <v>1252</v>
      </c>
      <c r="C154" t="s">
        <v>1058</v>
      </c>
      <c r="D154" t="s">
        <v>1149</v>
      </c>
      <c r="E154" t="s">
        <v>1171</v>
      </c>
      <c r="F154" s="1">
        <v>46282.323611111111</v>
      </c>
      <c r="G154" s="1">
        <v>46282.331250000003</v>
      </c>
      <c r="H154">
        <v>3</v>
      </c>
      <c r="I154">
        <v>11</v>
      </c>
      <c r="J154" t="b">
        <v>0</v>
      </c>
      <c r="K154" t="b">
        <v>0</v>
      </c>
      <c r="L154" t="b">
        <v>0</v>
      </c>
      <c r="M154">
        <v>20</v>
      </c>
      <c r="N154" t="s">
        <v>1168</v>
      </c>
      <c r="O154" s="1">
        <v>46282.218055555553</v>
      </c>
      <c r="P154" t="b">
        <v>0</v>
      </c>
      <c r="Q154" t="s">
        <v>1119</v>
      </c>
      <c r="R154" t="s">
        <v>1131</v>
      </c>
      <c r="S154" t="s">
        <v>1121</v>
      </c>
      <c r="T154" t="s">
        <v>1122</v>
      </c>
      <c r="U154" t="s">
        <v>1145</v>
      </c>
      <c r="V154" t="s">
        <v>1152</v>
      </c>
      <c r="W154" t="s">
        <v>1145</v>
      </c>
      <c r="X154">
        <v>5</v>
      </c>
      <c r="Y154" t="s">
        <v>1146</v>
      </c>
      <c r="Z154" t="s">
        <v>1127</v>
      </c>
      <c r="AA154">
        <v>3.666666666666667</v>
      </c>
    </row>
    <row r="155" spans="1:27" x14ac:dyDescent="0.3">
      <c r="A155" t="s">
        <v>382</v>
      </c>
      <c r="B155" t="s">
        <v>1334</v>
      </c>
      <c r="C155" t="s">
        <v>1081</v>
      </c>
      <c r="D155" t="s">
        <v>1116</v>
      </c>
      <c r="E155" t="s">
        <v>1218</v>
      </c>
      <c r="F155" s="1">
        <v>46288.30972222222</v>
      </c>
      <c r="G155" s="1">
        <v>46288.317361111112</v>
      </c>
      <c r="H155">
        <v>7</v>
      </c>
      <c r="I155">
        <v>11</v>
      </c>
      <c r="J155" t="b">
        <v>0</v>
      </c>
      <c r="K155" t="b">
        <v>0</v>
      </c>
      <c r="L155" t="b">
        <v>0</v>
      </c>
      <c r="M155">
        <v>5</v>
      </c>
      <c r="N155" t="s">
        <v>1118</v>
      </c>
      <c r="O155" s="1">
        <v>46288.262499999997</v>
      </c>
      <c r="P155" t="b">
        <v>0</v>
      </c>
      <c r="Q155" t="s">
        <v>1169</v>
      </c>
      <c r="R155" t="s">
        <v>1120</v>
      </c>
      <c r="S155" t="s">
        <v>1152</v>
      </c>
      <c r="T155" t="s">
        <v>1180</v>
      </c>
      <c r="U155" t="s">
        <v>1247</v>
      </c>
      <c r="V155" t="s">
        <v>1124</v>
      </c>
      <c r="W155" t="s">
        <v>1125</v>
      </c>
      <c r="X155">
        <v>6</v>
      </c>
      <c r="Y155" t="s">
        <v>1161</v>
      </c>
      <c r="Z155" t="s">
        <v>1147</v>
      </c>
      <c r="AA155">
        <v>1.571428571428571</v>
      </c>
    </row>
    <row r="156" spans="1:27" x14ac:dyDescent="0.3">
      <c r="A156" t="s">
        <v>258</v>
      </c>
      <c r="B156" t="s">
        <v>1335</v>
      </c>
      <c r="C156" t="s">
        <v>1075</v>
      </c>
      <c r="D156" t="s">
        <v>1149</v>
      </c>
      <c r="E156" t="s">
        <v>1336</v>
      </c>
      <c r="F156" s="1">
        <v>46270.12222222222</v>
      </c>
      <c r="G156" s="1">
        <v>46270.129861111112</v>
      </c>
      <c r="H156">
        <v>6</v>
      </c>
      <c r="I156">
        <v>11</v>
      </c>
      <c r="J156" t="b">
        <v>0</v>
      </c>
      <c r="K156" t="b">
        <v>0</v>
      </c>
      <c r="L156" t="b">
        <v>0</v>
      </c>
      <c r="N156" t="s">
        <v>1118</v>
      </c>
      <c r="O156" s="1">
        <v>46270.036111111112</v>
      </c>
      <c r="P156" t="b">
        <v>1</v>
      </c>
      <c r="Q156" t="s">
        <v>1179</v>
      </c>
      <c r="R156" t="s">
        <v>1120</v>
      </c>
      <c r="S156" t="s">
        <v>1152</v>
      </c>
      <c r="T156" t="s">
        <v>1122</v>
      </c>
      <c r="U156" t="s">
        <v>1172</v>
      </c>
      <c r="V156" t="s">
        <v>1152</v>
      </c>
      <c r="W156" t="s">
        <v>1145</v>
      </c>
      <c r="X156">
        <v>0</v>
      </c>
      <c r="Y156" t="s">
        <v>1173</v>
      </c>
      <c r="AA156">
        <v>1.833333333333333</v>
      </c>
    </row>
    <row r="157" spans="1:27" x14ac:dyDescent="0.3">
      <c r="A157" t="s">
        <v>476</v>
      </c>
      <c r="B157" t="s">
        <v>1337</v>
      </c>
      <c r="C157" t="s">
        <v>1088</v>
      </c>
      <c r="D157" t="s">
        <v>1136</v>
      </c>
      <c r="E157" t="s">
        <v>1299</v>
      </c>
      <c r="F157" s="1">
        <v>46270.594444444447</v>
      </c>
      <c r="G157" s="1">
        <v>46270.602083333331</v>
      </c>
      <c r="H157">
        <v>3</v>
      </c>
      <c r="I157">
        <v>11</v>
      </c>
      <c r="J157" t="b">
        <v>0</v>
      </c>
      <c r="K157" t="b">
        <v>0</v>
      </c>
      <c r="L157" t="b">
        <v>0</v>
      </c>
      <c r="M157">
        <v>4</v>
      </c>
      <c r="N157" t="s">
        <v>1118</v>
      </c>
      <c r="O157" s="1">
        <v>46270.470138888893</v>
      </c>
      <c r="P157" t="b">
        <v>0</v>
      </c>
      <c r="Q157" t="s">
        <v>1156</v>
      </c>
      <c r="R157" t="s">
        <v>1120</v>
      </c>
      <c r="S157" t="s">
        <v>1121</v>
      </c>
      <c r="T157" t="s">
        <v>1140</v>
      </c>
      <c r="U157" t="s">
        <v>1123</v>
      </c>
      <c r="V157" t="s">
        <v>1141</v>
      </c>
      <c r="W157" t="s">
        <v>1125</v>
      </c>
      <c r="X157">
        <v>11</v>
      </c>
      <c r="Y157" t="s">
        <v>1173</v>
      </c>
      <c r="Z157" t="s">
        <v>1147</v>
      </c>
      <c r="AA157">
        <v>3.666666666666667</v>
      </c>
    </row>
    <row r="158" spans="1:27" x14ac:dyDescent="0.3">
      <c r="A158" t="s">
        <v>461</v>
      </c>
      <c r="B158" t="s">
        <v>1338</v>
      </c>
      <c r="C158" t="s">
        <v>1075</v>
      </c>
      <c r="D158" t="s">
        <v>1339</v>
      </c>
      <c r="E158" t="s">
        <v>1228</v>
      </c>
      <c r="F158" s="1">
        <v>46289.424305555563</v>
      </c>
      <c r="G158" s="1">
        <v>46289.431944444441</v>
      </c>
      <c r="H158">
        <v>7</v>
      </c>
      <c r="I158">
        <v>11</v>
      </c>
      <c r="J158" t="b">
        <v>0</v>
      </c>
      <c r="K158" t="b">
        <v>0</v>
      </c>
      <c r="L158" t="b">
        <v>0</v>
      </c>
      <c r="M158">
        <v>6</v>
      </c>
      <c r="N158" t="s">
        <v>1118</v>
      </c>
      <c r="O158" s="1">
        <v>46289.347222222219</v>
      </c>
      <c r="P158" t="b">
        <v>0</v>
      </c>
      <c r="Q158" t="s">
        <v>1179</v>
      </c>
      <c r="R158" t="s">
        <v>1145</v>
      </c>
      <c r="S158" t="s">
        <v>1157</v>
      </c>
      <c r="T158" t="s">
        <v>1122</v>
      </c>
      <c r="U158" t="s">
        <v>1172</v>
      </c>
      <c r="V158" t="s">
        <v>1284</v>
      </c>
      <c r="W158" t="s">
        <v>1257</v>
      </c>
      <c r="X158">
        <v>8</v>
      </c>
      <c r="Y158" t="s">
        <v>1146</v>
      </c>
      <c r="Z158" t="s">
        <v>1134</v>
      </c>
      <c r="AA158">
        <v>1.571428571428571</v>
      </c>
    </row>
    <row r="159" spans="1:27" x14ac:dyDescent="0.3">
      <c r="A159" t="s">
        <v>459</v>
      </c>
      <c r="B159" t="s">
        <v>1338</v>
      </c>
      <c r="C159" t="s">
        <v>1068</v>
      </c>
      <c r="D159" t="s">
        <v>1149</v>
      </c>
      <c r="E159" t="s">
        <v>1340</v>
      </c>
      <c r="F159" s="1">
        <v>46289.375694444447</v>
      </c>
      <c r="G159" s="1">
        <v>46289.383333333331</v>
      </c>
      <c r="H159">
        <v>1</v>
      </c>
      <c r="I159">
        <v>11</v>
      </c>
      <c r="J159" t="b">
        <v>0</v>
      </c>
      <c r="K159" t="b">
        <v>0</v>
      </c>
      <c r="L159" t="b">
        <v>0</v>
      </c>
      <c r="M159">
        <v>6</v>
      </c>
      <c r="N159" t="s">
        <v>1118</v>
      </c>
      <c r="O159" s="1">
        <v>46289.347222222219</v>
      </c>
      <c r="P159" t="b">
        <v>0</v>
      </c>
      <c r="Q159" t="s">
        <v>1145</v>
      </c>
      <c r="R159" t="s">
        <v>1131</v>
      </c>
      <c r="S159" t="s">
        <v>1121</v>
      </c>
      <c r="T159" t="s">
        <v>1122</v>
      </c>
      <c r="U159" t="s">
        <v>1123</v>
      </c>
      <c r="V159" t="s">
        <v>1152</v>
      </c>
      <c r="W159" t="s">
        <v>1145</v>
      </c>
      <c r="X159">
        <v>8</v>
      </c>
      <c r="Y159" t="s">
        <v>1146</v>
      </c>
      <c r="Z159" t="s">
        <v>1134</v>
      </c>
      <c r="AA159">
        <v>11</v>
      </c>
    </row>
    <row r="160" spans="1:27" x14ac:dyDescent="0.3">
      <c r="A160" t="s">
        <v>456</v>
      </c>
      <c r="B160" t="s">
        <v>1205</v>
      </c>
      <c r="C160" t="s">
        <v>1082</v>
      </c>
      <c r="D160" t="s">
        <v>1136</v>
      </c>
      <c r="E160" t="s">
        <v>1218</v>
      </c>
      <c r="F160" s="1">
        <v>46269.560416666667</v>
      </c>
      <c r="G160" s="1">
        <v>46269.568055555559</v>
      </c>
      <c r="H160">
        <v>6</v>
      </c>
      <c r="I160">
        <v>11</v>
      </c>
      <c r="J160" t="b">
        <v>0</v>
      </c>
      <c r="K160" t="b">
        <v>0</v>
      </c>
      <c r="L160" t="b">
        <v>0</v>
      </c>
      <c r="M160">
        <v>10</v>
      </c>
      <c r="N160" t="s">
        <v>1155</v>
      </c>
      <c r="O160" s="1">
        <v>46269.489583333343</v>
      </c>
      <c r="P160" t="b">
        <v>0</v>
      </c>
      <c r="Q160" t="s">
        <v>1169</v>
      </c>
      <c r="R160" t="s">
        <v>1120</v>
      </c>
      <c r="S160" t="s">
        <v>1152</v>
      </c>
      <c r="T160" t="s">
        <v>1122</v>
      </c>
      <c r="U160" t="s">
        <v>1145</v>
      </c>
      <c r="V160" t="s">
        <v>1141</v>
      </c>
      <c r="W160" t="s">
        <v>1125</v>
      </c>
      <c r="X160">
        <v>11</v>
      </c>
      <c r="Y160" t="s">
        <v>1142</v>
      </c>
      <c r="Z160" t="s">
        <v>1134</v>
      </c>
      <c r="AA160">
        <v>1.833333333333333</v>
      </c>
    </row>
    <row r="161" spans="1:27" x14ac:dyDescent="0.3">
      <c r="A161" t="s">
        <v>666</v>
      </c>
      <c r="B161" t="s">
        <v>1341</v>
      </c>
      <c r="C161" t="s">
        <v>1079</v>
      </c>
      <c r="D161" t="s">
        <v>1149</v>
      </c>
      <c r="E161" t="s">
        <v>1259</v>
      </c>
      <c r="F161" s="1">
        <v>46294.059027777781</v>
      </c>
      <c r="G161" s="1">
        <v>46294.066666666673</v>
      </c>
      <c r="H161">
        <v>1</v>
      </c>
      <c r="I161">
        <v>11</v>
      </c>
      <c r="J161" t="b">
        <v>0</v>
      </c>
      <c r="K161" t="b">
        <v>0</v>
      </c>
      <c r="L161" t="b">
        <v>0</v>
      </c>
      <c r="M161">
        <v>4</v>
      </c>
      <c r="N161" t="s">
        <v>1130</v>
      </c>
      <c r="O161" s="1">
        <v>46293.981944444437</v>
      </c>
      <c r="P161" t="b">
        <v>0</v>
      </c>
      <c r="Q161" t="s">
        <v>1179</v>
      </c>
      <c r="R161" t="s">
        <v>1120</v>
      </c>
      <c r="S161" t="s">
        <v>1132</v>
      </c>
      <c r="T161" t="s">
        <v>1145</v>
      </c>
      <c r="U161" t="s">
        <v>1123</v>
      </c>
      <c r="V161" t="s">
        <v>1152</v>
      </c>
      <c r="W161" t="s">
        <v>1145</v>
      </c>
      <c r="X161">
        <v>23</v>
      </c>
      <c r="Y161" t="s">
        <v>1185</v>
      </c>
      <c r="Z161" t="s">
        <v>1147</v>
      </c>
      <c r="AA161">
        <v>11</v>
      </c>
    </row>
    <row r="162" spans="1:27" x14ac:dyDescent="0.3">
      <c r="A162" t="s">
        <v>727</v>
      </c>
      <c r="B162" t="s">
        <v>1342</v>
      </c>
      <c r="C162" t="s">
        <v>1064</v>
      </c>
      <c r="D162" t="s">
        <v>1255</v>
      </c>
      <c r="E162" t="s">
        <v>1154</v>
      </c>
      <c r="F162" s="1">
        <v>46281.090277777781</v>
      </c>
      <c r="G162" s="1">
        <v>46281.097916666673</v>
      </c>
      <c r="H162">
        <v>3</v>
      </c>
      <c r="I162">
        <v>11</v>
      </c>
      <c r="J162" t="b">
        <v>0</v>
      </c>
      <c r="K162" t="b">
        <v>0</v>
      </c>
      <c r="L162" t="b">
        <v>0</v>
      </c>
      <c r="M162">
        <v>3</v>
      </c>
      <c r="N162" t="s">
        <v>1118</v>
      </c>
      <c r="O162" s="1">
        <v>46281.004861111112</v>
      </c>
      <c r="P162" t="b">
        <v>0</v>
      </c>
      <c r="Q162" t="s">
        <v>1156</v>
      </c>
      <c r="R162" t="s">
        <v>1131</v>
      </c>
      <c r="S162" t="s">
        <v>1157</v>
      </c>
      <c r="T162" t="s">
        <v>1122</v>
      </c>
      <c r="U162" t="s">
        <v>1123</v>
      </c>
      <c r="V162" t="s">
        <v>1141</v>
      </c>
      <c r="W162" t="s">
        <v>1257</v>
      </c>
      <c r="X162">
        <v>0</v>
      </c>
      <c r="Y162" t="s">
        <v>1161</v>
      </c>
      <c r="Z162" t="s">
        <v>1147</v>
      </c>
      <c r="AA162">
        <v>3.666666666666667</v>
      </c>
    </row>
    <row r="163" spans="1:27" x14ac:dyDescent="0.3">
      <c r="A163" t="s">
        <v>730</v>
      </c>
      <c r="B163" t="s">
        <v>1343</v>
      </c>
      <c r="C163" t="s">
        <v>1062</v>
      </c>
      <c r="D163" t="s">
        <v>1136</v>
      </c>
      <c r="E163" t="s">
        <v>1344</v>
      </c>
      <c r="F163" s="1">
        <v>46274.567361111112</v>
      </c>
      <c r="G163" s="1">
        <v>46274.574999999997</v>
      </c>
      <c r="H163">
        <v>3</v>
      </c>
      <c r="I163">
        <v>11</v>
      </c>
      <c r="J163" t="b">
        <v>0</v>
      </c>
      <c r="K163" t="b">
        <v>0</v>
      </c>
      <c r="L163" t="b">
        <v>0</v>
      </c>
      <c r="M163">
        <v>12</v>
      </c>
      <c r="N163" t="s">
        <v>1168</v>
      </c>
      <c r="O163" s="1">
        <v>46274.51666666667</v>
      </c>
      <c r="P163" t="b">
        <v>0</v>
      </c>
      <c r="Q163" t="s">
        <v>1156</v>
      </c>
      <c r="R163" t="s">
        <v>1131</v>
      </c>
      <c r="S163" t="s">
        <v>1132</v>
      </c>
      <c r="T163" t="s">
        <v>1122</v>
      </c>
      <c r="U163" t="s">
        <v>1123</v>
      </c>
      <c r="V163" t="s">
        <v>1141</v>
      </c>
      <c r="W163" t="s">
        <v>1125</v>
      </c>
      <c r="X163">
        <v>12</v>
      </c>
      <c r="Y163" t="s">
        <v>1161</v>
      </c>
      <c r="Z163" t="s">
        <v>1127</v>
      </c>
      <c r="AA163">
        <v>3.666666666666667</v>
      </c>
    </row>
    <row r="164" spans="1:27" x14ac:dyDescent="0.3">
      <c r="A164" t="s">
        <v>761</v>
      </c>
      <c r="B164" t="s">
        <v>1345</v>
      </c>
      <c r="C164" t="s">
        <v>1061</v>
      </c>
      <c r="D164" t="s">
        <v>1116</v>
      </c>
      <c r="E164" t="s">
        <v>1346</v>
      </c>
      <c r="F164" s="1">
        <v>46267.746527777781</v>
      </c>
      <c r="G164" s="1">
        <v>46267.754166666673</v>
      </c>
      <c r="H164">
        <v>5</v>
      </c>
      <c r="I164">
        <v>11</v>
      </c>
      <c r="J164" t="b">
        <v>0</v>
      </c>
      <c r="K164" t="b">
        <v>0</v>
      </c>
      <c r="L164" t="b">
        <v>0</v>
      </c>
      <c r="M164">
        <v>10</v>
      </c>
      <c r="N164" t="s">
        <v>1155</v>
      </c>
      <c r="O164" s="1">
        <v>46267.725694444453</v>
      </c>
      <c r="P164" t="b">
        <v>0</v>
      </c>
      <c r="Q164" t="s">
        <v>1179</v>
      </c>
      <c r="R164" t="s">
        <v>1120</v>
      </c>
      <c r="S164" t="s">
        <v>1121</v>
      </c>
      <c r="T164" t="s">
        <v>1145</v>
      </c>
      <c r="U164" t="s">
        <v>1172</v>
      </c>
      <c r="V164" t="s">
        <v>1124</v>
      </c>
      <c r="W164" t="s">
        <v>1125</v>
      </c>
      <c r="X164">
        <v>17</v>
      </c>
      <c r="Y164" t="s">
        <v>1161</v>
      </c>
      <c r="Z164" t="s">
        <v>1134</v>
      </c>
      <c r="AA164">
        <v>2.2000000000000002</v>
      </c>
    </row>
    <row r="165" spans="1:27" x14ac:dyDescent="0.3">
      <c r="A165" t="s">
        <v>575</v>
      </c>
      <c r="B165" t="s">
        <v>1266</v>
      </c>
      <c r="C165" t="s">
        <v>1088</v>
      </c>
      <c r="D165" t="s">
        <v>1149</v>
      </c>
      <c r="E165" t="s">
        <v>1237</v>
      </c>
      <c r="F165" s="1">
        <v>46287.49722222222</v>
      </c>
      <c r="G165" s="1">
        <v>46287.504861111112</v>
      </c>
      <c r="H165">
        <v>3</v>
      </c>
      <c r="I165">
        <v>11</v>
      </c>
      <c r="J165" t="b">
        <v>0</v>
      </c>
      <c r="K165" t="b">
        <v>0</v>
      </c>
      <c r="L165" t="b">
        <v>0</v>
      </c>
      <c r="M165">
        <v>10</v>
      </c>
      <c r="N165" t="s">
        <v>1118</v>
      </c>
      <c r="O165" s="1">
        <v>46287.481944444437</v>
      </c>
      <c r="P165" t="b">
        <v>0</v>
      </c>
      <c r="Q165" t="s">
        <v>1151</v>
      </c>
      <c r="R165" t="s">
        <v>1120</v>
      </c>
      <c r="S165" t="s">
        <v>1152</v>
      </c>
      <c r="T165" t="s">
        <v>1140</v>
      </c>
      <c r="U165" t="s">
        <v>1123</v>
      </c>
      <c r="V165" t="s">
        <v>1152</v>
      </c>
      <c r="W165" t="s">
        <v>1145</v>
      </c>
      <c r="X165">
        <v>11</v>
      </c>
      <c r="Y165" t="s">
        <v>1126</v>
      </c>
      <c r="Z165" t="s">
        <v>1134</v>
      </c>
      <c r="AA165">
        <v>3.666666666666667</v>
      </c>
    </row>
    <row r="166" spans="1:27" x14ac:dyDescent="0.3">
      <c r="A166" t="s">
        <v>284</v>
      </c>
      <c r="B166" t="s">
        <v>1347</v>
      </c>
      <c r="C166" t="s">
        <v>1086</v>
      </c>
      <c r="D166" t="s">
        <v>1149</v>
      </c>
      <c r="E166" t="s">
        <v>1184</v>
      </c>
      <c r="F166" s="1">
        <v>46266.555555555547</v>
      </c>
      <c r="G166" s="1">
        <v>46266.563194444447</v>
      </c>
      <c r="H166">
        <v>3</v>
      </c>
      <c r="I166">
        <v>11</v>
      </c>
      <c r="J166" t="b">
        <v>0</v>
      </c>
      <c r="K166" t="b">
        <v>0</v>
      </c>
      <c r="L166" t="b">
        <v>0</v>
      </c>
      <c r="M166">
        <v>20</v>
      </c>
      <c r="N166" t="s">
        <v>1130</v>
      </c>
      <c r="O166" s="1">
        <v>46266.458333333343</v>
      </c>
      <c r="P166" t="b">
        <v>0</v>
      </c>
      <c r="Q166" t="s">
        <v>1156</v>
      </c>
      <c r="R166" t="s">
        <v>1131</v>
      </c>
      <c r="S166" t="s">
        <v>1132</v>
      </c>
      <c r="T166" t="s">
        <v>1122</v>
      </c>
      <c r="U166" t="s">
        <v>1145</v>
      </c>
      <c r="V166" t="s">
        <v>1152</v>
      </c>
      <c r="W166" t="s">
        <v>1145</v>
      </c>
      <c r="X166">
        <v>11</v>
      </c>
      <c r="Y166" t="s">
        <v>1126</v>
      </c>
      <c r="Z166" t="s">
        <v>1127</v>
      </c>
      <c r="AA166">
        <v>3.666666666666667</v>
      </c>
    </row>
    <row r="167" spans="1:27" x14ac:dyDescent="0.3">
      <c r="A167" t="s">
        <v>280</v>
      </c>
      <c r="B167" t="s">
        <v>1333</v>
      </c>
      <c r="C167" t="s">
        <v>1079</v>
      </c>
      <c r="D167" t="s">
        <v>1136</v>
      </c>
      <c r="E167" t="s">
        <v>1235</v>
      </c>
      <c r="F167" s="1">
        <v>46290.913194444453</v>
      </c>
      <c r="G167" s="1">
        <v>46290.92083333333</v>
      </c>
      <c r="H167">
        <v>4</v>
      </c>
      <c r="I167">
        <v>11</v>
      </c>
      <c r="J167" t="b">
        <v>0</v>
      </c>
      <c r="K167" t="b">
        <v>0</v>
      </c>
      <c r="L167" t="b">
        <v>0</v>
      </c>
      <c r="M167">
        <v>20</v>
      </c>
      <c r="N167" t="s">
        <v>1118</v>
      </c>
      <c r="O167" s="1">
        <v>46290.806250000001</v>
      </c>
      <c r="P167" t="b">
        <v>0</v>
      </c>
      <c r="Q167" t="s">
        <v>1151</v>
      </c>
      <c r="R167" t="s">
        <v>1131</v>
      </c>
      <c r="S167" t="s">
        <v>1152</v>
      </c>
      <c r="T167" t="s">
        <v>1145</v>
      </c>
      <c r="U167" t="s">
        <v>1123</v>
      </c>
      <c r="V167" t="s">
        <v>1141</v>
      </c>
      <c r="W167" t="s">
        <v>1125</v>
      </c>
      <c r="X167">
        <v>19</v>
      </c>
      <c r="Y167" t="s">
        <v>1142</v>
      </c>
      <c r="Z167" t="s">
        <v>1127</v>
      </c>
      <c r="AA167">
        <v>2.75</v>
      </c>
    </row>
    <row r="168" spans="1:27" x14ac:dyDescent="0.3">
      <c r="A168" t="s">
        <v>696</v>
      </c>
      <c r="B168" t="s">
        <v>1348</v>
      </c>
      <c r="C168" t="s">
        <v>1058</v>
      </c>
      <c r="D168" t="s">
        <v>1238</v>
      </c>
      <c r="E168" t="s">
        <v>1344</v>
      </c>
      <c r="F168" s="1">
        <v>46277.48333333333</v>
      </c>
      <c r="G168" s="1">
        <v>46277.490972222222</v>
      </c>
      <c r="H168">
        <v>7</v>
      </c>
      <c r="I168">
        <v>11</v>
      </c>
      <c r="J168" t="b">
        <v>0</v>
      </c>
      <c r="K168" t="b">
        <v>0</v>
      </c>
      <c r="L168" t="b">
        <v>0</v>
      </c>
      <c r="M168">
        <v>6</v>
      </c>
      <c r="N168" t="s">
        <v>1118</v>
      </c>
      <c r="O168" s="1">
        <v>46277.361111111109</v>
      </c>
      <c r="P168" t="b">
        <v>0</v>
      </c>
      <c r="Q168" t="s">
        <v>1156</v>
      </c>
      <c r="R168" t="s">
        <v>1131</v>
      </c>
      <c r="S168" t="s">
        <v>1132</v>
      </c>
      <c r="T168" t="s">
        <v>1122</v>
      </c>
      <c r="U168" t="s">
        <v>1145</v>
      </c>
      <c r="V168" t="s">
        <v>1151</v>
      </c>
      <c r="W168" t="s">
        <v>1131</v>
      </c>
      <c r="X168">
        <v>8</v>
      </c>
      <c r="Y168" t="s">
        <v>1173</v>
      </c>
      <c r="Z168" t="s">
        <v>1134</v>
      </c>
      <c r="AA168">
        <v>1.571428571428571</v>
      </c>
    </row>
    <row r="169" spans="1:27" x14ac:dyDescent="0.3">
      <c r="A169" t="s">
        <v>697</v>
      </c>
      <c r="B169" t="s">
        <v>1349</v>
      </c>
      <c r="C169" t="s">
        <v>1063</v>
      </c>
      <c r="D169" t="s">
        <v>1149</v>
      </c>
      <c r="E169" t="s">
        <v>1340</v>
      </c>
      <c r="F169" s="1">
        <v>46293.151388888888</v>
      </c>
      <c r="G169" s="1">
        <v>46293.15902777778</v>
      </c>
      <c r="H169">
        <v>6</v>
      </c>
      <c r="I169">
        <v>11</v>
      </c>
      <c r="J169" t="b">
        <v>0</v>
      </c>
      <c r="K169" t="b">
        <v>0</v>
      </c>
      <c r="L169" t="b">
        <v>0</v>
      </c>
      <c r="M169">
        <v>2</v>
      </c>
      <c r="N169" t="s">
        <v>1130</v>
      </c>
      <c r="O169" s="1">
        <v>46293.04583333333</v>
      </c>
      <c r="P169" t="b">
        <v>0</v>
      </c>
      <c r="Q169" t="s">
        <v>1145</v>
      </c>
      <c r="R169" t="s">
        <v>1131</v>
      </c>
      <c r="S169" t="s">
        <v>1121</v>
      </c>
      <c r="T169" t="s">
        <v>1122</v>
      </c>
      <c r="U169" t="s">
        <v>1172</v>
      </c>
      <c r="V169" t="s">
        <v>1152</v>
      </c>
      <c r="W169" t="s">
        <v>1145</v>
      </c>
      <c r="X169">
        <v>1</v>
      </c>
      <c r="Y169" t="s">
        <v>1185</v>
      </c>
      <c r="Z169" t="s">
        <v>1147</v>
      </c>
      <c r="AA169">
        <v>1.833333333333333</v>
      </c>
    </row>
    <row r="170" spans="1:27" x14ac:dyDescent="0.3">
      <c r="A170" t="s">
        <v>707</v>
      </c>
      <c r="B170" t="s">
        <v>1220</v>
      </c>
      <c r="C170" t="s">
        <v>1088</v>
      </c>
      <c r="D170" t="s">
        <v>1149</v>
      </c>
      <c r="E170" t="s">
        <v>1213</v>
      </c>
      <c r="F170" s="1">
        <v>46273.51458333333</v>
      </c>
      <c r="G170" s="1">
        <v>46273.522222222222</v>
      </c>
      <c r="H170">
        <v>7</v>
      </c>
      <c r="I170">
        <v>11</v>
      </c>
      <c r="J170" t="b">
        <v>0</v>
      </c>
      <c r="K170" t="b">
        <v>0</v>
      </c>
      <c r="L170" t="b">
        <v>0</v>
      </c>
      <c r="M170">
        <v>8</v>
      </c>
      <c r="N170" t="s">
        <v>1118</v>
      </c>
      <c r="O170" s="1">
        <v>46273.438194444447</v>
      </c>
      <c r="P170" t="b">
        <v>0</v>
      </c>
      <c r="Q170" t="s">
        <v>1151</v>
      </c>
      <c r="R170" t="s">
        <v>1131</v>
      </c>
      <c r="S170" t="s">
        <v>1152</v>
      </c>
      <c r="T170" t="s">
        <v>1140</v>
      </c>
      <c r="U170" t="s">
        <v>1123</v>
      </c>
      <c r="V170" t="s">
        <v>1152</v>
      </c>
      <c r="W170" t="s">
        <v>1145</v>
      </c>
      <c r="X170">
        <v>10</v>
      </c>
      <c r="Y170" t="s">
        <v>1126</v>
      </c>
      <c r="Z170" t="s">
        <v>1134</v>
      </c>
      <c r="AA170">
        <v>1.571428571428571</v>
      </c>
    </row>
    <row r="171" spans="1:27" x14ac:dyDescent="0.3">
      <c r="A171" t="s">
        <v>309</v>
      </c>
      <c r="B171" t="s">
        <v>1350</v>
      </c>
      <c r="C171" t="s">
        <v>1080</v>
      </c>
      <c r="D171" t="s">
        <v>1116</v>
      </c>
      <c r="E171" t="s">
        <v>1218</v>
      </c>
      <c r="F171" s="1">
        <v>46277.234722222223</v>
      </c>
      <c r="G171" s="1">
        <v>46277.242361111108</v>
      </c>
      <c r="H171">
        <v>6</v>
      </c>
      <c r="I171">
        <v>11</v>
      </c>
      <c r="J171" t="b">
        <v>0</v>
      </c>
      <c r="K171" t="b">
        <v>0</v>
      </c>
      <c r="L171" t="b">
        <v>0</v>
      </c>
      <c r="M171">
        <v>8</v>
      </c>
      <c r="N171" t="s">
        <v>1130</v>
      </c>
      <c r="O171" s="1">
        <v>46277.207638888889</v>
      </c>
      <c r="P171" t="b">
        <v>0</v>
      </c>
      <c r="Q171" t="s">
        <v>1169</v>
      </c>
      <c r="R171" t="s">
        <v>1120</v>
      </c>
      <c r="S171" t="s">
        <v>1152</v>
      </c>
      <c r="T171" t="s">
        <v>1122</v>
      </c>
      <c r="U171" t="s">
        <v>1247</v>
      </c>
      <c r="V171" t="s">
        <v>1124</v>
      </c>
      <c r="W171" t="s">
        <v>1125</v>
      </c>
      <c r="X171">
        <v>4</v>
      </c>
      <c r="Y171" t="s">
        <v>1173</v>
      </c>
      <c r="Z171" t="s">
        <v>1134</v>
      </c>
      <c r="AA171">
        <v>1.833333333333333</v>
      </c>
    </row>
    <row r="172" spans="1:27" x14ac:dyDescent="0.3">
      <c r="A172" t="s">
        <v>743</v>
      </c>
      <c r="B172" t="s">
        <v>1351</v>
      </c>
      <c r="C172" t="s">
        <v>1077</v>
      </c>
      <c r="D172" t="s">
        <v>1116</v>
      </c>
      <c r="E172" t="s">
        <v>1289</v>
      </c>
      <c r="F172" s="1">
        <v>46268.993750000001</v>
      </c>
      <c r="G172" s="1">
        <v>46269.001388888893</v>
      </c>
      <c r="H172">
        <v>1</v>
      </c>
      <c r="I172">
        <v>11</v>
      </c>
      <c r="J172" t="b">
        <v>0</v>
      </c>
      <c r="K172" t="b">
        <v>0</v>
      </c>
      <c r="L172" t="b">
        <v>0</v>
      </c>
      <c r="M172">
        <v>4</v>
      </c>
      <c r="N172" t="s">
        <v>1130</v>
      </c>
      <c r="O172" s="1">
        <v>46268.894444444442</v>
      </c>
      <c r="P172" t="b">
        <v>0</v>
      </c>
      <c r="Q172" t="s">
        <v>1145</v>
      </c>
      <c r="R172" t="s">
        <v>1139</v>
      </c>
      <c r="S172" t="s">
        <v>1152</v>
      </c>
      <c r="T172" t="s">
        <v>1122</v>
      </c>
      <c r="U172" t="s">
        <v>1172</v>
      </c>
      <c r="V172" t="s">
        <v>1124</v>
      </c>
      <c r="W172" t="s">
        <v>1125</v>
      </c>
      <c r="X172">
        <v>21</v>
      </c>
      <c r="Y172" t="s">
        <v>1146</v>
      </c>
      <c r="Z172" t="s">
        <v>1147</v>
      </c>
      <c r="AA172">
        <v>11</v>
      </c>
    </row>
    <row r="173" spans="1:27" x14ac:dyDescent="0.3">
      <c r="A173" t="s">
        <v>741</v>
      </c>
      <c r="B173" t="s">
        <v>1352</v>
      </c>
      <c r="C173" t="s">
        <v>1064</v>
      </c>
      <c r="D173" t="s">
        <v>1149</v>
      </c>
      <c r="E173" t="s">
        <v>1265</v>
      </c>
      <c r="F173" s="1">
        <v>46277.418055555558</v>
      </c>
      <c r="G173" s="1">
        <v>46277.425694444442</v>
      </c>
      <c r="H173">
        <v>2</v>
      </c>
      <c r="I173">
        <v>11</v>
      </c>
      <c r="J173" t="b">
        <v>0</v>
      </c>
      <c r="K173" t="b">
        <v>0</v>
      </c>
      <c r="L173" t="b">
        <v>0</v>
      </c>
      <c r="M173">
        <v>6</v>
      </c>
      <c r="N173" t="s">
        <v>1130</v>
      </c>
      <c r="O173" s="1">
        <v>46277.380555555559</v>
      </c>
      <c r="P173" t="b">
        <v>0</v>
      </c>
      <c r="Q173" t="s">
        <v>1179</v>
      </c>
      <c r="R173" t="s">
        <v>1139</v>
      </c>
      <c r="S173" t="s">
        <v>1157</v>
      </c>
      <c r="T173" t="s">
        <v>1122</v>
      </c>
      <c r="U173" t="s">
        <v>1123</v>
      </c>
      <c r="V173" t="s">
        <v>1152</v>
      </c>
      <c r="W173" t="s">
        <v>1145</v>
      </c>
      <c r="X173">
        <v>9</v>
      </c>
      <c r="Y173" t="s">
        <v>1173</v>
      </c>
      <c r="Z173" t="s">
        <v>1134</v>
      </c>
      <c r="AA173">
        <v>5.5</v>
      </c>
    </row>
    <row r="174" spans="1:27" x14ac:dyDescent="0.3">
      <c r="A174" t="s">
        <v>659</v>
      </c>
      <c r="B174" t="s">
        <v>1353</v>
      </c>
      <c r="C174" t="s">
        <v>1081</v>
      </c>
      <c r="D174" t="s">
        <v>1116</v>
      </c>
      <c r="E174" t="s">
        <v>1178</v>
      </c>
      <c r="F174" s="1">
        <v>46291.345138888893</v>
      </c>
      <c r="G174" s="1">
        <v>46291.352777777778</v>
      </c>
      <c r="H174">
        <v>6</v>
      </c>
      <c r="I174">
        <v>11</v>
      </c>
      <c r="J174" t="b">
        <v>0</v>
      </c>
      <c r="K174" t="b">
        <v>0</v>
      </c>
      <c r="L174" t="b">
        <v>0</v>
      </c>
      <c r="M174">
        <v>8</v>
      </c>
      <c r="N174" t="s">
        <v>1118</v>
      </c>
      <c r="O174" s="1">
        <v>46291.306944444441</v>
      </c>
      <c r="P174" t="b">
        <v>0</v>
      </c>
      <c r="Q174" t="s">
        <v>1179</v>
      </c>
      <c r="R174" t="s">
        <v>1139</v>
      </c>
      <c r="S174" t="s">
        <v>1157</v>
      </c>
      <c r="T174" t="s">
        <v>1180</v>
      </c>
      <c r="U174" t="s">
        <v>1247</v>
      </c>
      <c r="V174" t="s">
        <v>1124</v>
      </c>
      <c r="W174" t="s">
        <v>1125</v>
      </c>
      <c r="X174">
        <v>7</v>
      </c>
      <c r="Y174" t="s">
        <v>1173</v>
      </c>
      <c r="Z174" t="s">
        <v>1134</v>
      </c>
      <c r="AA174">
        <v>1.833333333333333</v>
      </c>
    </row>
    <row r="175" spans="1:27" x14ac:dyDescent="0.3">
      <c r="A175" t="s">
        <v>651</v>
      </c>
      <c r="B175" t="s">
        <v>1327</v>
      </c>
      <c r="C175" t="s">
        <v>1064</v>
      </c>
      <c r="D175" t="s">
        <v>1136</v>
      </c>
      <c r="E175" t="s">
        <v>1344</v>
      </c>
      <c r="F175" s="1">
        <v>46269.390972222223</v>
      </c>
      <c r="G175" s="1">
        <v>46269.398611111108</v>
      </c>
      <c r="H175">
        <v>3</v>
      </c>
      <c r="I175">
        <v>11</v>
      </c>
      <c r="J175" t="b">
        <v>0</v>
      </c>
      <c r="K175" t="b">
        <v>0</v>
      </c>
      <c r="L175" t="b">
        <v>0</v>
      </c>
      <c r="M175">
        <v>12</v>
      </c>
      <c r="N175" t="s">
        <v>1130</v>
      </c>
      <c r="O175" s="1">
        <v>46269.290277777778</v>
      </c>
      <c r="P175" t="b">
        <v>0</v>
      </c>
      <c r="Q175" t="s">
        <v>1156</v>
      </c>
      <c r="R175" t="s">
        <v>1131</v>
      </c>
      <c r="S175" t="s">
        <v>1132</v>
      </c>
      <c r="T175" t="s">
        <v>1122</v>
      </c>
      <c r="U175" t="s">
        <v>1123</v>
      </c>
      <c r="V175" t="s">
        <v>1141</v>
      </c>
      <c r="W175" t="s">
        <v>1125</v>
      </c>
      <c r="X175">
        <v>6</v>
      </c>
      <c r="Y175" t="s">
        <v>1142</v>
      </c>
      <c r="Z175" t="s">
        <v>1127</v>
      </c>
      <c r="AA175">
        <v>3.666666666666667</v>
      </c>
    </row>
    <row r="176" spans="1:27" x14ac:dyDescent="0.3">
      <c r="A176" t="s">
        <v>855</v>
      </c>
      <c r="B176" t="s">
        <v>1354</v>
      </c>
      <c r="C176" t="s">
        <v>1084</v>
      </c>
      <c r="D176" t="s">
        <v>1149</v>
      </c>
      <c r="E176" t="s">
        <v>1259</v>
      </c>
      <c r="F176" s="1">
        <v>46286.993750000001</v>
      </c>
      <c r="G176" s="1">
        <v>46287.000694444447</v>
      </c>
      <c r="H176">
        <v>6</v>
      </c>
      <c r="I176">
        <v>10</v>
      </c>
      <c r="J176" t="b">
        <v>0</v>
      </c>
      <c r="K176" t="b">
        <v>0</v>
      </c>
      <c r="L176" t="b">
        <v>0</v>
      </c>
      <c r="M176">
        <v>8</v>
      </c>
      <c r="N176" t="s">
        <v>1118</v>
      </c>
      <c r="O176" s="1">
        <v>46286.883333333331</v>
      </c>
      <c r="P176" t="b">
        <v>0</v>
      </c>
      <c r="Q176" t="s">
        <v>1179</v>
      </c>
      <c r="R176" t="s">
        <v>1120</v>
      </c>
      <c r="S176" t="s">
        <v>1132</v>
      </c>
      <c r="T176" t="s">
        <v>1122</v>
      </c>
      <c r="U176" t="s">
        <v>1247</v>
      </c>
      <c r="V176" t="s">
        <v>1152</v>
      </c>
      <c r="W176" t="s">
        <v>1145</v>
      </c>
      <c r="X176">
        <v>21</v>
      </c>
      <c r="Y176" t="s">
        <v>1185</v>
      </c>
      <c r="Z176" t="s">
        <v>1134</v>
      </c>
      <c r="AA176">
        <v>1.666666666666667</v>
      </c>
    </row>
    <row r="177" spans="1:27" x14ac:dyDescent="0.3">
      <c r="A177" t="s">
        <v>850</v>
      </c>
      <c r="B177" t="s">
        <v>1355</v>
      </c>
      <c r="C177" t="s">
        <v>1069</v>
      </c>
      <c r="D177" t="s">
        <v>1116</v>
      </c>
      <c r="E177" t="s">
        <v>1332</v>
      </c>
      <c r="F177" s="1">
        <v>46285.020833333343</v>
      </c>
      <c r="G177" s="1">
        <v>46285.027777777781</v>
      </c>
      <c r="H177">
        <v>2</v>
      </c>
      <c r="I177">
        <v>10</v>
      </c>
      <c r="J177" t="b">
        <v>0</v>
      </c>
      <c r="K177" t="b">
        <v>0</v>
      </c>
      <c r="L177" t="b">
        <v>0</v>
      </c>
      <c r="M177">
        <v>8</v>
      </c>
      <c r="N177" t="s">
        <v>1168</v>
      </c>
      <c r="O177" s="1">
        <v>46284.948611111111</v>
      </c>
      <c r="P177" t="b">
        <v>0</v>
      </c>
      <c r="Q177" t="s">
        <v>1179</v>
      </c>
      <c r="R177" t="s">
        <v>1120</v>
      </c>
      <c r="S177" t="s">
        <v>1132</v>
      </c>
      <c r="T177" t="s">
        <v>1140</v>
      </c>
      <c r="U177" t="s">
        <v>1172</v>
      </c>
      <c r="V177" t="s">
        <v>1124</v>
      </c>
      <c r="W177" t="s">
        <v>1125</v>
      </c>
      <c r="X177">
        <v>22</v>
      </c>
      <c r="Y177" t="s">
        <v>1173</v>
      </c>
      <c r="Z177" t="s">
        <v>1134</v>
      </c>
      <c r="AA177">
        <v>5</v>
      </c>
    </row>
    <row r="178" spans="1:27" x14ac:dyDescent="0.3">
      <c r="A178" t="s">
        <v>888</v>
      </c>
      <c r="B178" t="s">
        <v>1306</v>
      </c>
      <c r="C178" t="s">
        <v>1086</v>
      </c>
      <c r="D178" t="s">
        <v>1238</v>
      </c>
      <c r="E178" t="s">
        <v>1259</v>
      </c>
      <c r="F178" s="1">
        <v>46288.791666666657</v>
      </c>
      <c r="G178" s="1">
        <v>46288.798611111109</v>
      </c>
      <c r="H178">
        <v>5</v>
      </c>
      <c r="I178">
        <v>10</v>
      </c>
      <c r="J178" t="b">
        <v>0</v>
      </c>
      <c r="K178" t="b">
        <v>0</v>
      </c>
      <c r="L178" t="b">
        <v>0</v>
      </c>
      <c r="M178">
        <v>5</v>
      </c>
      <c r="N178" t="s">
        <v>1118</v>
      </c>
      <c r="O178" s="1">
        <v>46288.68472222222</v>
      </c>
      <c r="P178" t="b">
        <v>0</v>
      </c>
      <c r="Q178" t="s">
        <v>1179</v>
      </c>
      <c r="R178" t="s">
        <v>1120</v>
      </c>
      <c r="S178" t="s">
        <v>1132</v>
      </c>
      <c r="T178" t="s">
        <v>1122</v>
      </c>
      <c r="U178" t="s">
        <v>1145</v>
      </c>
      <c r="V178" t="s">
        <v>1151</v>
      </c>
      <c r="W178" t="s">
        <v>1131</v>
      </c>
      <c r="X178">
        <v>16</v>
      </c>
      <c r="Y178" t="s">
        <v>1161</v>
      </c>
      <c r="Z178" t="s">
        <v>1147</v>
      </c>
      <c r="AA178">
        <v>2</v>
      </c>
    </row>
    <row r="179" spans="1:27" x14ac:dyDescent="0.3">
      <c r="A179" t="s">
        <v>484</v>
      </c>
      <c r="B179" t="s">
        <v>1304</v>
      </c>
      <c r="C179" t="s">
        <v>1066</v>
      </c>
      <c r="D179" t="s">
        <v>1116</v>
      </c>
      <c r="E179" t="s">
        <v>1299</v>
      </c>
      <c r="F179" s="1">
        <v>46268.12777777778</v>
      </c>
      <c r="G179" s="1">
        <v>46268.134722222218</v>
      </c>
      <c r="H179">
        <v>7</v>
      </c>
      <c r="I179">
        <v>10</v>
      </c>
      <c r="J179" t="b">
        <v>0</v>
      </c>
      <c r="K179" t="b">
        <v>0</v>
      </c>
      <c r="L179" t="b">
        <v>0</v>
      </c>
      <c r="M179">
        <v>15</v>
      </c>
      <c r="N179" t="s">
        <v>1118</v>
      </c>
      <c r="O179" s="1">
        <v>46268.107638888891</v>
      </c>
      <c r="P179" t="b">
        <v>0</v>
      </c>
      <c r="Q179" t="s">
        <v>1156</v>
      </c>
      <c r="R179" t="s">
        <v>1120</v>
      </c>
      <c r="S179" t="s">
        <v>1121</v>
      </c>
      <c r="T179" t="s">
        <v>1122</v>
      </c>
      <c r="U179" t="s">
        <v>1247</v>
      </c>
      <c r="V179" t="s">
        <v>1124</v>
      </c>
      <c r="W179" t="s">
        <v>1125</v>
      </c>
      <c r="X179">
        <v>2</v>
      </c>
      <c r="Y179" t="s">
        <v>1146</v>
      </c>
      <c r="Z179" t="s">
        <v>1127</v>
      </c>
      <c r="AA179">
        <v>1.428571428571429</v>
      </c>
    </row>
    <row r="180" spans="1:27" x14ac:dyDescent="0.3">
      <c r="A180" t="s">
        <v>882</v>
      </c>
      <c r="B180" t="s">
        <v>1166</v>
      </c>
      <c r="C180" t="s">
        <v>1077</v>
      </c>
      <c r="D180" t="s">
        <v>1149</v>
      </c>
      <c r="E180" t="s">
        <v>1209</v>
      </c>
      <c r="F180" s="1">
        <v>46273.5</v>
      </c>
      <c r="G180" s="1">
        <v>46273.506944444453</v>
      </c>
      <c r="H180">
        <v>1</v>
      </c>
      <c r="I180">
        <v>10</v>
      </c>
      <c r="J180" t="b">
        <v>0</v>
      </c>
      <c r="K180" t="b">
        <v>0</v>
      </c>
      <c r="L180" t="b">
        <v>0</v>
      </c>
      <c r="M180">
        <v>10</v>
      </c>
      <c r="N180" t="s">
        <v>1168</v>
      </c>
      <c r="O180" s="1">
        <v>46273.465277777781</v>
      </c>
      <c r="P180" t="b">
        <v>0</v>
      </c>
      <c r="Q180" t="s">
        <v>1138</v>
      </c>
      <c r="R180" t="s">
        <v>1131</v>
      </c>
      <c r="S180" t="s">
        <v>1132</v>
      </c>
      <c r="T180" t="s">
        <v>1122</v>
      </c>
      <c r="U180" t="s">
        <v>1172</v>
      </c>
      <c r="V180" t="s">
        <v>1152</v>
      </c>
      <c r="W180" t="s">
        <v>1145</v>
      </c>
      <c r="X180">
        <v>11</v>
      </c>
      <c r="Y180" t="s">
        <v>1126</v>
      </c>
      <c r="Z180" t="s">
        <v>1134</v>
      </c>
      <c r="AA180">
        <v>10</v>
      </c>
    </row>
    <row r="181" spans="1:27" x14ac:dyDescent="0.3">
      <c r="A181" t="s">
        <v>885</v>
      </c>
      <c r="B181" t="s">
        <v>1166</v>
      </c>
      <c r="C181" t="s">
        <v>1070</v>
      </c>
      <c r="D181" t="s">
        <v>1116</v>
      </c>
      <c r="E181" t="s">
        <v>1356</v>
      </c>
      <c r="F181" s="1">
        <v>46273.548611111109</v>
      </c>
      <c r="G181" s="1">
        <v>46273.555555555547</v>
      </c>
      <c r="H181">
        <v>4</v>
      </c>
      <c r="I181">
        <v>10</v>
      </c>
      <c r="J181" t="b">
        <v>0</v>
      </c>
      <c r="K181" t="b">
        <v>0</v>
      </c>
      <c r="L181" t="b">
        <v>0</v>
      </c>
      <c r="M181">
        <v>10</v>
      </c>
      <c r="N181" t="s">
        <v>1168</v>
      </c>
      <c r="O181" s="1">
        <v>46273.465277777781</v>
      </c>
      <c r="P181" t="b">
        <v>0</v>
      </c>
      <c r="Q181" t="s">
        <v>1145</v>
      </c>
      <c r="R181" t="s">
        <v>1120</v>
      </c>
      <c r="S181" t="s">
        <v>1132</v>
      </c>
      <c r="T181" t="s">
        <v>1180</v>
      </c>
      <c r="U181" t="s">
        <v>1145</v>
      </c>
      <c r="V181" t="s">
        <v>1124</v>
      </c>
      <c r="W181" t="s">
        <v>1125</v>
      </c>
      <c r="X181">
        <v>11</v>
      </c>
      <c r="Y181" t="s">
        <v>1126</v>
      </c>
      <c r="Z181" t="s">
        <v>1134</v>
      </c>
      <c r="AA181">
        <v>2.5</v>
      </c>
    </row>
    <row r="182" spans="1:27" x14ac:dyDescent="0.3">
      <c r="A182" t="s">
        <v>167</v>
      </c>
      <c r="B182" t="s">
        <v>1357</v>
      </c>
      <c r="C182" t="s">
        <v>1069</v>
      </c>
      <c r="D182" t="s">
        <v>1116</v>
      </c>
      <c r="E182" t="s">
        <v>1225</v>
      </c>
      <c r="F182" s="1">
        <v>46281.269444444442</v>
      </c>
      <c r="G182" s="1">
        <v>46281.276388888888</v>
      </c>
      <c r="H182">
        <v>7</v>
      </c>
      <c r="I182">
        <v>10</v>
      </c>
      <c r="J182" t="b">
        <v>0</v>
      </c>
      <c r="K182" t="b">
        <v>0</v>
      </c>
      <c r="L182" t="b">
        <v>0</v>
      </c>
      <c r="M182">
        <v>4</v>
      </c>
      <c r="N182" t="s">
        <v>1118</v>
      </c>
      <c r="O182" s="1">
        <v>46281.256944444453</v>
      </c>
      <c r="P182" t="b">
        <v>0</v>
      </c>
      <c r="Q182" t="s">
        <v>1151</v>
      </c>
      <c r="R182" t="s">
        <v>1120</v>
      </c>
      <c r="S182" t="s">
        <v>1152</v>
      </c>
      <c r="T182" t="s">
        <v>1140</v>
      </c>
      <c r="U182" t="s">
        <v>1172</v>
      </c>
      <c r="V182" t="s">
        <v>1124</v>
      </c>
      <c r="W182" t="s">
        <v>1125</v>
      </c>
      <c r="X182">
        <v>6</v>
      </c>
      <c r="Y182" t="s">
        <v>1161</v>
      </c>
      <c r="Z182" t="s">
        <v>1147</v>
      </c>
      <c r="AA182">
        <v>1.428571428571429</v>
      </c>
    </row>
    <row r="183" spans="1:27" x14ac:dyDescent="0.3">
      <c r="A183" t="s">
        <v>530</v>
      </c>
      <c r="B183" t="s">
        <v>1297</v>
      </c>
      <c r="C183" t="s">
        <v>1066</v>
      </c>
      <c r="D183" t="s">
        <v>1116</v>
      </c>
      <c r="E183" t="s">
        <v>1358</v>
      </c>
      <c r="F183" s="1">
        <v>46290.045138888891</v>
      </c>
      <c r="G183" s="1">
        <v>46290.052083333343</v>
      </c>
      <c r="H183">
        <v>6</v>
      </c>
      <c r="I183">
        <v>10</v>
      </c>
      <c r="J183" t="b">
        <v>0</v>
      </c>
      <c r="K183" t="b">
        <v>0</v>
      </c>
      <c r="L183" t="b">
        <v>0</v>
      </c>
      <c r="M183">
        <v>15</v>
      </c>
      <c r="N183" t="s">
        <v>1155</v>
      </c>
      <c r="O183" s="1">
        <v>46289.979861111111</v>
      </c>
      <c r="P183" t="b">
        <v>0</v>
      </c>
      <c r="Q183" t="s">
        <v>1145</v>
      </c>
      <c r="R183" t="s">
        <v>1131</v>
      </c>
      <c r="S183" t="s">
        <v>1152</v>
      </c>
      <c r="T183" t="s">
        <v>1122</v>
      </c>
      <c r="U183" t="s">
        <v>1247</v>
      </c>
      <c r="V183" t="s">
        <v>1124</v>
      </c>
      <c r="W183" t="s">
        <v>1125</v>
      </c>
      <c r="X183">
        <v>23</v>
      </c>
      <c r="Y183" t="s">
        <v>1146</v>
      </c>
      <c r="Z183" t="s">
        <v>1127</v>
      </c>
      <c r="AA183">
        <v>1.666666666666667</v>
      </c>
    </row>
    <row r="184" spans="1:27" x14ac:dyDescent="0.3">
      <c r="A184" t="s">
        <v>859</v>
      </c>
      <c r="B184" t="s">
        <v>1359</v>
      </c>
      <c r="C184" t="s">
        <v>1071</v>
      </c>
      <c r="D184" t="s">
        <v>1116</v>
      </c>
      <c r="E184" t="s">
        <v>1163</v>
      </c>
      <c r="F184" s="1">
        <v>46267.95</v>
      </c>
      <c r="G184" s="1">
        <v>46267.956944444442</v>
      </c>
      <c r="H184">
        <v>2</v>
      </c>
      <c r="I184">
        <v>10</v>
      </c>
      <c r="J184" t="b">
        <v>0</v>
      </c>
      <c r="K184" t="b">
        <v>0</v>
      </c>
      <c r="L184" t="b">
        <v>0</v>
      </c>
      <c r="M184">
        <v>6</v>
      </c>
      <c r="N184" t="s">
        <v>1130</v>
      </c>
      <c r="O184" s="1">
        <v>46267.872916666667</v>
      </c>
      <c r="P184" t="b">
        <v>0</v>
      </c>
      <c r="Q184" t="s">
        <v>1119</v>
      </c>
      <c r="R184" t="s">
        <v>1131</v>
      </c>
      <c r="S184" t="s">
        <v>1132</v>
      </c>
      <c r="T184" t="s">
        <v>1122</v>
      </c>
      <c r="U184" t="s">
        <v>1145</v>
      </c>
      <c r="V184" t="s">
        <v>1124</v>
      </c>
      <c r="W184" t="s">
        <v>1125</v>
      </c>
      <c r="X184">
        <v>20</v>
      </c>
      <c r="Y184" t="s">
        <v>1161</v>
      </c>
      <c r="Z184" t="s">
        <v>1134</v>
      </c>
      <c r="AA184">
        <v>5</v>
      </c>
    </row>
    <row r="185" spans="1:27" x14ac:dyDescent="0.3">
      <c r="A185" t="s">
        <v>443</v>
      </c>
      <c r="B185" t="s">
        <v>1291</v>
      </c>
      <c r="C185" t="s">
        <v>1065</v>
      </c>
      <c r="D185" t="s">
        <v>1116</v>
      </c>
      <c r="E185" t="s">
        <v>1356</v>
      </c>
      <c r="F185" s="1">
        <v>46290.449305555558</v>
      </c>
      <c r="G185" s="1">
        <v>46290.456250000003</v>
      </c>
      <c r="H185">
        <v>3</v>
      </c>
      <c r="I185">
        <v>10</v>
      </c>
      <c r="J185" t="b">
        <v>0</v>
      </c>
      <c r="K185" t="b">
        <v>0</v>
      </c>
      <c r="L185" t="b">
        <v>0</v>
      </c>
      <c r="M185">
        <v>10</v>
      </c>
      <c r="N185" t="s">
        <v>1118</v>
      </c>
      <c r="O185" s="1">
        <v>46290.342361111107</v>
      </c>
      <c r="P185" t="b">
        <v>0</v>
      </c>
      <c r="Q185" t="s">
        <v>1145</v>
      </c>
      <c r="R185" t="s">
        <v>1120</v>
      </c>
      <c r="S185" t="s">
        <v>1132</v>
      </c>
      <c r="T185" t="s">
        <v>1180</v>
      </c>
      <c r="U185" t="s">
        <v>1247</v>
      </c>
      <c r="V185" t="s">
        <v>1124</v>
      </c>
      <c r="W185" t="s">
        <v>1125</v>
      </c>
      <c r="X185">
        <v>8</v>
      </c>
      <c r="Y185" t="s">
        <v>1142</v>
      </c>
      <c r="Z185" t="s">
        <v>1134</v>
      </c>
      <c r="AA185">
        <v>3.333333333333333</v>
      </c>
    </row>
    <row r="186" spans="1:27" x14ac:dyDescent="0.3">
      <c r="A186" t="s">
        <v>431</v>
      </c>
      <c r="B186" t="s">
        <v>1360</v>
      </c>
      <c r="C186" t="s">
        <v>1088</v>
      </c>
      <c r="D186" t="s">
        <v>1255</v>
      </c>
      <c r="E186" t="s">
        <v>1272</v>
      </c>
      <c r="F186" s="1">
        <v>46274.289583333331</v>
      </c>
      <c r="G186" s="1">
        <v>46274.296527777777</v>
      </c>
      <c r="H186">
        <v>3</v>
      </c>
      <c r="I186">
        <v>10</v>
      </c>
      <c r="J186" t="b">
        <v>0</v>
      </c>
      <c r="K186" t="b">
        <v>0</v>
      </c>
      <c r="L186" t="b">
        <v>0</v>
      </c>
      <c r="M186">
        <v>4</v>
      </c>
      <c r="N186" t="s">
        <v>1118</v>
      </c>
      <c r="O186" s="1">
        <v>46274.209027777782</v>
      </c>
      <c r="P186" t="b">
        <v>0</v>
      </c>
      <c r="Q186" t="s">
        <v>1179</v>
      </c>
      <c r="R186" t="s">
        <v>1120</v>
      </c>
      <c r="S186" t="s">
        <v>1157</v>
      </c>
      <c r="T186" t="s">
        <v>1140</v>
      </c>
      <c r="U186" t="s">
        <v>1123</v>
      </c>
      <c r="V186" t="s">
        <v>1141</v>
      </c>
      <c r="W186" t="s">
        <v>1257</v>
      </c>
      <c r="X186">
        <v>5</v>
      </c>
      <c r="Y186" t="s">
        <v>1161</v>
      </c>
      <c r="Z186" t="s">
        <v>1147</v>
      </c>
      <c r="AA186">
        <v>3.333333333333333</v>
      </c>
    </row>
    <row r="187" spans="1:27" x14ac:dyDescent="0.3">
      <c r="A187" t="s">
        <v>415</v>
      </c>
      <c r="B187" t="s">
        <v>1361</v>
      </c>
      <c r="C187" t="s">
        <v>1062</v>
      </c>
      <c r="D187" t="s">
        <v>1136</v>
      </c>
      <c r="E187" t="s">
        <v>1259</v>
      </c>
      <c r="F187" s="1">
        <v>46290.526388888888</v>
      </c>
      <c r="G187" s="1">
        <v>46290.533333333333</v>
      </c>
      <c r="H187">
        <v>3</v>
      </c>
      <c r="I187">
        <v>10</v>
      </c>
      <c r="J187" t="b">
        <v>0</v>
      </c>
      <c r="K187" t="b">
        <v>0</v>
      </c>
      <c r="L187" t="b">
        <v>0</v>
      </c>
      <c r="M187">
        <v>4</v>
      </c>
      <c r="N187" t="s">
        <v>1168</v>
      </c>
      <c r="O187" s="1">
        <v>46290.427777777782</v>
      </c>
      <c r="P187" t="b">
        <v>0</v>
      </c>
      <c r="Q187" t="s">
        <v>1179</v>
      </c>
      <c r="R187" t="s">
        <v>1120</v>
      </c>
      <c r="S187" t="s">
        <v>1132</v>
      </c>
      <c r="T187" t="s">
        <v>1122</v>
      </c>
      <c r="U187" t="s">
        <v>1123</v>
      </c>
      <c r="V187" t="s">
        <v>1141</v>
      </c>
      <c r="W187" t="s">
        <v>1125</v>
      </c>
      <c r="X187">
        <v>10</v>
      </c>
      <c r="Y187" t="s">
        <v>1142</v>
      </c>
      <c r="Z187" t="s">
        <v>1147</v>
      </c>
      <c r="AA187">
        <v>3.333333333333333</v>
      </c>
    </row>
    <row r="188" spans="1:27" x14ac:dyDescent="0.3">
      <c r="A188" t="s">
        <v>1039</v>
      </c>
      <c r="B188" t="s">
        <v>1362</v>
      </c>
      <c r="C188" t="s">
        <v>1062</v>
      </c>
      <c r="D188" t="s">
        <v>1238</v>
      </c>
      <c r="E188" t="s">
        <v>1317</v>
      </c>
      <c r="F188" s="1">
        <v>46284.59097222222</v>
      </c>
      <c r="G188" s="1">
        <v>46284.597916666673</v>
      </c>
      <c r="H188">
        <v>5</v>
      </c>
      <c r="I188">
        <v>10</v>
      </c>
      <c r="J188" t="b">
        <v>0</v>
      </c>
      <c r="K188" t="b">
        <v>0</v>
      </c>
      <c r="L188" t="b">
        <v>0</v>
      </c>
      <c r="M188">
        <v>1</v>
      </c>
      <c r="N188" t="s">
        <v>1118</v>
      </c>
      <c r="O188" s="1">
        <v>46284.560416666667</v>
      </c>
      <c r="P188" t="b">
        <v>0</v>
      </c>
      <c r="Q188" t="s">
        <v>1156</v>
      </c>
      <c r="R188" t="s">
        <v>1120</v>
      </c>
      <c r="S188" t="s">
        <v>1152</v>
      </c>
      <c r="T188" t="s">
        <v>1122</v>
      </c>
      <c r="U188" t="s">
        <v>1123</v>
      </c>
      <c r="V188" t="s">
        <v>1151</v>
      </c>
      <c r="W188" t="s">
        <v>1131</v>
      </c>
      <c r="X188">
        <v>13</v>
      </c>
      <c r="Y188" t="s">
        <v>1173</v>
      </c>
      <c r="Z188" t="s">
        <v>1147</v>
      </c>
      <c r="AA188">
        <v>2</v>
      </c>
    </row>
    <row r="189" spans="1:27" x14ac:dyDescent="0.3">
      <c r="A189" t="s">
        <v>1042</v>
      </c>
      <c r="B189" t="s">
        <v>1217</v>
      </c>
      <c r="C189" t="s">
        <v>1059</v>
      </c>
      <c r="D189" t="s">
        <v>1116</v>
      </c>
      <c r="E189" t="s">
        <v>1221</v>
      </c>
      <c r="F189" s="1">
        <v>46271.227083333331</v>
      </c>
      <c r="G189" s="1">
        <v>46271.234027777777</v>
      </c>
      <c r="H189">
        <v>2</v>
      </c>
      <c r="I189">
        <v>10</v>
      </c>
      <c r="J189" t="b">
        <v>0</v>
      </c>
      <c r="K189" t="b">
        <v>0</v>
      </c>
      <c r="L189" t="b">
        <v>0</v>
      </c>
      <c r="M189">
        <v>5</v>
      </c>
      <c r="N189" t="s">
        <v>1168</v>
      </c>
      <c r="O189" s="1">
        <v>46271.106944444437</v>
      </c>
      <c r="P189" t="b">
        <v>0</v>
      </c>
      <c r="Q189" t="s">
        <v>1151</v>
      </c>
      <c r="R189" t="s">
        <v>1131</v>
      </c>
      <c r="S189" t="s">
        <v>1121</v>
      </c>
      <c r="T189" t="s">
        <v>1122</v>
      </c>
      <c r="U189" t="s">
        <v>1172</v>
      </c>
      <c r="V189" t="s">
        <v>1124</v>
      </c>
      <c r="W189" t="s">
        <v>1125</v>
      </c>
      <c r="X189">
        <v>2</v>
      </c>
      <c r="Y189" t="s">
        <v>1133</v>
      </c>
      <c r="Z189" t="s">
        <v>1147</v>
      </c>
      <c r="AA189">
        <v>5</v>
      </c>
    </row>
    <row r="190" spans="1:27" x14ac:dyDescent="0.3">
      <c r="A190" t="s">
        <v>54</v>
      </c>
      <c r="B190" t="s">
        <v>1153</v>
      </c>
      <c r="C190" t="s">
        <v>1057</v>
      </c>
      <c r="D190" t="s">
        <v>1116</v>
      </c>
      <c r="E190" t="s">
        <v>1184</v>
      </c>
      <c r="F190" s="1">
        <v>46280.282638888893</v>
      </c>
      <c r="G190" s="1">
        <v>46280.289583333331</v>
      </c>
      <c r="H190">
        <v>6</v>
      </c>
      <c r="I190">
        <v>10</v>
      </c>
      <c r="J190" t="b">
        <v>0</v>
      </c>
      <c r="K190" t="b">
        <v>0</v>
      </c>
      <c r="L190" t="b">
        <v>0</v>
      </c>
      <c r="M190">
        <v>10</v>
      </c>
      <c r="N190" t="s">
        <v>1155</v>
      </c>
      <c r="O190" s="1">
        <v>46280.222916666673</v>
      </c>
      <c r="P190" t="b">
        <v>0</v>
      </c>
      <c r="Q190" t="s">
        <v>1156</v>
      </c>
      <c r="R190" t="s">
        <v>1131</v>
      </c>
      <c r="S190" t="s">
        <v>1132</v>
      </c>
      <c r="T190" t="s">
        <v>1122</v>
      </c>
      <c r="U190" t="s">
        <v>1172</v>
      </c>
      <c r="V190" t="s">
        <v>1124</v>
      </c>
      <c r="W190" t="s">
        <v>1125</v>
      </c>
      <c r="X190">
        <v>5</v>
      </c>
      <c r="Y190" t="s">
        <v>1126</v>
      </c>
      <c r="Z190" t="s">
        <v>1134</v>
      </c>
      <c r="AA190">
        <v>1.666666666666667</v>
      </c>
    </row>
    <row r="191" spans="1:27" x14ac:dyDescent="0.3">
      <c r="A191" t="s">
        <v>1035</v>
      </c>
      <c r="B191" t="s">
        <v>1363</v>
      </c>
      <c r="C191" t="s">
        <v>1086</v>
      </c>
      <c r="D191" t="s">
        <v>1149</v>
      </c>
      <c r="E191" t="s">
        <v>1364</v>
      </c>
      <c r="F191" s="1">
        <v>46278.029861111107</v>
      </c>
      <c r="G191" s="1">
        <v>46278.036805555559</v>
      </c>
      <c r="H191">
        <v>4</v>
      </c>
      <c r="I191">
        <v>10</v>
      </c>
      <c r="J191" t="b">
        <v>0</v>
      </c>
      <c r="K191" t="b">
        <v>0</v>
      </c>
      <c r="L191" t="b">
        <v>0</v>
      </c>
      <c r="M191">
        <v>5</v>
      </c>
      <c r="N191" t="s">
        <v>1168</v>
      </c>
      <c r="O191" s="1">
        <v>46277.988888888889</v>
      </c>
      <c r="P191" t="b">
        <v>0</v>
      </c>
      <c r="Q191" t="s">
        <v>1179</v>
      </c>
      <c r="R191" t="s">
        <v>1139</v>
      </c>
      <c r="S191" t="s">
        <v>1121</v>
      </c>
      <c r="T191" t="s">
        <v>1122</v>
      </c>
      <c r="U191" t="s">
        <v>1145</v>
      </c>
      <c r="V191" t="s">
        <v>1152</v>
      </c>
      <c r="W191" t="s">
        <v>1145</v>
      </c>
      <c r="X191">
        <v>23</v>
      </c>
      <c r="Y191" t="s">
        <v>1173</v>
      </c>
      <c r="Z191" t="s">
        <v>1147</v>
      </c>
      <c r="AA191">
        <v>2.5</v>
      </c>
    </row>
    <row r="192" spans="1:27" x14ac:dyDescent="0.3">
      <c r="A192" t="s">
        <v>999</v>
      </c>
      <c r="B192" t="s">
        <v>1365</v>
      </c>
      <c r="C192" t="s">
        <v>1059</v>
      </c>
      <c r="D192" t="s">
        <v>1116</v>
      </c>
      <c r="E192" t="s">
        <v>1200</v>
      </c>
      <c r="F192" s="1">
        <v>46276.870833333327</v>
      </c>
      <c r="G192" s="1">
        <v>46276.87777777778</v>
      </c>
      <c r="H192">
        <v>3</v>
      </c>
      <c r="I192">
        <v>10</v>
      </c>
      <c r="J192" t="b">
        <v>0</v>
      </c>
      <c r="K192" t="b">
        <v>0</v>
      </c>
      <c r="L192" t="b">
        <v>0</v>
      </c>
      <c r="M192">
        <v>12</v>
      </c>
      <c r="N192" t="s">
        <v>1118</v>
      </c>
      <c r="O192" s="1">
        <v>46276.809027777781</v>
      </c>
      <c r="P192" t="b">
        <v>0</v>
      </c>
      <c r="Q192" t="s">
        <v>1156</v>
      </c>
      <c r="R192" t="s">
        <v>1139</v>
      </c>
      <c r="S192" t="s">
        <v>1132</v>
      </c>
      <c r="T192" t="s">
        <v>1122</v>
      </c>
      <c r="U192" t="s">
        <v>1172</v>
      </c>
      <c r="V192" t="s">
        <v>1124</v>
      </c>
      <c r="W192" t="s">
        <v>1125</v>
      </c>
      <c r="X192">
        <v>19</v>
      </c>
      <c r="Y192" t="s">
        <v>1142</v>
      </c>
      <c r="Z192" t="s">
        <v>1127</v>
      </c>
      <c r="AA192">
        <v>3.333333333333333</v>
      </c>
    </row>
    <row r="193" spans="1:27" x14ac:dyDescent="0.3">
      <c r="A193" t="s">
        <v>429</v>
      </c>
      <c r="B193" t="s">
        <v>1360</v>
      </c>
      <c r="C193" t="s">
        <v>1078</v>
      </c>
      <c r="D193" t="s">
        <v>1136</v>
      </c>
      <c r="E193" t="s">
        <v>1366</v>
      </c>
      <c r="F193" s="1">
        <v>46274.245138888888</v>
      </c>
      <c r="G193" s="1">
        <v>46274.252083333333</v>
      </c>
      <c r="H193">
        <v>5</v>
      </c>
      <c r="I193">
        <v>10</v>
      </c>
      <c r="J193" t="b">
        <v>0</v>
      </c>
      <c r="K193" t="b">
        <v>0</v>
      </c>
      <c r="L193" t="b">
        <v>0</v>
      </c>
      <c r="M193">
        <v>4</v>
      </c>
      <c r="N193" t="s">
        <v>1118</v>
      </c>
      <c r="O193" s="1">
        <v>46274.209027777782</v>
      </c>
      <c r="P193" t="b">
        <v>0</v>
      </c>
      <c r="Q193" t="s">
        <v>1151</v>
      </c>
      <c r="R193" t="s">
        <v>1120</v>
      </c>
      <c r="S193" t="s">
        <v>1145</v>
      </c>
      <c r="T193" t="s">
        <v>1145</v>
      </c>
      <c r="U193" t="s">
        <v>1172</v>
      </c>
      <c r="V193" t="s">
        <v>1141</v>
      </c>
      <c r="W193" t="s">
        <v>1125</v>
      </c>
      <c r="X193">
        <v>5</v>
      </c>
      <c r="Y193" t="s">
        <v>1161</v>
      </c>
      <c r="Z193" t="s">
        <v>1147</v>
      </c>
      <c r="AA193">
        <v>2</v>
      </c>
    </row>
    <row r="194" spans="1:27" x14ac:dyDescent="0.3">
      <c r="A194" t="s">
        <v>838</v>
      </c>
      <c r="B194" t="s">
        <v>1193</v>
      </c>
      <c r="C194" t="s">
        <v>1080</v>
      </c>
      <c r="D194" t="s">
        <v>1136</v>
      </c>
      <c r="E194" t="s">
        <v>1137</v>
      </c>
      <c r="F194" s="1">
        <v>46283.481249999997</v>
      </c>
      <c r="G194" s="1">
        <v>46283.488194444442</v>
      </c>
      <c r="H194">
        <v>7</v>
      </c>
      <c r="I194">
        <v>10</v>
      </c>
      <c r="J194" t="b">
        <v>0</v>
      </c>
      <c r="K194" t="b">
        <v>0</v>
      </c>
      <c r="L194" t="b">
        <v>0</v>
      </c>
      <c r="M194">
        <v>6</v>
      </c>
      <c r="N194" t="s">
        <v>1155</v>
      </c>
      <c r="O194" s="1">
        <v>46283.459027777782</v>
      </c>
      <c r="P194" t="b">
        <v>0</v>
      </c>
      <c r="Q194" t="s">
        <v>1138</v>
      </c>
      <c r="R194" t="s">
        <v>1139</v>
      </c>
      <c r="S194" t="s">
        <v>1132</v>
      </c>
      <c r="T194" t="s">
        <v>1122</v>
      </c>
      <c r="U194" t="s">
        <v>1247</v>
      </c>
      <c r="V194" t="s">
        <v>1141</v>
      </c>
      <c r="W194" t="s">
        <v>1125</v>
      </c>
      <c r="X194">
        <v>11</v>
      </c>
      <c r="Y194" t="s">
        <v>1142</v>
      </c>
      <c r="Z194" t="s">
        <v>1134</v>
      </c>
      <c r="AA194">
        <v>1.428571428571429</v>
      </c>
    </row>
    <row r="195" spans="1:27" x14ac:dyDescent="0.3">
      <c r="A195" t="s">
        <v>180</v>
      </c>
      <c r="B195" t="s">
        <v>1276</v>
      </c>
      <c r="C195" t="s">
        <v>1078</v>
      </c>
      <c r="D195" t="s">
        <v>1136</v>
      </c>
      <c r="E195" t="s">
        <v>1358</v>
      </c>
      <c r="F195" s="1">
        <v>46277.46597222222</v>
      </c>
      <c r="G195" s="1">
        <v>46277.472916666673</v>
      </c>
      <c r="H195">
        <v>2</v>
      </c>
      <c r="I195">
        <v>10</v>
      </c>
      <c r="J195" t="b">
        <v>0</v>
      </c>
      <c r="K195" t="b">
        <v>0</v>
      </c>
      <c r="L195" t="b">
        <v>0</v>
      </c>
      <c r="M195">
        <v>6</v>
      </c>
      <c r="N195" t="s">
        <v>1118</v>
      </c>
      <c r="O195" s="1">
        <v>46277.459027777782</v>
      </c>
      <c r="P195" t="b">
        <v>0</v>
      </c>
      <c r="Q195" t="s">
        <v>1145</v>
      </c>
      <c r="R195" t="s">
        <v>1131</v>
      </c>
      <c r="S195" t="s">
        <v>1152</v>
      </c>
      <c r="T195" t="s">
        <v>1145</v>
      </c>
      <c r="U195" t="s">
        <v>1172</v>
      </c>
      <c r="V195" t="s">
        <v>1141</v>
      </c>
      <c r="W195" t="s">
        <v>1125</v>
      </c>
      <c r="X195">
        <v>11</v>
      </c>
      <c r="Y195" t="s">
        <v>1173</v>
      </c>
      <c r="Z195" t="s">
        <v>1134</v>
      </c>
      <c r="AA195">
        <v>5</v>
      </c>
    </row>
    <row r="196" spans="1:27" x14ac:dyDescent="0.3">
      <c r="A196" t="s">
        <v>518</v>
      </c>
      <c r="B196" t="s">
        <v>1367</v>
      </c>
      <c r="C196" t="s">
        <v>1088</v>
      </c>
      <c r="D196" t="s">
        <v>1136</v>
      </c>
      <c r="E196" t="s">
        <v>1265</v>
      </c>
      <c r="F196" s="1">
        <v>46278.465277777781</v>
      </c>
      <c r="G196" s="1">
        <v>46278.472222222219</v>
      </c>
      <c r="H196">
        <v>4</v>
      </c>
      <c r="I196">
        <v>10</v>
      </c>
      <c r="J196" t="b">
        <v>0</v>
      </c>
      <c r="K196" t="b">
        <v>0</v>
      </c>
      <c r="L196" t="b">
        <v>0</v>
      </c>
      <c r="M196">
        <v>15</v>
      </c>
      <c r="N196" t="s">
        <v>1155</v>
      </c>
      <c r="O196" s="1">
        <v>46278.393055555563</v>
      </c>
      <c r="P196" t="b">
        <v>0</v>
      </c>
      <c r="Q196" t="s">
        <v>1179</v>
      </c>
      <c r="R196" t="s">
        <v>1139</v>
      </c>
      <c r="S196" t="s">
        <v>1157</v>
      </c>
      <c r="T196" t="s">
        <v>1140</v>
      </c>
      <c r="U196" t="s">
        <v>1123</v>
      </c>
      <c r="V196" t="s">
        <v>1141</v>
      </c>
      <c r="W196" t="s">
        <v>1125</v>
      </c>
      <c r="X196">
        <v>9</v>
      </c>
      <c r="Y196" t="s">
        <v>1133</v>
      </c>
      <c r="Z196" t="s">
        <v>1127</v>
      </c>
      <c r="AA196">
        <v>2.5</v>
      </c>
    </row>
    <row r="197" spans="1:27" x14ac:dyDescent="0.3">
      <c r="A197" t="s">
        <v>517</v>
      </c>
      <c r="B197" t="s">
        <v>1367</v>
      </c>
      <c r="C197" t="s">
        <v>1068</v>
      </c>
      <c r="D197" t="s">
        <v>1238</v>
      </c>
      <c r="E197" t="s">
        <v>1307</v>
      </c>
      <c r="F197" s="1">
        <v>46278.431944444441</v>
      </c>
      <c r="G197" s="1">
        <v>46278.438888888893</v>
      </c>
      <c r="H197">
        <v>1</v>
      </c>
      <c r="I197">
        <v>10</v>
      </c>
      <c r="J197" t="b">
        <v>0</v>
      </c>
      <c r="K197" t="b">
        <v>0</v>
      </c>
      <c r="L197" t="b">
        <v>0</v>
      </c>
      <c r="M197">
        <v>15</v>
      </c>
      <c r="N197" t="s">
        <v>1155</v>
      </c>
      <c r="O197" s="1">
        <v>46278.393055555563</v>
      </c>
      <c r="P197" t="b">
        <v>0</v>
      </c>
      <c r="Q197" t="s">
        <v>1151</v>
      </c>
      <c r="R197" t="s">
        <v>1139</v>
      </c>
      <c r="S197" t="s">
        <v>1121</v>
      </c>
      <c r="T197" t="s">
        <v>1122</v>
      </c>
      <c r="U197" t="s">
        <v>1123</v>
      </c>
      <c r="V197" t="s">
        <v>1151</v>
      </c>
      <c r="W197" t="s">
        <v>1131</v>
      </c>
      <c r="X197">
        <v>9</v>
      </c>
      <c r="Y197" t="s">
        <v>1133</v>
      </c>
      <c r="Z197" t="s">
        <v>1127</v>
      </c>
      <c r="AA197">
        <v>10</v>
      </c>
    </row>
    <row r="198" spans="1:27" x14ac:dyDescent="0.3">
      <c r="A198" t="s">
        <v>345</v>
      </c>
      <c r="B198" t="s">
        <v>1368</v>
      </c>
      <c r="C198" t="s">
        <v>1072</v>
      </c>
      <c r="D198" t="s">
        <v>1136</v>
      </c>
      <c r="E198" t="s">
        <v>1299</v>
      </c>
      <c r="F198" s="1">
        <v>46288.865972222222</v>
      </c>
      <c r="G198" s="1">
        <v>46288.872916666667</v>
      </c>
      <c r="H198">
        <v>3</v>
      </c>
      <c r="I198">
        <v>10</v>
      </c>
      <c r="J198" t="b">
        <v>0</v>
      </c>
      <c r="K198" t="b">
        <v>0</v>
      </c>
      <c r="L198" t="b">
        <v>0</v>
      </c>
      <c r="M198">
        <v>20</v>
      </c>
      <c r="N198" t="s">
        <v>1130</v>
      </c>
      <c r="O198" s="1">
        <v>46288.788888888892</v>
      </c>
      <c r="P198" t="b">
        <v>0</v>
      </c>
      <c r="Q198" t="s">
        <v>1156</v>
      </c>
      <c r="R198" t="s">
        <v>1120</v>
      </c>
      <c r="S198" t="s">
        <v>1121</v>
      </c>
      <c r="T198" t="s">
        <v>1180</v>
      </c>
      <c r="U198" t="s">
        <v>1172</v>
      </c>
      <c r="V198" t="s">
        <v>1141</v>
      </c>
      <c r="W198" t="s">
        <v>1125</v>
      </c>
      <c r="X198">
        <v>18</v>
      </c>
      <c r="Y198" t="s">
        <v>1161</v>
      </c>
      <c r="Z198" t="s">
        <v>1127</v>
      </c>
      <c r="AA198">
        <v>3.333333333333333</v>
      </c>
    </row>
    <row r="199" spans="1:27" x14ac:dyDescent="0.3">
      <c r="A199" t="s">
        <v>337</v>
      </c>
      <c r="B199" t="s">
        <v>1195</v>
      </c>
      <c r="C199" t="s">
        <v>1079</v>
      </c>
      <c r="D199" t="s">
        <v>1238</v>
      </c>
      <c r="E199" t="s">
        <v>1256</v>
      </c>
      <c r="F199" s="1">
        <v>46290.368750000001</v>
      </c>
      <c r="G199" s="1">
        <v>46290.375694444447</v>
      </c>
      <c r="H199">
        <v>4</v>
      </c>
      <c r="I199">
        <v>10</v>
      </c>
      <c r="J199" t="b">
        <v>0</v>
      </c>
      <c r="K199" t="b">
        <v>0</v>
      </c>
      <c r="L199" t="b">
        <v>0</v>
      </c>
      <c r="M199">
        <v>20</v>
      </c>
      <c r="N199" t="s">
        <v>1130</v>
      </c>
      <c r="O199" s="1">
        <v>46290.347916666673</v>
      </c>
      <c r="P199" t="b">
        <v>0</v>
      </c>
      <c r="Q199" t="s">
        <v>1145</v>
      </c>
      <c r="R199" t="s">
        <v>1139</v>
      </c>
      <c r="S199" t="s">
        <v>1157</v>
      </c>
      <c r="T199" t="s">
        <v>1145</v>
      </c>
      <c r="U199" t="s">
        <v>1123</v>
      </c>
      <c r="V199" t="s">
        <v>1151</v>
      </c>
      <c r="W199" t="s">
        <v>1131</v>
      </c>
      <c r="X199">
        <v>8</v>
      </c>
      <c r="Y199" t="s">
        <v>1142</v>
      </c>
      <c r="Z199" t="s">
        <v>1127</v>
      </c>
      <c r="AA199">
        <v>2.5</v>
      </c>
    </row>
    <row r="200" spans="1:27" x14ac:dyDescent="0.3">
      <c r="A200" t="s">
        <v>810</v>
      </c>
      <c r="B200" t="s">
        <v>1369</v>
      </c>
      <c r="C200" t="s">
        <v>1081</v>
      </c>
      <c r="D200" t="s">
        <v>1136</v>
      </c>
      <c r="E200" t="s">
        <v>1165</v>
      </c>
      <c r="F200" s="1">
        <v>46274.62222222222</v>
      </c>
      <c r="G200" s="1">
        <v>46274.629166666673</v>
      </c>
      <c r="H200">
        <v>4</v>
      </c>
      <c r="I200">
        <v>10</v>
      </c>
      <c r="J200" t="b">
        <v>0</v>
      </c>
      <c r="K200" t="b">
        <v>0</v>
      </c>
      <c r="L200" t="b">
        <v>0</v>
      </c>
      <c r="M200">
        <v>1</v>
      </c>
      <c r="N200" t="s">
        <v>1118</v>
      </c>
      <c r="O200" s="1">
        <v>46274.616666666669</v>
      </c>
      <c r="P200" t="b">
        <v>0</v>
      </c>
      <c r="Q200" t="s">
        <v>1138</v>
      </c>
      <c r="R200" t="s">
        <v>1120</v>
      </c>
      <c r="S200" t="s">
        <v>1152</v>
      </c>
      <c r="T200" t="s">
        <v>1180</v>
      </c>
      <c r="U200" t="s">
        <v>1247</v>
      </c>
      <c r="V200" t="s">
        <v>1141</v>
      </c>
      <c r="W200" t="s">
        <v>1125</v>
      </c>
      <c r="X200">
        <v>14</v>
      </c>
      <c r="Y200" t="s">
        <v>1161</v>
      </c>
      <c r="Z200" t="s">
        <v>1147</v>
      </c>
      <c r="AA200">
        <v>2.5</v>
      </c>
    </row>
    <row r="201" spans="1:27" x14ac:dyDescent="0.3">
      <c r="A201" t="s">
        <v>199</v>
      </c>
      <c r="B201" t="s">
        <v>1234</v>
      </c>
      <c r="C201" t="s">
        <v>1062</v>
      </c>
      <c r="D201" t="s">
        <v>1136</v>
      </c>
      <c r="E201" t="s">
        <v>1209</v>
      </c>
      <c r="F201" s="1">
        <v>46282.020833333343</v>
      </c>
      <c r="G201" s="1">
        <v>46282.027777777781</v>
      </c>
      <c r="H201">
        <v>3</v>
      </c>
      <c r="I201">
        <v>10</v>
      </c>
      <c r="J201" t="b">
        <v>0</v>
      </c>
      <c r="K201" t="b">
        <v>0</v>
      </c>
      <c r="L201" t="b">
        <v>0</v>
      </c>
      <c r="M201">
        <v>12</v>
      </c>
      <c r="N201" t="s">
        <v>1130</v>
      </c>
      <c r="P201" t="b">
        <v>0</v>
      </c>
      <c r="Q201" t="s">
        <v>1138</v>
      </c>
      <c r="R201" t="s">
        <v>1131</v>
      </c>
      <c r="S201" t="s">
        <v>1132</v>
      </c>
      <c r="T201" t="s">
        <v>1122</v>
      </c>
      <c r="U201" t="s">
        <v>1123</v>
      </c>
      <c r="V201" t="s">
        <v>1141</v>
      </c>
      <c r="W201" t="s">
        <v>1125</v>
      </c>
      <c r="Z201" t="s">
        <v>1127</v>
      </c>
      <c r="AA201">
        <v>3.333333333333333</v>
      </c>
    </row>
    <row r="202" spans="1:27" x14ac:dyDescent="0.3">
      <c r="A202" t="s">
        <v>552</v>
      </c>
      <c r="B202" t="s">
        <v>1323</v>
      </c>
      <c r="C202" t="s">
        <v>1074</v>
      </c>
      <c r="D202" t="s">
        <v>1116</v>
      </c>
      <c r="E202" t="s">
        <v>1317</v>
      </c>
      <c r="F202" s="1">
        <v>46280.95</v>
      </c>
      <c r="G202" s="1">
        <v>46280.956944444442</v>
      </c>
      <c r="H202">
        <v>4</v>
      </c>
      <c r="I202">
        <v>10</v>
      </c>
      <c r="J202" t="b">
        <v>0</v>
      </c>
      <c r="K202" t="b">
        <v>0</v>
      </c>
      <c r="L202" t="b">
        <v>0</v>
      </c>
      <c r="M202">
        <v>15</v>
      </c>
      <c r="N202" t="s">
        <v>1118</v>
      </c>
      <c r="O202" s="1">
        <v>46280.834722222222</v>
      </c>
      <c r="P202" t="b">
        <v>0</v>
      </c>
      <c r="Q202" t="s">
        <v>1156</v>
      </c>
      <c r="R202" t="s">
        <v>1120</v>
      </c>
      <c r="S202" t="s">
        <v>1152</v>
      </c>
      <c r="T202" t="s">
        <v>1145</v>
      </c>
      <c r="U202" t="s">
        <v>1145</v>
      </c>
      <c r="V202" t="s">
        <v>1124</v>
      </c>
      <c r="W202" t="s">
        <v>1125</v>
      </c>
      <c r="X202">
        <v>20</v>
      </c>
      <c r="Y202" t="s">
        <v>1126</v>
      </c>
      <c r="Z202" t="s">
        <v>1127</v>
      </c>
      <c r="AA202">
        <v>2.5</v>
      </c>
    </row>
    <row r="203" spans="1:27" x14ac:dyDescent="0.3">
      <c r="A203" t="s">
        <v>170</v>
      </c>
      <c r="B203" t="s">
        <v>1324</v>
      </c>
      <c r="C203" t="s">
        <v>1064</v>
      </c>
      <c r="D203" t="s">
        <v>1280</v>
      </c>
      <c r="E203" t="s">
        <v>1292</v>
      </c>
      <c r="F203" s="1">
        <v>46275.63958333333</v>
      </c>
      <c r="G203" s="1">
        <v>46275.646527777782</v>
      </c>
      <c r="H203">
        <v>6</v>
      </c>
      <c r="I203">
        <v>10</v>
      </c>
      <c r="J203" t="b">
        <v>0</v>
      </c>
      <c r="K203" t="b">
        <v>0</v>
      </c>
      <c r="L203" t="b">
        <v>0</v>
      </c>
      <c r="N203" t="s">
        <v>1155</v>
      </c>
      <c r="O203" s="1">
        <v>46275.525000000001</v>
      </c>
      <c r="P203" t="b">
        <v>1</v>
      </c>
      <c r="Q203" t="s">
        <v>1179</v>
      </c>
      <c r="R203" t="s">
        <v>1131</v>
      </c>
      <c r="S203" t="s">
        <v>1152</v>
      </c>
      <c r="T203" t="s">
        <v>1122</v>
      </c>
      <c r="U203" t="s">
        <v>1123</v>
      </c>
      <c r="V203" t="s">
        <v>1151</v>
      </c>
      <c r="W203" t="s">
        <v>1257</v>
      </c>
      <c r="X203">
        <v>12</v>
      </c>
      <c r="Y203" t="s">
        <v>1146</v>
      </c>
      <c r="AA203">
        <v>1.666666666666667</v>
      </c>
    </row>
    <row r="204" spans="1:27" x14ac:dyDescent="0.3">
      <c r="A204" t="s">
        <v>310</v>
      </c>
      <c r="B204" t="s">
        <v>1350</v>
      </c>
      <c r="C204" t="s">
        <v>1088</v>
      </c>
      <c r="D204" t="s">
        <v>1255</v>
      </c>
      <c r="E204" t="s">
        <v>1235</v>
      </c>
      <c r="F204" s="1">
        <v>46277.262499999997</v>
      </c>
      <c r="G204" s="1">
        <v>46277.269444444442</v>
      </c>
      <c r="H204">
        <v>5</v>
      </c>
      <c r="I204">
        <v>10</v>
      </c>
      <c r="J204" t="b">
        <v>0</v>
      </c>
      <c r="K204" t="b">
        <v>0</v>
      </c>
      <c r="L204" t="b">
        <v>0</v>
      </c>
      <c r="M204">
        <v>8</v>
      </c>
      <c r="N204" t="s">
        <v>1130</v>
      </c>
      <c r="O204" s="1">
        <v>46277.207638888889</v>
      </c>
      <c r="P204" t="b">
        <v>0</v>
      </c>
      <c r="Q204" t="s">
        <v>1151</v>
      </c>
      <c r="R204" t="s">
        <v>1131</v>
      </c>
      <c r="S204" t="s">
        <v>1152</v>
      </c>
      <c r="T204" t="s">
        <v>1140</v>
      </c>
      <c r="U204" t="s">
        <v>1123</v>
      </c>
      <c r="V204" t="s">
        <v>1141</v>
      </c>
      <c r="W204" t="s">
        <v>1257</v>
      </c>
      <c r="X204">
        <v>4</v>
      </c>
      <c r="Y204" t="s">
        <v>1173</v>
      </c>
      <c r="Z204" t="s">
        <v>1134</v>
      </c>
      <c r="AA204">
        <v>2</v>
      </c>
    </row>
    <row r="205" spans="1:27" x14ac:dyDescent="0.3">
      <c r="A205" t="s">
        <v>576</v>
      </c>
      <c r="B205" t="s">
        <v>1266</v>
      </c>
      <c r="C205" t="s">
        <v>1064</v>
      </c>
      <c r="D205" t="s">
        <v>1280</v>
      </c>
      <c r="E205" t="s">
        <v>1249</v>
      </c>
      <c r="F205" s="1">
        <v>46287.54583333333</v>
      </c>
      <c r="G205" s="1">
        <v>46287.552777777782</v>
      </c>
      <c r="H205">
        <v>6</v>
      </c>
      <c r="I205">
        <v>10</v>
      </c>
      <c r="J205" t="b">
        <v>0</v>
      </c>
      <c r="K205" t="b">
        <v>0</v>
      </c>
      <c r="L205" t="b">
        <v>0</v>
      </c>
      <c r="M205">
        <v>10</v>
      </c>
      <c r="N205" t="s">
        <v>1118</v>
      </c>
      <c r="O205" s="1">
        <v>46287.481944444437</v>
      </c>
      <c r="P205" t="b">
        <v>0</v>
      </c>
      <c r="Q205" t="s">
        <v>1169</v>
      </c>
      <c r="R205" t="s">
        <v>1131</v>
      </c>
      <c r="S205" t="s">
        <v>1157</v>
      </c>
      <c r="T205" t="s">
        <v>1122</v>
      </c>
      <c r="U205" t="s">
        <v>1123</v>
      </c>
      <c r="V205" t="s">
        <v>1151</v>
      </c>
      <c r="W205" t="s">
        <v>1257</v>
      </c>
      <c r="X205">
        <v>11</v>
      </c>
      <c r="Y205" t="s">
        <v>1126</v>
      </c>
      <c r="Z205" t="s">
        <v>1134</v>
      </c>
      <c r="AA205">
        <v>1.666666666666667</v>
      </c>
    </row>
    <row r="206" spans="1:27" x14ac:dyDescent="0.3">
      <c r="A206" t="s">
        <v>322</v>
      </c>
      <c r="B206" t="s">
        <v>1313</v>
      </c>
      <c r="C206" t="s">
        <v>1081</v>
      </c>
      <c r="D206" t="s">
        <v>1136</v>
      </c>
      <c r="E206" t="s">
        <v>1246</v>
      </c>
      <c r="F206" s="1">
        <v>46290.811805555553</v>
      </c>
      <c r="G206" s="1">
        <v>46290.818749999999</v>
      </c>
      <c r="H206">
        <v>4</v>
      </c>
      <c r="I206">
        <v>10</v>
      </c>
      <c r="J206" t="b">
        <v>0</v>
      </c>
      <c r="K206" t="b">
        <v>0</v>
      </c>
      <c r="L206" t="b">
        <v>0</v>
      </c>
      <c r="M206">
        <v>4</v>
      </c>
      <c r="N206" t="s">
        <v>1130</v>
      </c>
      <c r="O206" s="1">
        <v>46290.799305555563</v>
      </c>
      <c r="P206" t="b">
        <v>0</v>
      </c>
      <c r="Q206" t="s">
        <v>1145</v>
      </c>
      <c r="R206" t="s">
        <v>1120</v>
      </c>
      <c r="S206" t="s">
        <v>1157</v>
      </c>
      <c r="T206" t="s">
        <v>1180</v>
      </c>
      <c r="U206" t="s">
        <v>1247</v>
      </c>
      <c r="V206" t="s">
        <v>1141</v>
      </c>
      <c r="W206" t="s">
        <v>1125</v>
      </c>
      <c r="X206">
        <v>19</v>
      </c>
      <c r="Y206" t="s">
        <v>1142</v>
      </c>
      <c r="Z206" t="s">
        <v>1147</v>
      </c>
      <c r="AA206">
        <v>2.5</v>
      </c>
    </row>
    <row r="207" spans="1:27" x14ac:dyDescent="0.3">
      <c r="A207" t="s">
        <v>231</v>
      </c>
      <c r="B207" t="s">
        <v>1160</v>
      </c>
      <c r="C207" t="s">
        <v>1075</v>
      </c>
      <c r="D207" t="s">
        <v>1136</v>
      </c>
      <c r="E207" t="s">
        <v>1198</v>
      </c>
      <c r="F207" s="1">
        <v>46274.54583333333</v>
      </c>
      <c r="G207" s="1">
        <v>46274.552777777782</v>
      </c>
      <c r="H207">
        <v>1</v>
      </c>
      <c r="I207">
        <v>10</v>
      </c>
      <c r="J207" t="b">
        <v>0</v>
      </c>
      <c r="K207" t="b">
        <v>0</v>
      </c>
      <c r="L207" t="b">
        <v>0</v>
      </c>
      <c r="M207">
        <v>10</v>
      </c>
      <c r="N207" t="s">
        <v>1155</v>
      </c>
      <c r="O207" s="1">
        <v>46274.531944444447</v>
      </c>
      <c r="P207" t="b">
        <v>0</v>
      </c>
      <c r="Q207" t="s">
        <v>1169</v>
      </c>
      <c r="R207" t="s">
        <v>1131</v>
      </c>
      <c r="S207" t="s">
        <v>1145</v>
      </c>
      <c r="T207" t="s">
        <v>1122</v>
      </c>
      <c r="U207" t="s">
        <v>1172</v>
      </c>
      <c r="V207" t="s">
        <v>1141</v>
      </c>
      <c r="W207" t="s">
        <v>1125</v>
      </c>
      <c r="X207">
        <v>12</v>
      </c>
      <c r="Y207" t="s">
        <v>1161</v>
      </c>
      <c r="Z207" t="s">
        <v>1134</v>
      </c>
      <c r="AA207">
        <v>10</v>
      </c>
    </row>
    <row r="208" spans="1:27" x14ac:dyDescent="0.3">
      <c r="A208" t="s">
        <v>725</v>
      </c>
      <c r="B208" t="s">
        <v>1370</v>
      </c>
      <c r="C208" t="s">
        <v>1057</v>
      </c>
      <c r="D208" t="s">
        <v>1255</v>
      </c>
      <c r="E208" t="s">
        <v>1371</v>
      </c>
      <c r="F208" s="1">
        <v>46280.080555555563</v>
      </c>
      <c r="G208" s="1">
        <v>46280.087500000001</v>
      </c>
      <c r="H208">
        <v>5</v>
      </c>
      <c r="I208">
        <v>10</v>
      </c>
      <c r="J208" t="b">
        <v>0</v>
      </c>
      <c r="K208" t="b">
        <v>0</v>
      </c>
      <c r="L208" t="b">
        <v>0</v>
      </c>
      <c r="M208">
        <v>6</v>
      </c>
      <c r="N208" t="s">
        <v>1168</v>
      </c>
      <c r="O208" s="1">
        <v>46280.078472222223</v>
      </c>
      <c r="P208" t="b">
        <v>0</v>
      </c>
      <c r="Q208" t="s">
        <v>1138</v>
      </c>
      <c r="R208" t="s">
        <v>1131</v>
      </c>
      <c r="S208" t="s">
        <v>1157</v>
      </c>
      <c r="T208" t="s">
        <v>1122</v>
      </c>
      <c r="U208" t="s">
        <v>1172</v>
      </c>
      <c r="V208" t="s">
        <v>1141</v>
      </c>
      <c r="W208" t="s">
        <v>1257</v>
      </c>
      <c r="X208">
        <v>1</v>
      </c>
      <c r="Y208" t="s">
        <v>1126</v>
      </c>
      <c r="Z208" t="s">
        <v>1134</v>
      </c>
      <c r="AA208">
        <v>2</v>
      </c>
    </row>
    <row r="209" spans="1:27" x14ac:dyDescent="0.3">
      <c r="A209" t="s">
        <v>809</v>
      </c>
      <c r="B209" t="s">
        <v>1372</v>
      </c>
      <c r="C209" t="s">
        <v>1086</v>
      </c>
      <c r="D209" t="s">
        <v>1136</v>
      </c>
      <c r="E209" t="s">
        <v>1305</v>
      </c>
      <c r="F209" s="1">
        <v>46282.097222222219</v>
      </c>
      <c r="G209" s="1">
        <v>46282.104166666657</v>
      </c>
      <c r="H209">
        <v>6</v>
      </c>
      <c r="I209">
        <v>10</v>
      </c>
      <c r="J209" t="b">
        <v>0</v>
      </c>
      <c r="K209" t="b">
        <v>0</v>
      </c>
      <c r="L209" t="b">
        <v>0</v>
      </c>
      <c r="M209">
        <v>4</v>
      </c>
      <c r="N209" t="s">
        <v>1118</v>
      </c>
      <c r="O209" s="1">
        <v>46282.068055555559</v>
      </c>
      <c r="P209" t="b">
        <v>0</v>
      </c>
      <c r="Q209" t="s">
        <v>1156</v>
      </c>
      <c r="R209" t="s">
        <v>1131</v>
      </c>
      <c r="S209" t="s">
        <v>1157</v>
      </c>
      <c r="T209" t="s">
        <v>1122</v>
      </c>
      <c r="U209" t="s">
        <v>1145</v>
      </c>
      <c r="V209" t="s">
        <v>1141</v>
      </c>
      <c r="W209" t="s">
        <v>1125</v>
      </c>
      <c r="X209">
        <v>1</v>
      </c>
      <c r="Y209" t="s">
        <v>1146</v>
      </c>
      <c r="Z209" t="s">
        <v>1147</v>
      </c>
      <c r="AA209">
        <v>1.666666666666667</v>
      </c>
    </row>
    <row r="210" spans="1:27" x14ac:dyDescent="0.3">
      <c r="A210" t="s">
        <v>227</v>
      </c>
      <c r="B210" t="s">
        <v>1206</v>
      </c>
      <c r="C210" t="s">
        <v>1078</v>
      </c>
      <c r="D210" t="s">
        <v>1149</v>
      </c>
      <c r="E210" t="s">
        <v>1200</v>
      </c>
      <c r="F210" s="1">
        <v>46266.955555555563</v>
      </c>
      <c r="G210" s="1">
        <v>46266.962500000001</v>
      </c>
      <c r="H210">
        <v>5</v>
      </c>
      <c r="I210">
        <v>10</v>
      </c>
      <c r="J210" t="b">
        <v>0</v>
      </c>
      <c r="K210" t="b">
        <v>0</v>
      </c>
      <c r="L210" t="b">
        <v>0</v>
      </c>
      <c r="N210" t="s">
        <v>1130</v>
      </c>
      <c r="O210" s="1">
        <v>46266.843055555553</v>
      </c>
      <c r="P210" t="b">
        <v>1</v>
      </c>
      <c r="Q210" t="s">
        <v>1156</v>
      </c>
      <c r="R210" t="s">
        <v>1139</v>
      </c>
      <c r="S210" t="s">
        <v>1132</v>
      </c>
      <c r="T210" t="s">
        <v>1145</v>
      </c>
      <c r="U210" t="s">
        <v>1172</v>
      </c>
      <c r="V210" t="s">
        <v>1152</v>
      </c>
      <c r="W210" t="s">
        <v>1145</v>
      </c>
      <c r="X210">
        <v>20</v>
      </c>
      <c r="Y210" t="s">
        <v>1126</v>
      </c>
      <c r="AA210">
        <v>2</v>
      </c>
    </row>
    <row r="211" spans="1:27" x14ac:dyDescent="0.3">
      <c r="A211" t="s">
        <v>222</v>
      </c>
      <c r="B211" t="s">
        <v>1206</v>
      </c>
      <c r="C211" t="s">
        <v>1071</v>
      </c>
      <c r="D211" t="s">
        <v>1255</v>
      </c>
      <c r="E211" t="s">
        <v>1287</v>
      </c>
      <c r="F211" s="1">
        <v>46266.865972222222</v>
      </c>
      <c r="G211" s="1">
        <v>46266.872916666667</v>
      </c>
      <c r="H211">
        <v>4</v>
      </c>
      <c r="I211">
        <v>10</v>
      </c>
      <c r="J211" t="b">
        <v>0</v>
      </c>
      <c r="K211" t="b">
        <v>0</v>
      </c>
      <c r="L211" t="b">
        <v>0</v>
      </c>
      <c r="N211" t="s">
        <v>1130</v>
      </c>
      <c r="O211" s="1">
        <v>46266.843055555553</v>
      </c>
      <c r="P211" t="b">
        <v>1</v>
      </c>
      <c r="Q211" t="s">
        <v>1179</v>
      </c>
      <c r="R211" t="s">
        <v>1120</v>
      </c>
      <c r="S211" t="s">
        <v>1145</v>
      </c>
      <c r="T211" t="s">
        <v>1122</v>
      </c>
      <c r="U211" t="s">
        <v>1145</v>
      </c>
      <c r="V211" t="s">
        <v>1141</v>
      </c>
      <c r="W211" t="s">
        <v>1257</v>
      </c>
      <c r="X211">
        <v>20</v>
      </c>
      <c r="Y211" t="s">
        <v>1126</v>
      </c>
      <c r="AA211">
        <v>2.5</v>
      </c>
    </row>
    <row r="212" spans="1:27" x14ac:dyDescent="0.3">
      <c r="A212" t="s">
        <v>104</v>
      </c>
      <c r="B212" t="s">
        <v>1202</v>
      </c>
      <c r="C212" t="s">
        <v>1058</v>
      </c>
      <c r="D212" t="s">
        <v>1116</v>
      </c>
      <c r="E212" t="s">
        <v>1256</v>
      </c>
      <c r="F212" s="1">
        <v>46293.128472222219</v>
      </c>
      <c r="G212" s="1">
        <v>46293.135416666657</v>
      </c>
      <c r="H212">
        <v>1</v>
      </c>
      <c r="I212">
        <v>10</v>
      </c>
      <c r="J212" t="b">
        <v>0</v>
      </c>
      <c r="K212" t="b">
        <v>0</v>
      </c>
      <c r="L212" t="b">
        <v>0</v>
      </c>
      <c r="M212">
        <v>8</v>
      </c>
      <c r="N212" t="s">
        <v>1118</v>
      </c>
      <c r="O212" s="1">
        <v>46293.128472222219</v>
      </c>
      <c r="P212" t="b">
        <v>0</v>
      </c>
      <c r="Q212" t="s">
        <v>1145</v>
      </c>
      <c r="R212" t="s">
        <v>1139</v>
      </c>
      <c r="S212" t="s">
        <v>1157</v>
      </c>
      <c r="T212" t="s">
        <v>1122</v>
      </c>
      <c r="U212" t="s">
        <v>1145</v>
      </c>
      <c r="V212" t="s">
        <v>1124</v>
      </c>
      <c r="W212" t="s">
        <v>1125</v>
      </c>
      <c r="X212">
        <v>3</v>
      </c>
      <c r="Y212" t="s">
        <v>1185</v>
      </c>
      <c r="Z212" t="s">
        <v>1134</v>
      </c>
      <c r="AA212">
        <v>10</v>
      </c>
    </row>
    <row r="213" spans="1:27" x14ac:dyDescent="0.3">
      <c r="A213" t="s">
        <v>918</v>
      </c>
      <c r="B213" t="s">
        <v>1316</v>
      </c>
      <c r="C213" t="s">
        <v>1086</v>
      </c>
      <c r="D213" t="s">
        <v>1149</v>
      </c>
      <c r="E213" t="s">
        <v>1221</v>
      </c>
      <c r="F213" s="1">
        <v>46288.9375</v>
      </c>
      <c r="G213" s="1">
        <v>46288.944444444453</v>
      </c>
      <c r="H213">
        <v>4</v>
      </c>
      <c r="I213">
        <v>10</v>
      </c>
      <c r="J213" t="b">
        <v>0</v>
      </c>
      <c r="K213" t="b">
        <v>0</v>
      </c>
      <c r="L213" t="b">
        <v>0</v>
      </c>
      <c r="M213">
        <v>6</v>
      </c>
      <c r="N213" t="s">
        <v>1118</v>
      </c>
      <c r="O213" s="1">
        <v>46288.84097222222</v>
      </c>
      <c r="P213" t="b">
        <v>0</v>
      </c>
      <c r="Q213" t="s">
        <v>1151</v>
      </c>
      <c r="R213" t="s">
        <v>1131</v>
      </c>
      <c r="S213" t="s">
        <v>1121</v>
      </c>
      <c r="T213" t="s">
        <v>1122</v>
      </c>
      <c r="U213" t="s">
        <v>1145</v>
      </c>
      <c r="V213" t="s">
        <v>1152</v>
      </c>
      <c r="W213" t="s">
        <v>1145</v>
      </c>
      <c r="X213">
        <v>20</v>
      </c>
      <c r="Y213" t="s">
        <v>1161</v>
      </c>
      <c r="Z213" t="s">
        <v>1134</v>
      </c>
      <c r="AA213">
        <v>2.5</v>
      </c>
    </row>
    <row r="214" spans="1:27" x14ac:dyDescent="0.3">
      <c r="A214" t="s">
        <v>748</v>
      </c>
      <c r="B214" t="s">
        <v>1373</v>
      </c>
      <c r="C214" t="s">
        <v>1071</v>
      </c>
      <c r="D214" t="s">
        <v>1238</v>
      </c>
      <c r="E214" t="s">
        <v>1364</v>
      </c>
      <c r="F214" s="1">
        <v>46285.44027777778</v>
      </c>
      <c r="G214" s="1">
        <v>46285.447222222218</v>
      </c>
      <c r="H214">
        <v>7</v>
      </c>
      <c r="I214">
        <v>10</v>
      </c>
      <c r="J214" t="b">
        <v>0</v>
      </c>
      <c r="K214" t="b">
        <v>0</v>
      </c>
      <c r="L214" t="b">
        <v>0</v>
      </c>
      <c r="M214">
        <v>8</v>
      </c>
      <c r="N214" t="s">
        <v>1118</v>
      </c>
      <c r="O214" s="1">
        <v>46285.378472222219</v>
      </c>
      <c r="P214" t="b">
        <v>0</v>
      </c>
      <c r="Q214" t="s">
        <v>1179</v>
      </c>
      <c r="R214" t="s">
        <v>1139</v>
      </c>
      <c r="S214" t="s">
        <v>1121</v>
      </c>
      <c r="T214" t="s">
        <v>1122</v>
      </c>
      <c r="U214" t="s">
        <v>1145</v>
      </c>
      <c r="V214" t="s">
        <v>1151</v>
      </c>
      <c r="W214" t="s">
        <v>1131</v>
      </c>
      <c r="X214">
        <v>9</v>
      </c>
      <c r="Y214" t="s">
        <v>1133</v>
      </c>
      <c r="Z214" t="s">
        <v>1134</v>
      </c>
      <c r="AA214">
        <v>1.428571428571429</v>
      </c>
    </row>
    <row r="215" spans="1:27" x14ac:dyDescent="0.3">
      <c r="A215" t="s">
        <v>569</v>
      </c>
      <c r="B215" t="s">
        <v>1374</v>
      </c>
      <c r="C215" t="s">
        <v>1065</v>
      </c>
      <c r="D215" t="s">
        <v>1149</v>
      </c>
      <c r="E215" t="s">
        <v>1204</v>
      </c>
      <c r="F215" s="1">
        <v>46279.239583333343</v>
      </c>
      <c r="G215" s="1">
        <v>46279.246527777781</v>
      </c>
      <c r="H215">
        <v>6</v>
      </c>
      <c r="I215">
        <v>10</v>
      </c>
      <c r="J215" t="b">
        <v>0</v>
      </c>
      <c r="K215" t="b">
        <v>0</v>
      </c>
      <c r="L215" t="b">
        <v>0</v>
      </c>
      <c r="M215">
        <v>12</v>
      </c>
      <c r="N215" t="s">
        <v>1130</v>
      </c>
      <c r="O215" s="1">
        <v>46279.17083333333</v>
      </c>
      <c r="P215" t="b">
        <v>0</v>
      </c>
      <c r="Q215" t="s">
        <v>1169</v>
      </c>
      <c r="R215" t="s">
        <v>1131</v>
      </c>
      <c r="S215" t="s">
        <v>1157</v>
      </c>
      <c r="T215" t="s">
        <v>1180</v>
      </c>
      <c r="U215" t="s">
        <v>1247</v>
      </c>
      <c r="V215" t="s">
        <v>1152</v>
      </c>
      <c r="W215" t="s">
        <v>1145</v>
      </c>
      <c r="X215">
        <v>4</v>
      </c>
      <c r="Y215" t="s">
        <v>1185</v>
      </c>
      <c r="Z215" t="s">
        <v>1127</v>
      </c>
      <c r="AA215">
        <v>1.666666666666667</v>
      </c>
    </row>
    <row r="216" spans="1:27" x14ac:dyDescent="0.3">
      <c r="A216" t="s">
        <v>939</v>
      </c>
      <c r="B216" t="s">
        <v>1162</v>
      </c>
      <c r="C216" t="s">
        <v>1070</v>
      </c>
      <c r="D216" t="s">
        <v>1339</v>
      </c>
      <c r="E216" t="s">
        <v>1182</v>
      </c>
      <c r="F216" s="1">
        <v>46267.911111111112</v>
      </c>
      <c r="G216" s="1">
        <v>46267.918055555558</v>
      </c>
      <c r="H216">
        <v>5</v>
      </c>
      <c r="I216">
        <v>10</v>
      </c>
      <c r="J216" t="b">
        <v>0</v>
      </c>
      <c r="K216" t="b">
        <v>0</v>
      </c>
      <c r="L216" t="b">
        <v>0</v>
      </c>
      <c r="M216">
        <v>15</v>
      </c>
      <c r="N216" t="s">
        <v>1130</v>
      </c>
      <c r="O216" s="1">
        <v>46267.895833333343</v>
      </c>
      <c r="P216" t="b">
        <v>0</v>
      </c>
      <c r="Q216" t="s">
        <v>1119</v>
      </c>
      <c r="R216" t="s">
        <v>1131</v>
      </c>
      <c r="S216" t="s">
        <v>1121</v>
      </c>
      <c r="T216" t="s">
        <v>1180</v>
      </c>
      <c r="U216" t="s">
        <v>1145</v>
      </c>
      <c r="V216" t="s">
        <v>1284</v>
      </c>
      <c r="W216" t="s">
        <v>1257</v>
      </c>
      <c r="X216">
        <v>21</v>
      </c>
      <c r="Y216" t="s">
        <v>1161</v>
      </c>
      <c r="Z216" t="s">
        <v>1127</v>
      </c>
      <c r="AA216">
        <v>2</v>
      </c>
    </row>
    <row r="217" spans="1:27" x14ac:dyDescent="0.3">
      <c r="A217" t="s">
        <v>763</v>
      </c>
      <c r="B217" t="s">
        <v>1375</v>
      </c>
      <c r="C217" t="s">
        <v>1072</v>
      </c>
      <c r="D217" t="s">
        <v>1255</v>
      </c>
      <c r="E217" t="s">
        <v>1154</v>
      </c>
      <c r="F217" s="1">
        <v>46267.26666666667</v>
      </c>
      <c r="G217" s="1">
        <v>46267.273611111108</v>
      </c>
      <c r="H217">
        <v>5</v>
      </c>
      <c r="I217">
        <v>10</v>
      </c>
      <c r="J217" t="b">
        <v>0</v>
      </c>
      <c r="K217" t="b">
        <v>0</v>
      </c>
      <c r="L217" t="b">
        <v>0</v>
      </c>
      <c r="M217">
        <v>8</v>
      </c>
      <c r="N217" t="s">
        <v>1130</v>
      </c>
      <c r="O217" s="1">
        <v>46267.217361111107</v>
      </c>
      <c r="P217" t="b">
        <v>0</v>
      </c>
      <c r="Q217" t="s">
        <v>1156</v>
      </c>
      <c r="R217" t="s">
        <v>1131</v>
      </c>
      <c r="S217" t="s">
        <v>1157</v>
      </c>
      <c r="T217" t="s">
        <v>1180</v>
      </c>
      <c r="U217" t="s">
        <v>1172</v>
      </c>
      <c r="V217" t="s">
        <v>1141</v>
      </c>
      <c r="W217" t="s">
        <v>1257</v>
      </c>
      <c r="X217">
        <v>5</v>
      </c>
      <c r="Y217" t="s">
        <v>1161</v>
      </c>
      <c r="Z217" t="s">
        <v>1134</v>
      </c>
      <c r="AA217">
        <v>2</v>
      </c>
    </row>
    <row r="218" spans="1:27" x14ac:dyDescent="0.3">
      <c r="A218" t="s">
        <v>135</v>
      </c>
      <c r="B218" t="s">
        <v>1239</v>
      </c>
      <c r="C218" t="s">
        <v>1071</v>
      </c>
      <c r="D218" t="s">
        <v>1255</v>
      </c>
      <c r="E218" t="s">
        <v>1178</v>
      </c>
      <c r="F218" s="1">
        <v>46292.939583333333</v>
      </c>
      <c r="G218" s="1">
        <v>46292.946527777778</v>
      </c>
      <c r="H218">
        <v>5</v>
      </c>
      <c r="I218">
        <v>10</v>
      </c>
      <c r="J218" t="b">
        <v>0</v>
      </c>
      <c r="K218" t="b">
        <v>0</v>
      </c>
      <c r="L218" t="b">
        <v>0</v>
      </c>
      <c r="M218">
        <v>12</v>
      </c>
      <c r="N218" t="s">
        <v>1130</v>
      </c>
      <c r="O218" s="1">
        <v>46292.831250000003</v>
      </c>
      <c r="P218" t="b">
        <v>0</v>
      </c>
      <c r="Q218" t="s">
        <v>1179</v>
      </c>
      <c r="R218" t="s">
        <v>1139</v>
      </c>
      <c r="S218" t="s">
        <v>1157</v>
      </c>
      <c r="T218" t="s">
        <v>1122</v>
      </c>
      <c r="U218" t="s">
        <v>1145</v>
      </c>
      <c r="V218" t="s">
        <v>1141</v>
      </c>
      <c r="W218" t="s">
        <v>1257</v>
      </c>
      <c r="X218">
        <v>19</v>
      </c>
      <c r="Y218" t="s">
        <v>1133</v>
      </c>
      <c r="Z218" t="s">
        <v>1127</v>
      </c>
      <c r="AA218">
        <v>2</v>
      </c>
    </row>
    <row r="219" spans="1:27" x14ac:dyDescent="0.3">
      <c r="A219" t="s">
        <v>960</v>
      </c>
      <c r="B219" t="s">
        <v>1252</v>
      </c>
      <c r="C219" t="s">
        <v>1080</v>
      </c>
      <c r="D219" t="s">
        <v>1136</v>
      </c>
      <c r="E219" t="s">
        <v>1231</v>
      </c>
      <c r="F219" s="1">
        <v>46282.329861111109</v>
      </c>
      <c r="G219" s="1">
        <v>46282.336805555547</v>
      </c>
      <c r="H219">
        <v>7</v>
      </c>
      <c r="I219">
        <v>10</v>
      </c>
      <c r="J219" t="b">
        <v>0</v>
      </c>
      <c r="K219" t="b">
        <v>0</v>
      </c>
      <c r="L219" t="b">
        <v>0</v>
      </c>
      <c r="M219">
        <v>20</v>
      </c>
      <c r="N219" t="s">
        <v>1168</v>
      </c>
      <c r="O219" s="1">
        <v>46282.218055555553</v>
      </c>
      <c r="P219" t="b">
        <v>0</v>
      </c>
      <c r="Q219" t="s">
        <v>1169</v>
      </c>
      <c r="R219" t="s">
        <v>1131</v>
      </c>
      <c r="S219" t="s">
        <v>1152</v>
      </c>
      <c r="T219" t="s">
        <v>1122</v>
      </c>
      <c r="U219" t="s">
        <v>1247</v>
      </c>
      <c r="V219" t="s">
        <v>1141</v>
      </c>
      <c r="W219" t="s">
        <v>1125</v>
      </c>
      <c r="X219">
        <v>5</v>
      </c>
      <c r="Y219" t="s">
        <v>1146</v>
      </c>
      <c r="Z219" t="s">
        <v>1127</v>
      </c>
      <c r="AA219">
        <v>1.428571428571429</v>
      </c>
    </row>
    <row r="220" spans="1:27" x14ac:dyDescent="0.3">
      <c r="A220" t="s">
        <v>572</v>
      </c>
      <c r="B220" t="s">
        <v>1266</v>
      </c>
      <c r="C220" t="s">
        <v>1066</v>
      </c>
      <c r="D220" t="s">
        <v>1136</v>
      </c>
      <c r="E220" t="s">
        <v>1200</v>
      </c>
      <c r="F220" s="1">
        <v>46287.55972222222</v>
      </c>
      <c r="G220" s="1">
        <v>46287.566666666673</v>
      </c>
      <c r="H220">
        <v>6</v>
      </c>
      <c r="I220">
        <v>10</v>
      </c>
      <c r="J220" t="b">
        <v>0</v>
      </c>
      <c r="K220" t="b">
        <v>0</v>
      </c>
      <c r="L220" t="b">
        <v>0</v>
      </c>
      <c r="M220">
        <v>10</v>
      </c>
      <c r="N220" t="s">
        <v>1118</v>
      </c>
      <c r="O220" s="1">
        <v>46287.481944444437</v>
      </c>
      <c r="P220" t="b">
        <v>0</v>
      </c>
      <c r="Q220" t="s">
        <v>1156</v>
      </c>
      <c r="R220" t="s">
        <v>1139</v>
      </c>
      <c r="S220" t="s">
        <v>1132</v>
      </c>
      <c r="T220" t="s">
        <v>1122</v>
      </c>
      <c r="U220" t="s">
        <v>1247</v>
      </c>
      <c r="V220" t="s">
        <v>1141</v>
      </c>
      <c r="W220" t="s">
        <v>1125</v>
      </c>
      <c r="X220">
        <v>11</v>
      </c>
      <c r="Y220" t="s">
        <v>1126</v>
      </c>
      <c r="Z220" t="s">
        <v>1134</v>
      </c>
      <c r="AA220">
        <v>1.666666666666667</v>
      </c>
    </row>
    <row r="221" spans="1:27" x14ac:dyDescent="0.3">
      <c r="A221" t="s">
        <v>568</v>
      </c>
      <c r="B221" t="s">
        <v>1374</v>
      </c>
      <c r="C221" t="s">
        <v>1066</v>
      </c>
      <c r="D221" t="s">
        <v>1136</v>
      </c>
      <c r="E221" t="s">
        <v>1237</v>
      </c>
      <c r="F221" s="1">
        <v>46279.251388888893</v>
      </c>
      <c r="G221" s="1">
        <v>46279.258333333331</v>
      </c>
      <c r="H221">
        <v>3</v>
      </c>
      <c r="I221">
        <v>10</v>
      </c>
      <c r="J221" t="b">
        <v>0</v>
      </c>
      <c r="K221" t="b">
        <v>0</v>
      </c>
      <c r="L221" t="b">
        <v>0</v>
      </c>
      <c r="M221">
        <v>12</v>
      </c>
      <c r="N221" t="s">
        <v>1130</v>
      </c>
      <c r="O221" s="1">
        <v>46279.17083333333</v>
      </c>
      <c r="P221" t="b">
        <v>0</v>
      </c>
      <c r="Q221" t="s">
        <v>1151</v>
      </c>
      <c r="R221" t="s">
        <v>1120</v>
      </c>
      <c r="S221" t="s">
        <v>1152</v>
      </c>
      <c r="T221" t="s">
        <v>1122</v>
      </c>
      <c r="U221" t="s">
        <v>1247</v>
      </c>
      <c r="V221" t="s">
        <v>1141</v>
      </c>
      <c r="W221" t="s">
        <v>1125</v>
      </c>
      <c r="X221">
        <v>4</v>
      </c>
      <c r="Y221" t="s">
        <v>1185</v>
      </c>
      <c r="Z221" t="s">
        <v>1127</v>
      </c>
      <c r="AA221">
        <v>3.333333333333333</v>
      </c>
    </row>
    <row r="222" spans="1:27" x14ac:dyDescent="0.3">
      <c r="A222" t="s">
        <v>567</v>
      </c>
      <c r="B222" t="s">
        <v>1374</v>
      </c>
      <c r="C222" t="s">
        <v>1069</v>
      </c>
      <c r="D222" t="s">
        <v>1238</v>
      </c>
      <c r="E222" t="s">
        <v>1240</v>
      </c>
      <c r="F222" s="1">
        <v>46279.277083333327</v>
      </c>
      <c r="G222" s="1">
        <v>46279.28402777778</v>
      </c>
      <c r="H222">
        <v>7</v>
      </c>
      <c r="I222">
        <v>10</v>
      </c>
      <c r="J222" t="b">
        <v>0</v>
      </c>
      <c r="K222" t="b">
        <v>0</v>
      </c>
      <c r="L222" t="b">
        <v>0</v>
      </c>
      <c r="M222">
        <v>12</v>
      </c>
      <c r="N222" t="s">
        <v>1130</v>
      </c>
      <c r="O222" s="1">
        <v>46279.17083333333</v>
      </c>
      <c r="P222" t="b">
        <v>0</v>
      </c>
      <c r="Q222" t="s">
        <v>1156</v>
      </c>
      <c r="R222" t="s">
        <v>1120</v>
      </c>
      <c r="S222" t="s">
        <v>1145</v>
      </c>
      <c r="T222" t="s">
        <v>1140</v>
      </c>
      <c r="U222" t="s">
        <v>1172</v>
      </c>
      <c r="V222" t="s">
        <v>1151</v>
      </c>
      <c r="W222" t="s">
        <v>1131</v>
      </c>
      <c r="X222">
        <v>4</v>
      </c>
      <c r="Y222" t="s">
        <v>1185</v>
      </c>
      <c r="Z222" t="s">
        <v>1127</v>
      </c>
      <c r="AA222">
        <v>1.428571428571429</v>
      </c>
    </row>
    <row r="223" spans="1:27" x14ac:dyDescent="0.3">
      <c r="A223" t="s">
        <v>773</v>
      </c>
      <c r="B223" t="s">
        <v>1376</v>
      </c>
      <c r="C223" t="s">
        <v>1085</v>
      </c>
      <c r="D223" t="s">
        <v>1149</v>
      </c>
      <c r="E223" t="s">
        <v>1182</v>
      </c>
      <c r="F223" s="1">
        <v>46278.332638888889</v>
      </c>
      <c r="G223" s="1">
        <v>46278.339583333327</v>
      </c>
      <c r="H223">
        <v>6</v>
      </c>
      <c r="I223">
        <v>10</v>
      </c>
      <c r="J223" t="b">
        <v>0</v>
      </c>
      <c r="K223" t="b">
        <v>0</v>
      </c>
      <c r="L223" t="b">
        <v>0</v>
      </c>
      <c r="M223">
        <v>10</v>
      </c>
      <c r="N223" t="s">
        <v>1130</v>
      </c>
      <c r="O223" s="1">
        <v>46278.228472222218</v>
      </c>
      <c r="P223" t="b">
        <v>0</v>
      </c>
      <c r="Q223" t="s">
        <v>1119</v>
      </c>
      <c r="R223" t="s">
        <v>1131</v>
      </c>
      <c r="S223" t="s">
        <v>1121</v>
      </c>
      <c r="T223" t="s">
        <v>1122</v>
      </c>
      <c r="U223" t="s">
        <v>1247</v>
      </c>
      <c r="V223" t="s">
        <v>1152</v>
      </c>
      <c r="W223" t="s">
        <v>1145</v>
      </c>
      <c r="X223">
        <v>5</v>
      </c>
      <c r="Y223" t="s">
        <v>1133</v>
      </c>
      <c r="Z223" t="s">
        <v>1134</v>
      </c>
      <c r="AA223">
        <v>1.666666666666667</v>
      </c>
    </row>
    <row r="224" spans="1:27" x14ac:dyDescent="0.3">
      <c r="A224" t="s">
        <v>374</v>
      </c>
      <c r="B224" t="s">
        <v>1177</v>
      </c>
      <c r="C224" t="s">
        <v>1074</v>
      </c>
      <c r="D224" t="s">
        <v>1136</v>
      </c>
      <c r="E224" t="s">
        <v>1346</v>
      </c>
      <c r="F224" s="1">
        <v>46290.414583333331</v>
      </c>
      <c r="G224" s="1">
        <v>46290.421527777777</v>
      </c>
      <c r="H224">
        <v>3</v>
      </c>
      <c r="I224">
        <v>10</v>
      </c>
      <c r="J224" t="b">
        <v>0</v>
      </c>
      <c r="K224" t="b">
        <v>0</v>
      </c>
      <c r="L224" t="b">
        <v>0</v>
      </c>
      <c r="M224">
        <v>20</v>
      </c>
      <c r="N224" t="s">
        <v>1168</v>
      </c>
      <c r="O224" s="1">
        <v>46290.395138888889</v>
      </c>
      <c r="P224" t="b">
        <v>0</v>
      </c>
      <c r="Q224" t="s">
        <v>1179</v>
      </c>
      <c r="R224" t="s">
        <v>1120</v>
      </c>
      <c r="S224" t="s">
        <v>1121</v>
      </c>
      <c r="T224" t="s">
        <v>1145</v>
      </c>
      <c r="U224" t="s">
        <v>1145</v>
      </c>
      <c r="V224" t="s">
        <v>1141</v>
      </c>
      <c r="W224" t="s">
        <v>1125</v>
      </c>
      <c r="X224">
        <v>9</v>
      </c>
      <c r="Y224" t="s">
        <v>1142</v>
      </c>
      <c r="Z224" t="s">
        <v>1127</v>
      </c>
      <c r="AA224">
        <v>3.333333333333333</v>
      </c>
    </row>
    <row r="225" spans="1:27" x14ac:dyDescent="0.3">
      <c r="A225" t="s">
        <v>559</v>
      </c>
      <c r="B225" t="s">
        <v>1164</v>
      </c>
      <c r="C225" t="s">
        <v>1074</v>
      </c>
      <c r="D225" t="s">
        <v>1149</v>
      </c>
      <c r="E225" t="s">
        <v>1150</v>
      </c>
      <c r="F225" s="1">
        <v>46266.645833333343</v>
      </c>
      <c r="G225" s="1">
        <v>46266.652777777781</v>
      </c>
      <c r="H225">
        <v>6</v>
      </c>
      <c r="I225">
        <v>10</v>
      </c>
      <c r="J225" t="b">
        <v>0</v>
      </c>
      <c r="K225" t="b">
        <v>0</v>
      </c>
      <c r="L225" t="b">
        <v>0</v>
      </c>
      <c r="M225">
        <v>12</v>
      </c>
      <c r="N225" t="s">
        <v>1130</v>
      </c>
      <c r="O225" s="1">
        <v>46266.54791666667</v>
      </c>
      <c r="P225" t="b">
        <v>0</v>
      </c>
      <c r="Q225" t="s">
        <v>1151</v>
      </c>
      <c r="R225" t="s">
        <v>1131</v>
      </c>
      <c r="S225" t="s">
        <v>1121</v>
      </c>
      <c r="T225" t="s">
        <v>1145</v>
      </c>
      <c r="U225" t="s">
        <v>1145</v>
      </c>
      <c r="V225" t="s">
        <v>1152</v>
      </c>
      <c r="W225" t="s">
        <v>1145</v>
      </c>
      <c r="X225">
        <v>13</v>
      </c>
      <c r="Y225" t="s">
        <v>1126</v>
      </c>
      <c r="Z225" t="s">
        <v>1127</v>
      </c>
      <c r="AA225">
        <v>1.666666666666667</v>
      </c>
    </row>
    <row r="226" spans="1:27" x14ac:dyDescent="0.3">
      <c r="A226" t="s">
        <v>553</v>
      </c>
      <c r="B226" t="s">
        <v>1323</v>
      </c>
      <c r="C226" t="s">
        <v>1083</v>
      </c>
      <c r="D226" t="s">
        <v>1238</v>
      </c>
      <c r="E226" t="s">
        <v>1165</v>
      </c>
      <c r="F226" s="1">
        <v>46280.896527777782</v>
      </c>
      <c r="G226" s="1">
        <v>46280.90347222222</v>
      </c>
      <c r="H226">
        <v>4</v>
      </c>
      <c r="I226">
        <v>10</v>
      </c>
      <c r="J226" t="b">
        <v>0</v>
      </c>
      <c r="K226" t="b">
        <v>0</v>
      </c>
      <c r="L226" t="b">
        <v>0</v>
      </c>
      <c r="M226">
        <v>15</v>
      </c>
      <c r="N226" t="s">
        <v>1118</v>
      </c>
      <c r="O226" s="1">
        <v>46280.834722222222</v>
      </c>
      <c r="P226" t="b">
        <v>0</v>
      </c>
      <c r="Q226" t="s">
        <v>1138</v>
      </c>
      <c r="R226" t="s">
        <v>1120</v>
      </c>
      <c r="S226" t="s">
        <v>1152</v>
      </c>
      <c r="T226" t="s">
        <v>1180</v>
      </c>
      <c r="U226" t="s">
        <v>1123</v>
      </c>
      <c r="V226" t="s">
        <v>1151</v>
      </c>
      <c r="W226" t="s">
        <v>1131</v>
      </c>
      <c r="X226">
        <v>20</v>
      </c>
      <c r="Y226" t="s">
        <v>1126</v>
      </c>
      <c r="Z226" t="s">
        <v>1127</v>
      </c>
      <c r="AA226">
        <v>2.5</v>
      </c>
    </row>
    <row r="227" spans="1:27" x14ac:dyDescent="0.3">
      <c r="A227" t="s">
        <v>215</v>
      </c>
      <c r="B227" t="s">
        <v>1377</v>
      </c>
      <c r="C227" t="s">
        <v>1088</v>
      </c>
      <c r="D227" t="s">
        <v>1238</v>
      </c>
      <c r="E227" t="s">
        <v>1198</v>
      </c>
      <c r="F227" s="1">
        <v>46290.174305555563</v>
      </c>
      <c r="G227" s="1">
        <v>46290.181250000001</v>
      </c>
      <c r="H227">
        <v>6</v>
      </c>
      <c r="I227">
        <v>10</v>
      </c>
      <c r="J227" t="b">
        <v>0</v>
      </c>
      <c r="K227" t="b">
        <v>0</v>
      </c>
      <c r="L227" t="b">
        <v>0</v>
      </c>
      <c r="M227">
        <v>3</v>
      </c>
      <c r="N227" t="s">
        <v>1130</v>
      </c>
      <c r="O227" s="1">
        <v>46290.06527777778</v>
      </c>
      <c r="P227" t="b">
        <v>0</v>
      </c>
      <c r="Q227" t="s">
        <v>1169</v>
      </c>
      <c r="R227" t="s">
        <v>1131</v>
      </c>
      <c r="S227" t="s">
        <v>1145</v>
      </c>
      <c r="T227" t="s">
        <v>1140</v>
      </c>
      <c r="U227" t="s">
        <v>1123</v>
      </c>
      <c r="V227" t="s">
        <v>1151</v>
      </c>
      <c r="W227" t="s">
        <v>1131</v>
      </c>
      <c r="X227">
        <v>1</v>
      </c>
      <c r="Y227" t="s">
        <v>1142</v>
      </c>
      <c r="Z227" t="s">
        <v>1147</v>
      </c>
      <c r="AA227">
        <v>1.666666666666667</v>
      </c>
    </row>
    <row r="228" spans="1:27" x14ac:dyDescent="0.3">
      <c r="A228" t="s">
        <v>807</v>
      </c>
      <c r="B228" t="s">
        <v>1372</v>
      </c>
      <c r="C228" t="s">
        <v>1071</v>
      </c>
      <c r="D228" t="s">
        <v>1255</v>
      </c>
      <c r="E228" t="s">
        <v>1336</v>
      </c>
      <c r="F228" s="1">
        <v>46282.142361111109</v>
      </c>
      <c r="G228" s="1">
        <v>46282.149305555547</v>
      </c>
      <c r="H228">
        <v>3</v>
      </c>
      <c r="I228">
        <v>10</v>
      </c>
      <c r="J228" t="b">
        <v>0</v>
      </c>
      <c r="K228" t="b">
        <v>0</v>
      </c>
      <c r="L228" t="b">
        <v>0</v>
      </c>
      <c r="M228">
        <v>4</v>
      </c>
      <c r="N228" t="s">
        <v>1118</v>
      </c>
      <c r="O228" s="1">
        <v>46282.068055555559</v>
      </c>
      <c r="P228" t="b">
        <v>0</v>
      </c>
      <c r="Q228" t="s">
        <v>1179</v>
      </c>
      <c r="R228" t="s">
        <v>1120</v>
      </c>
      <c r="S228" t="s">
        <v>1152</v>
      </c>
      <c r="T228" t="s">
        <v>1122</v>
      </c>
      <c r="U228" t="s">
        <v>1145</v>
      </c>
      <c r="V228" t="s">
        <v>1141</v>
      </c>
      <c r="W228" t="s">
        <v>1257</v>
      </c>
      <c r="X228">
        <v>1</v>
      </c>
      <c r="Y228" t="s">
        <v>1146</v>
      </c>
      <c r="Z228" t="s">
        <v>1147</v>
      </c>
      <c r="AA228">
        <v>3.333333333333333</v>
      </c>
    </row>
    <row r="229" spans="1:27" x14ac:dyDescent="0.3">
      <c r="A229" t="s">
        <v>802</v>
      </c>
      <c r="B229" t="s">
        <v>1378</v>
      </c>
      <c r="C229" t="s">
        <v>1065</v>
      </c>
      <c r="D229" t="s">
        <v>1149</v>
      </c>
      <c r="E229" t="s">
        <v>1184</v>
      </c>
      <c r="F229" s="1">
        <v>46293.253472222219</v>
      </c>
      <c r="G229" s="1">
        <v>46293.260416666657</v>
      </c>
      <c r="H229">
        <v>2</v>
      </c>
      <c r="I229">
        <v>10</v>
      </c>
      <c r="J229" t="b">
        <v>0</v>
      </c>
      <c r="K229" t="b">
        <v>0</v>
      </c>
      <c r="L229" t="b">
        <v>0</v>
      </c>
      <c r="M229">
        <v>5</v>
      </c>
      <c r="N229" t="s">
        <v>1118</v>
      </c>
      <c r="O229" s="1">
        <v>46293.17083333333</v>
      </c>
      <c r="P229" t="b">
        <v>0</v>
      </c>
      <c r="Q229" t="s">
        <v>1156</v>
      </c>
      <c r="R229" t="s">
        <v>1131</v>
      </c>
      <c r="S229" t="s">
        <v>1132</v>
      </c>
      <c r="T229" t="s">
        <v>1180</v>
      </c>
      <c r="U229" t="s">
        <v>1247</v>
      </c>
      <c r="V229" t="s">
        <v>1152</v>
      </c>
      <c r="W229" t="s">
        <v>1145</v>
      </c>
      <c r="X229">
        <v>4</v>
      </c>
      <c r="Y229" t="s">
        <v>1185</v>
      </c>
      <c r="Z229" t="s">
        <v>1147</v>
      </c>
      <c r="AA229">
        <v>5</v>
      </c>
    </row>
    <row r="230" spans="1:27" x14ac:dyDescent="0.3">
      <c r="A230" t="s">
        <v>909</v>
      </c>
      <c r="B230" t="s">
        <v>1269</v>
      </c>
      <c r="C230" t="s">
        <v>1067</v>
      </c>
      <c r="D230" t="s">
        <v>1136</v>
      </c>
      <c r="E230" t="s">
        <v>1379</v>
      </c>
      <c r="F230" s="1">
        <v>46284.000694444447</v>
      </c>
      <c r="G230" s="1">
        <v>46284.007638888892</v>
      </c>
      <c r="H230">
        <v>4</v>
      </c>
      <c r="I230">
        <v>10</v>
      </c>
      <c r="J230" t="b">
        <v>0</v>
      </c>
      <c r="K230" t="b">
        <v>0</v>
      </c>
      <c r="L230" t="b">
        <v>0</v>
      </c>
      <c r="M230">
        <v>8</v>
      </c>
      <c r="N230" t="s">
        <v>1118</v>
      </c>
      <c r="O230" s="1">
        <v>46283.953472222223</v>
      </c>
      <c r="P230" t="b">
        <v>0</v>
      </c>
      <c r="Q230" t="s">
        <v>1179</v>
      </c>
      <c r="R230" t="s">
        <v>1120</v>
      </c>
      <c r="S230" t="s">
        <v>1145</v>
      </c>
      <c r="T230" t="s">
        <v>1180</v>
      </c>
      <c r="U230" t="s">
        <v>1247</v>
      </c>
      <c r="V230" t="s">
        <v>1141</v>
      </c>
      <c r="W230" t="s">
        <v>1125</v>
      </c>
      <c r="X230">
        <v>22</v>
      </c>
      <c r="Y230" t="s">
        <v>1142</v>
      </c>
      <c r="Z230" t="s">
        <v>1134</v>
      </c>
      <c r="AA230">
        <v>2.5</v>
      </c>
    </row>
    <row r="231" spans="1:27" x14ac:dyDescent="0.3">
      <c r="A231" t="s">
        <v>113</v>
      </c>
      <c r="B231" t="s">
        <v>1320</v>
      </c>
      <c r="C231" t="s">
        <v>1063</v>
      </c>
      <c r="D231" t="s">
        <v>1136</v>
      </c>
      <c r="E231" t="s">
        <v>1346</v>
      </c>
      <c r="F231" s="1">
        <v>46270.693749999999</v>
      </c>
      <c r="G231" s="1">
        <v>46270.700694444437</v>
      </c>
      <c r="H231">
        <v>6</v>
      </c>
      <c r="I231">
        <v>10</v>
      </c>
      <c r="J231" t="b">
        <v>0</v>
      </c>
      <c r="K231" t="b">
        <v>0</v>
      </c>
      <c r="L231" t="b">
        <v>0</v>
      </c>
      <c r="M231">
        <v>6</v>
      </c>
      <c r="N231" t="s">
        <v>1155</v>
      </c>
      <c r="O231" s="1">
        <v>46270.611111111109</v>
      </c>
      <c r="P231" t="b">
        <v>0</v>
      </c>
      <c r="Q231" t="s">
        <v>1179</v>
      </c>
      <c r="R231" t="s">
        <v>1120</v>
      </c>
      <c r="S231" t="s">
        <v>1121</v>
      </c>
      <c r="T231" t="s">
        <v>1122</v>
      </c>
      <c r="U231" t="s">
        <v>1172</v>
      </c>
      <c r="V231" t="s">
        <v>1141</v>
      </c>
      <c r="W231" t="s">
        <v>1125</v>
      </c>
      <c r="X231">
        <v>14</v>
      </c>
      <c r="Y231" t="s">
        <v>1173</v>
      </c>
      <c r="Z231" t="s">
        <v>1134</v>
      </c>
      <c r="AA231">
        <v>1.666666666666667</v>
      </c>
    </row>
    <row r="232" spans="1:27" x14ac:dyDescent="0.3">
      <c r="A232" t="s">
        <v>491</v>
      </c>
      <c r="B232" t="s">
        <v>1380</v>
      </c>
      <c r="C232" t="s">
        <v>1059</v>
      </c>
      <c r="D232" t="s">
        <v>1116</v>
      </c>
      <c r="E232" t="s">
        <v>1129</v>
      </c>
      <c r="F232" s="1">
        <v>46273.367361111108</v>
      </c>
      <c r="G232" s="1">
        <v>46273.374305555553</v>
      </c>
      <c r="H232">
        <v>4</v>
      </c>
      <c r="I232">
        <v>10</v>
      </c>
      <c r="J232" t="b">
        <v>0</v>
      </c>
      <c r="K232" t="b">
        <v>0</v>
      </c>
      <c r="L232" t="b">
        <v>0</v>
      </c>
      <c r="M232">
        <v>4</v>
      </c>
      <c r="N232" t="s">
        <v>1130</v>
      </c>
      <c r="O232" s="1">
        <v>46273.345833333333</v>
      </c>
      <c r="P232" t="b">
        <v>0</v>
      </c>
      <c r="Q232" t="s">
        <v>1119</v>
      </c>
      <c r="R232" t="s">
        <v>1131</v>
      </c>
      <c r="S232" t="s">
        <v>1132</v>
      </c>
      <c r="T232" t="s">
        <v>1122</v>
      </c>
      <c r="U232" t="s">
        <v>1172</v>
      </c>
      <c r="V232" t="s">
        <v>1124</v>
      </c>
      <c r="W232" t="s">
        <v>1125</v>
      </c>
      <c r="X232">
        <v>8</v>
      </c>
      <c r="Y232" t="s">
        <v>1126</v>
      </c>
      <c r="Z232" t="s">
        <v>1147</v>
      </c>
      <c r="AA232">
        <v>2.5</v>
      </c>
    </row>
    <row r="233" spans="1:27" x14ac:dyDescent="0.3">
      <c r="A233" t="s">
        <v>615</v>
      </c>
      <c r="B233" t="s">
        <v>1381</v>
      </c>
      <c r="C233" t="s">
        <v>1059</v>
      </c>
      <c r="D233" t="s">
        <v>1116</v>
      </c>
      <c r="E233" t="s">
        <v>1366</v>
      </c>
      <c r="F233" s="1">
        <v>46291.190972222219</v>
      </c>
      <c r="G233" s="1">
        <v>46291.197916666657</v>
      </c>
      <c r="H233">
        <v>2</v>
      </c>
      <c r="I233">
        <v>10</v>
      </c>
      <c r="J233" t="b">
        <v>0</v>
      </c>
      <c r="K233" t="b">
        <v>0</v>
      </c>
      <c r="L233" t="b">
        <v>0</v>
      </c>
      <c r="M233">
        <v>3</v>
      </c>
      <c r="N233" t="s">
        <v>1130</v>
      </c>
      <c r="O233" s="1">
        <v>46291.114583333343</v>
      </c>
      <c r="P233" t="b">
        <v>0</v>
      </c>
      <c r="Q233" t="s">
        <v>1151</v>
      </c>
      <c r="R233" t="s">
        <v>1120</v>
      </c>
      <c r="S233" t="s">
        <v>1145</v>
      </c>
      <c r="T233" t="s">
        <v>1122</v>
      </c>
      <c r="U233" t="s">
        <v>1172</v>
      </c>
      <c r="V233" t="s">
        <v>1124</v>
      </c>
      <c r="W233" t="s">
        <v>1125</v>
      </c>
      <c r="X233">
        <v>2</v>
      </c>
      <c r="Y233" t="s">
        <v>1173</v>
      </c>
      <c r="Z233" t="s">
        <v>1147</v>
      </c>
      <c r="AA233">
        <v>5</v>
      </c>
    </row>
    <row r="234" spans="1:27" x14ac:dyDescent="0.3">
      <c r="A234" t="s">
        <v>390</v>
      </c>
      <c r="B234" t="s">
        <v>1285</v>
      </c>
      <c r="C234" t="s">
        <v>1077</v>
      </c>
      <c r="D234" t="s">
        <v>1136</v>
      </c>
      <c r="E234" t="s">
        <v>1267</v>
      </c>
      <c r="F234" s="1">
        <v>46282.589583333327</v>
      </c>
      <c r="G234" s="1">
        <v>46282.59652777778</v>
      </c>
      <c r="H234">
        <v>7</v>
      </c>
      <c r="I234">
        <v>10</v>
      </c>
      <c r="J234" t="b">
        <v>0</v>
      </c>
      <c r="K234" t="b">
        <v>0</v>
      </c>
      <c r="L234" t="b">
        <v>0</v>
      </c>
      <c r="M234">
        <v>20</v>
      </c>
      <c r="N234" t="s">
        <v>1130</v>
      </c>
      <c r="O234" s="1">
        <v>46282.532638888893</v>
      </c>
      <c r="P234" t="b">
        <v>0</v>
      </c>
      <c r="Q234" t="s">
        <v>1151</v>
      </c>
      <c r="R234" t="s">
        <v>1145</v>
      </c>
      <c r="S234" t="s">
        <v>1121</v>
      </c>
      <c r="T234" t="s">
        <v>1122</v>
      </c>
      <c r="U234" t="s">
        <v>1172</v>
      </c>
      <c r="V234" t="s">
        <v>1141</v>
      </c>
      <c r="W234" t="s">
        <v>1125</v>
      </c>
      <c r="X234">
        <v>12</v>
      </c>
      <c r="Y234" t="s">
        <v>1146</v>
      </c>
      <c r="Z234" t="s">
        <v>1127</v>
      </c>
      <c r="AA234">
        <v>1.428571428571429</v>
      </c>
    </row>
    <row r="235" spans="1:27" x14ac:dyDescent="0.3">
      <c r="A235" t="s">
        <v>463</v>
      </c>
      <c r="B235" t="s">
        <v>1382</v>
      </c>
      <c r="C235" t="s">
        <v>1076</v>
      </c>
      <c r="D235" t="s">
        <v>1116</v>
      </c>
      <c r="E235" t="s">
        <v>1346</v>
      </c>
      <c r="F235" s="1">
        <v>46270.918749999997</v>
      </c>
      <c r="G235" s="1">
        <v>46270.925694444442</v>
      </c>
      <c r="H235">
        <v>6</v>
      </c>
      <c r="I235">
        <v>10</v>
      </c>
      <c r="J235" t="b">
        <v>0</v>
      </c>
      <c r="K235" t="b">
        <v>0</v>
      </c>
      <c r="L235" t="b">
        <v>0</v>
      </c>
      <c r="M235">
        <v>8</v>
      </c>
      <c r="N235" t="s">
        <v>1118</v>
      </c>
      <c r="O235" s="1">
        <v>46270.801388888889</v>
      </c>
      <c r="P235" t="b">
        <v>0</v>
      </c>
      <c r="Q235" t="s">
        <v>1179</v>
      </c>
      <c r="R235" t="s">
        <v>1120</v>
      </c>
      <c r="S235" t="s">
        <v>1121</v>
      </c>
      <c r="T235" t="s">
        <v>1122</v>
      </c>
      <c r="U235" t="s">
        <v>1172</v>
      </c>
      <c r="V235" t="s">
        <v>1124</v>
      </c>
      <c r="W235" t="s">
        <v>1125</v>
      </c>
      <c r="X235">
        <v>19</v>
      </c>
      <c r="Y235" t="s">
        <v>1173</v>
      </c>
      <c r="Z235" t="s">
        <v>1134</v>
      </c>
      <c r="AA235">
        <v>1.666666666666667</v>
      </c>
    </row>
    <row r="236" spans="1:27" x14ac:dyDescent="0.3">
      <c r="A236" t="s">
        <v>465</v>
      </c>
      <c r="B236" t="s">
        <v>1382</v>
      </c>
      <c r="C236" t="s">
        <v>1064</v>
      </c>
      <c r="D236" t="s">
        <v>1280</v>
      </c>
      <c r="E236" t="s">
        <v>1184</v>
      </c>
      <c r="F236" s="1">
        <v>46270.86041666667</v>
      </c>
      <c r="G236" s="1">
        <v>46270.867361111108</v>
      </c>
      <c r="H236">
        <v>4</v>
      </c>
      <c r="I236">
        <v>10</v>
      </c>
      <c r="J236" t="b">
        <v>0</v>
      </c>
      <c r="K236" t="b">
        <v>0</v>
      </c>
      <c r="L236" t="b">
        <v>0</v>
      </c>
      <c r="M236">
        <v>8</v>
      </c>
      <c r="N236" t="s">
        <v>1118</v>
      </c>
      <c r="O236" s="1">
        <v>46270.801388888889</v>
      </c>
      <c r="P236" t="b">
        <v>0</v>
      </c>
      <c r="Q236" t="s">
        <v>1156</v>
      </c>
      <c r="R236" t="s">
        <v>1131</v>
      </c>
      <c r="S236" t="s">
        <v>1132</v>
      </c>
      <c r="T236" t="s">
        <v>1122</v>
      </c>
      <c r="U236" t="s">
        <v>1123</v>
      </c>
      <c r="V236" t="s">
        <v>1151</v>
      </c>
      <c r="W236" t="s">
        <v>1257</v>
      </c>
      <c r="X236">
        <v>19</v>
      </c>
      <c r="Y236" t="s">
        <v>1173</v>
      </c>
      <c r="Z236" t="s">
        <v>1134</v>
      </c>
      <c r="AA236">
        <v>2.5</v>
      </c>
    </row>
    <row r="237" spans="1:27" x14ac:dyDescent="0.3">
      <c r="A237" t="s">
        <v>80</v>
      </c>
      <c r="B237" t="s">
        <v>1251</v>
      </c>
      <c r="C237" t="s">
        <v>1085</v>
      </c>
      <c r="D237" t="s">
        <v>1238</v>
      </c>
      <c r="E237" t="s">
        <v>1383</v>
      </c>
      <c r="F237" s="1">
        <v>46290.332638888889</v>
      </c>
      <c r="G237" s="1">
        <v>46290.339583333327</v>
      </c>
      <c r="H237">
        <v>5</v>
      </c>
      <c r="I237">
        <v>10</v>
      </c>
      <c r="J237" t="b">
        <v>0</v>
      </c>
      <c r="K237" t="b">
        <v>0</v>
      </c>
      <c r="L237" t="b">
        <v>0</v>
      </c>
      <c r="M237">
        <v>4</v>
      </c>
      <c r="N237" t="s">
        <v>1130</v>
      </c>
      <c r="O237" s="1">
        <v>46290.261111111111</v>
      </c>
      <c r="P237" t="b">
        <v>0</v>
      </c>
      <c r="Q237" t="s">
        <v>1119</v>
      </c>
      <c r="R237" t="s">
        <v>1131</v>
      </c>
      <c r="S237" t="s">
        <v>1132</v>
      </c>
      <c r="T237" t="s">
        <v>1122</v>
      </c>
      <c r="U237" t="s">
        <v>1247</v>
      </c>
      <c r="V237" t="s">
        <v>1151</v>
      </c>
      <c r="W237" t="s">
        <v>1131</v>
      </c>
      <c r="X237">
        <v>6</v>
      </c>
      <c r="Y237" t="s">
        <v>1142</v>
      </c>
      <c r="Z237" t="s">
        <v>1147</v>
      </c>
      <c r="AA237">
        <v>2</v>
      </c>
    </row>
    <row r="238" spans="1:27" x14ac:dyDescent="0.3">
      <c r="A238" t="s">
        <v>480</v>
      </c>
      <c r="B238" t="s">
        <v>1384</v>
      </c>
      <c r="C238" t="s">
        <v>1077</v>
      </c>
      <c r="D238" t="s">
        <v>1116</v>
      </c>
      <c r="E238" t="s">
        <v>1117</v>
      </c>
      <c r="F238" s="1">
        <v>46284.222916666673</v>
      </c>
      <c r="G238" s="1">
        <v>46284.229861111111</v>
      </c>
      <c r="H238">
        <v>2</v>
      </c>
      <c r="I238">
        <v>10</v>
      </c>
      <c r="J238" t="b">
        <v>0</v>
      </c>
      <c r="K238" t="b">
        <v>0</v>
      </c>
      <c r="L238" t="b">
        <v>0</v>
      </c>
      <c r="M238">
        <v>4</v>
      </c>
      <c r="N238" t="s">
        <v>1130</v>
      </c>
      <c r="O238" s="1">
        <v>46284.208333333343</v>
      </c>
      <c r="P238" t="b">
        <v>0</v>
      </c>
      <c r="Q238" t="s">
        <v>1119</v>
      </c>
      <c r="R238" t="s">
        <v>1120</v>
      </c>
      <c r="S238" t="s">
        <v>1121</v>
      </c>
      <c r="T238" t="s">
        <v>1122</v>
      </c>
      <c r="U238" t="s">
        <v>1172</v>
      </c>
      <c r="V238" t="s">
        <v>1124</v>
      </c>
      <c r="W238" t="s">
        <v>1125</v>
      </c>
      <c r="X238">
        <v>5</v>
      </c>
      <c r="Y238" t="s">
        <v>1173</v>
      </c>
      <c r="Z238" t="s">
        <v>1147</v>
      </c>
      <c r="AA238">
        <v>5</v>
      </c>
    </row>
    <row r="239" spans="1:27" x14ac:dyDescent="0.3">
      <c r="A239" t="s">
        <v>479</v>
      </c>
      <c r="B239" t="s">
        <v>1183</v>
      </c>
      <c r="C239" t="s">
        <v>1075</v>
      </c>
      <c r="D239" t="s">
        <v>1255</v>
      </c>
      <c r="E239" t="s">
        <v>1358</v>
      </c>
      <c r="F239" s="1">
        <v>46293.482638888891</v>
      </c>
      <c r="G239" s="1">
        <v>46293.489583333343</v>
      </c>
      <c r="H239">
        <v>6</v>
      </c>
      <c r="I239">
        <v>10</v>
      </c>
      <c r="J239" t="b">
        <v>0</v>
      </c>
      <c r="K239" t="b">
        <v>0</v>
      </c>
      <c r="L239" t="b">
        <v>0</v>
      </c>
      <c r="M239">
        <v>4</v>
      </c>
      <c r="N239" t="s">
        <v>1155</v>
      </c>
      <c r="O239" s="1">
        <v>46293.443749999999</v>
      </c>
      <c r="P239" t="b">
        <v>0</v>
      </c>
      <c r="Q239" t="s">
        <v>1145</v>
      </c>
      <c r="R239" t="s">
        <v>1131</v>
      </c>
      <c r="S239" t="s">
        <v>1152</v>
      </c>
      <c r="T239" t="s">
        <v>1122</v>
      </c>
      <c r="U239" t="s">
        <v>1172</v>
      </c>
      <c r="V239" t="s">
        <v>1141</v>
      </c>
      <c r="W239" t="s">
        <v>1257</v>
      </c>
      <c r="X239">
        <v>10</v>
      </c>
      <c r="Y239" t="s">
        <v>1185</v>
      </c>
      <c r="Z239" t="s">
        <v>1147</v>
      </c>
      <c r="AA239">
        <v>1.666666666666667</v>
      </c>
    </row>
    <row r="240" spans="1:27" x14ac:dyDescent="0.3">
      <c r="A240" t="s">
        <v>475</v>
      </c>
      <c r="B240" t="s">
        <v>1337</v>
      </c>
      <c r="C240" t="s">
        <v>1081</v>
      </c>
      <c r="D240" t="s">
        <v>1238</v>
      </c>
      <c r="E240" t="s">
        <v>1175</v>
      </c>
      <c r="F240" s="1">
        <v>46270.551388888889</v>
      </c>
      <c r="G240" s="1">
        <v>46270.558333333327</v>
      </c>
      <c r="H240">
        <v>2</v>
      </c>
      <c r="I240">
        <v>10</v>
      </c>
      <c r="J240" t="b">
        <v>0</v>
      </c>
      <c r="K240" t="b">
        <v>0</v>
      </c>
      <c r="L240" t="b">
        <v>0</v>
      </c>
      <c r="M240">
        <v>4</v>
      </c>
      <c r="N240" t="s">
        <v>1118</v>
      </c>
      <c r="O240" s="1">
        <v>46270.470138888893</v>
      </c>
      <c r="P240" t="b">
        <v>0</v>
      </c>
      <c r="Q240" t="s">
        <v>1169</v>
      </c>
      <c r="R240" t="s">
        <v>1139</v>
      </c>
      <c r="S240" t="s">
        <v>1152</v>
      </c>
      <c r="T240" t="s">
        <v>1180</v>
      </c>
      <c r="U240" t="s">
        <v>1247</v>
      </c>
      <c r="V240" t="s">
        <v>1151</v>
      </c>
      <c r="W240" t="s">
        <v>1131</v>
      </c>
      <c r="X240">
        <v>11</v>
      </c>
      <c r="Y240" t="s">
        <v>1173</v>
      </c>
      <c r="Z240" t="s">
        <v>1147</v>
      </c>
      <c r="AA240">
        <v>5</v>
      </c>
    </row>
    <row r="241" spans="1:27" x14ac:dyDescent="0.3">
      <c r="A241" t="s">
        <v>722</v>
      </c>
      <c r="B241" t="s">
        <v>1370</v>
      </c>
      <c r="C241" t="s">
        <v>1072</v>
      </c>
      <c r="D241" t="s">
        <v>1136</v>
      </c>
      <c r="E241" t="s">
        <v>1192</v>
      </c>
      <c r="F241" s="1">
        <v>46280.167361111111</v>
      </c>
      <c r="G241" s="1">
        <v>46280.174305555563</v>
      </c>
      <c r="H241">
        <v>7</v>
      </c>
      <c r="I241">
        <v>10</v>
      </c>
      <c r="J241" t="b">
        <v>0</v>
      </c>
      <c r="K241" t="b">
        <v>0</v>
      </c>
      <c r="L241" t="b">
        <v>0</v>
      </c>
      <c r="M241">
        <v>6</v>
      </c>
      <c r="N241" t="s">
        <v>1168</v>
      </c>
      <c r="O241" s="1">
        <v>46280.078472222223</v>
      </c>
      <c r="P241" t="b">
        <v>0</v>
      </c>
      <c r="Q241" t="s">
        <v>1151</v>
      </c>
      <c r="R241" t="s">
        <v>1139</v>
      </c>
      <c r="S241" t="s">
        <v>1132</v>
      </c>
      <c r="T241" t="s">
        <v>1180</v>
      </c>
      <c r="U241" t="s">
        <v>1172</v>
      </c>
      <c r="V241" t="s">
        <v>1141</v>
      </c>
      <c r="W241" t="s">
        <v>1125</v>
      </c>
      <c r="X241">
        <v>1</v>
      </c>
      <c r="Y241" t="s">
        <v>1126</v>
      </c>
      <c r="Z241" t="s">
        <v>1134</v>
      </c>
      <c r="AA241">
        <v>1.428571428571429</v>
      </c>
    </row>
    <row r="242" spans="1:27" x14ac:dyDescent="0.3">
      <c r="A242" t="s">
        <v>86</v>
      </c>
      <c r="B242" t="s">
        <v>1385</v>
      </c>
      <c r="C242" t="s">
        <v>1086</v>
      </c>
      <c r="D242" t="s">
        <v>1238</v>
      </c>
      <c r="E242" t="s">
        <v>1240</v>
      </c>
      <c r="F242" s="1">
        <v>46287.446527777778</v>
      </c>
      <c r="G242" s="1">
        <v>46287.453472222223</v>
      </c>
      <c r="H242">
        <v>5</v>
      </c>
      <c r="I242">
        <v>10</v>
      </c>
      <c r="J242" t="b">
        <v>0</v>
      </c>
      <c r="K242" t="b">
        <v>0</v>
      </c>
      <c r="L242" t="b">
        <v>0</v>
      </c>
      <c r="M242">
        <v>12</v>
      </c>
      <c r="N242" t="s">
        <v>1118</v>
      </c>
      <c r="O242" s="1">
        <v>46287.443749999999</v>
      </c>
      <c r="P242" t="b">
        <v>0</v>
      </c>
      <c r="Q242" t="s">
        <v>1156</v>
      </c>
      <c r="R242" t="s">
        <v>1120</v>
      </c>
      <c r="S242" t="s">
        <v>1145</v>
      </c>
      <c r="T242" t="s">
        <v>1122</v>
      </c>
      <c r="U242" t="s">
        <v>1145</v>
      </c>
      <c r="V242" t="s">
        <v>1151</v>
      </c>
      <c r="W242" t="s">
        <v>1131</v>
      </c>
      <c r="X242">
        <v>10</v>
      </c>
      <c r="Y242" t="s">
        <v>1126</v>
      </c>
      <c r="Z242" t="s">
        <v>1127</v>
      </c>
      <c r="AA242">
        <v>2</v>
      </c>
    </row>
    <row r="243" spans="1:27" x14ac:dyDescent="0.3">
      <c r="A243" t="s">
        <v>660</v>
      </c>
      <c r="B243" t="s">
        <v>1353</v>
      </c>
      <c r="C243" t="s">
        <v>1083</v>
      </c>
      <c r="D243" t="s">
        <v>1238</v>
      </c>
      <c r="E243" t="s">
        <v>1240</v>
      </c>
      <c r="F243" s="1">
        <v>46291.372916666667</v>
      </c>
      <c r="G243" s="1">
        <v>46291.379861111112</v>
      </c>
      <c r="H243">
        <v>2</v>
      </c>
      <c r="I243">
        <v>10</v>
      </c>
      <c r="J243" t="b">
        <v>0</v>
      </c>
      <c r="K243" t="b">
        <v>0</v>
      </c>
      <c r="L243" t="b">
        <v>0</v>
      </c>
      <c r="M243">
        <v>8</v>
      </c>
      <c r="N243" t="s">
        <v>1118</v>
      </c>
      <c r="O243" s="1">
        <v>46291.306944444441</v>
      </c>
      <c r="P243" t="b">
        <v>0</v>
      </c>
      <c r="Q243" t="s">
        <v>1156</v>
      </c>
      <c r="R243" t="s">
        <v>1120</v>
      </c>
      <c r="S243" t="s">
        <v>1145</v>
      </c>
      <c r="T243" t="s">
        <v>1180</v>
      </c>
      <c r="U243" t="s">
        <v>1123</v>
      </c>
      <c r="V243" t="s">
        <v>1151</v>
      </c>
      <c r="W243" t="s">
        <v>1131</v>
      </c>
      <c r="X243">
        <v>7</v>
      </c>
      <c r="Y243" t="s">
        <v>1173</v>
      </c>
      <c r="Z243" t="s">
        <v>1134</v>
      </c>
      <c r="AA243">
        <v>5</v>
      </c>
    </row>
    <row r="244" spans="1:27" x14ac:dyDescent="0.3">
      <c r="A244" t="s">
        <v>709</v>
      </c>
      <c r="B244" t="s">
        <v>1220</v>
      </c>
      <c r="C244" t="s">
        <v>1075</v>
      </c>
      <c r="D244" t="s">
        <v>1255</v>
      </c>
      <c r="E244" t="s">
        <v>1267</v>
      </c>
      <c r="F244" s="1">
        <v>46273.51458333333</v>
      </c>
      <c r="G244" s="1">
        <v>46273.521527777782</v>
      </c>
      <c r="H244">
        <v>6</v>
      </c>
      <c r="I244">
        <v>10</v>
      </c>
      <c r="J244" t="b">
        <v>0</v>
      </c>
      <c r="K244" t="b">
        <v>0</v>
      </c>
      <c r="L244" t="b">
        <v>0</v>
      </c>
      <c r="M244">
        <v>8</v>
      </c>
      <c r="N244" t="s">
        <v>1118</v>
      </c>
      <c r="O244" s="1">
        <v>46273.438194444447</v>
      </c>
      <c r="P244" t="b">
        <v>0</v>
      </c>
      <c r="Q244" t="s">
        <v>1151</v>
      </c>
      <c r="R244" t="s">
        <v>1145</v>
      </c>
      <c r="S244" t="s">
        <v>1121</v>
      </c>
      <c r="T244" t="s">
        <v>1122</v>
      </c>
      <c r="U244" t="s">
        <v>1172</v>
      </c>
      <c r="V244" t="s">
        <v>1141</v>
      </c>
      <c r="W244" t="s">
        <v>1257</v>
      </c>
      <c r="X244">
        <v>10</v>
      </c>
      <c r="Y244" t="s">
        <v>1126</v>
      </c>
      <c r="Z244" t="s">
        <v>1134</v>
      </c>
      <c r="AA244">
        <v>1.666666666666667</v>
      </c>
    </row>
    <row r="245" spans="1:27" x14ac:dyDescent="0.3">
      <c r="A245" t="s">
        <v>288</v>
      </c>
      <c r="B245" t="s">
        <v>1347</v>
      </c>
      <c r="C245" t="s">
        <v>1086</v>
      </c>
      <c r="D245" t="s">
        <v>1136</v>
      </c>
      <c r="E245" t="s">
        <v>1212</v>
      </c>
      <c r="F245" s="1">
        <v>46266.493055555547</v>
      </c>
      <c r="G245" s="1">
        <v>46266.5</v>
      </c>
      <c r="H245">
        <v>4</v>
      </c>
      <c r="I245">
        <v>10</v>
      </c>
      <c r="J245" t="b">
        <v>0</v>
      </c>
      <c r="K245" t="b">
        <v>0</v>
      </c>
      <c r="L245" t="b">
        <v>0</v>
      </c>
      <c r="M245">
        <v>20</v>
      </c>
      <c r="N245" t="s">
        <v>1130</v>
      </c>
      <c r="O245" s="1">
        <v>46266.458333333343</v>
      </c>
      <c r="P245" t="b">
        <v>0</v>
      </c>
      <c r="Q245" t="s">
        <v>1145</v>
      </c>
      <c r="R245" t="s">
        <v>1139</v>
      </c>
      <c r="S245" t="s">
        <v>1157</v>
      </c>
      <c r="T245" t="s">
        <v>1122</v>
      </c>
      <c r="U245" t="s">
        <v>1145</v>
      </c>
      <c r="V245" t="s">
        <v>1141</v>
      </c>
      <c r="W245" t="s">
        <v>1125</v>
      </c>
      <c r="X245">
        <v>11</v>
      </c>
      <c r="Y245" t="s">
        <v>1126</v>
      </c>
      <c r="Z245" t="s">
        <v>1127</v>
      </c>
      <c r="AA245">
        <v>2.5</v>
      </c>
    </row>
    <row r="246" spans="1:27" x14ac:dyDescent="0.3">
      <c r="A246" t="s">
        <v>679</v>
      </c>
      <c r="B246" t="s">
        <v>1386</v>
      </c>
      <c r="C246" t="s">
        <v>1061</v>
      </c>
      <c r="D246" t="s">
        <v>1238</v>
      </c>
      <c r="E246" t="s">
        <v>1312</v>
      </c>
      <c r="F246" s="1">
        <v>46282.454861111109</v>
      </c>
      <c r="G246" s="1">
        <v>46282.461805555547</v>
      </c>
      <c r="H246">
        <v>7</v>
      </c>
      <c r="I246">
        <v>10</v>
      </c>
      <c r="J246" t="b">
        <v>0</v>
      </c>
      <c r="K246" t="b">
        <v>0</v>
      </c>
      <c r="L246" t="b">
        <v>0</v>
      </c>
      <c r="M246">
        <v>6</v>
      </c>
      <c r="N246" t="s">
        <v>1155</v>
      </c>
      <c r="O246" s="1">
        <v>46282.35</v>
      </c>
      <c r="P246" t="b">
        <v>0</v>
      </c>
      <c r="Q246" t="s">
        <v>1119</v>
      </c>
      <c r="R246" t="s">
        <v>1120</v>
      </c>
      <c r="S246" t="s">
        <v>1157</v>
      </c>
      <c r="T246" t="s">
        <v>1145</v>
      </c>
      <c r="U246" t="s">
        <v>1172</v>
      </c>
      <c r="V246" t="s">
        <v>1151</v>
      </c>
      <c r="W246" t="s">
        <v>1131</v>
      </c>
      <c r="X246">
        <v>8</v>
      </c>
      <c r="Y246" t="s">
        <v>1146</v>
      </c>
      <c r="Z246" t="s">
        <v>1134</v>
      </c>
      <c r="AA246">
        <v>1.428571428571429</v>
      </c>
    </row>
    <row r="247" spans="1:27" x14ac:dyDescent="0.3">
      <c r="A247" t="s">
        <v>655</v>
      </c>
      <c r="B247" t="s">
        <v>1353</v>
      </c>
      <c r="C247" t="s">
        <v>1088</v>
      </c>
      <c r="D247" t="s">
        <v>1238</v>
      </c>
      <c r="E247" t="s">
        <v>1189</v>
      </c>
      <c r="F247" s="1">
        <v>46291.315972222219</v>
      </c>
      <c r="G247" s="1">
        <v>46291.322916666657</v>
      </c>
      <c r="H247">
        <v>7</v>
      </c>
      <c r="I247">
        <v>10</v>
      </c>
      <c r="J247" t="b">
        <v>0</v>
      </c>
      <c r="K247" t="b">
        <v>0</v>
      </c>
      <c r="L247" t="b">
        <v>0</v>
      </c>
      <c r="M247">
        <v>8</v>
      </c>
      <c r="N247" t="s">
        <v>1118</v>
      </c>
      <c r="O247" s="1">
        <v>46291.306944444441</v>
      </c>
      <c r="P247" t="b">
        <v>0</v>
      </c>
      <c r="Q247" t="s">
        <v>1138</v>
      </c>
      <c r="R247" t="s">
        <v>1131</v>
      </c>
      <c r="S247" t="s">
        <v>1152</v>
      </c>
      <c r="T247" t="s">
        <v>1140</v>
      </c>
      <c r="U247" t="s">
        <v>1123</v>
      </c>
      <c r="V247" t="s">
        <v>1151</v>
      </c>
      <c r="W247" t="s">
        <v>1131</v>
      </c>
      <c r="X247">
        <v>7</v>
      </c>
      <c r="Y247" t="s">
        <v>1173</v>
      </c>
      <c r="Z247" t="s">
        <v>1134</v>
      </c>
      <c r="AA247">
        <v>1.428571428571429</v>
      </c>
    </row>
    <row r="248" spans="1:27" x14ac:dyDescent="0.3">
      <c r="A248" t="s">
        <v>402</v>
      </c>
      <c r="B248" t="s">
        <v>1279</v>
      </c>
      <c r="C248" t="s">
        <v>1066</v>
      </c>
      <c r="D248" t="s">
        <v>1149</v>
      </c>
      <c r="E248" t="s">
        <v>1289</v>
      </c>
      <c r="F248" s="1">
        <v>46268.643750000003</v>
      </c>
      <c r="G248" s="1">
        <v>46268.650694444441</v>
      </c>
      <c r="H248">
        <v>6</v>
      </c>
      <c r="I248">
        <v>10</v>
      </c>
      <c r="J248" t="b">
        <v>0</v>
      </c>
      <c r="K248" t="b">
        <v>0</v>
      </c>
      <c r="L248" t="b">
        <v>0</v>
      </c>
      <c r="M248">
        <v>20</v>
      </c>
      <c r="N248" t="s">
        <v>1118</v>
      </c>
      <c r="O248" s="1">
        <v>46268.624305555553</v>
      </c>
      <c r="P248" t="b">
        <v>0</v>
      </c>
      <c r="Q248" t="s">
        <v>1145</v>
      </c>
      <c r="R248" t="s">
        <v>1139</v>
      </c>
      <c r="S248" t="s">
        <v>1152</v>
      </c>
      <c r="T248" t="s">
        <v>1122</v>
      </c>
      <c r="U248" t="s">
        <v>1247</v>
      </c>
      <c r="V248" t="s">
        <v>1152</v>
      </c>
      <c r="W248" t="s">
        <v>1145</v>
      </c>
      <c r="X248">
        <v>14</v>
      </c>
      <c r="Y248" t="s">
        <v>1146</v>
      </c>
      <c r="Z248" t="s">
        <v>1127</v>
      </c>
      <c r="AA248">
        <v>1.666666666666667</v>
      </c>
    </row>
    <row r="249" spans="1:27" x14ac:dyDescent="0.3">
      <c r="A249" t="s">
        <v>95</v>
      </c>
      <c r="B249" t="s">
        <v>1387</v>
      </c>
      <c r="C249" t="s">
        <v>1076</v>
      </c>
      <c r="D249" t="s">
        <v>1255</v>
      </c>
      <c r="E249" t="s">
        <v>1154</v>
      </c>
      <c r="F249" s="1">
        <v>46288.900694444441</v>
      </c>
      <c r="G249" s="1">
        <v>46288.907638888893</v>
      </c>
      <c r="H249">
        <v>5</v>
      </c>
      <c r="I249">
        <v>10</v>
      </c>
      <c r="J249" t="b">
        <v>0</v>
      </c>
      <c r="K249" t="b">
        <v>0</v>
      </c>
      <c r="L249" t="b">
        <v>0</v>
      </c>
      <c r="M249">
        <v>5</v>
      </c>
      <c r="N249" t="s">
        <v>1118</v>
      </c>
      <c r="O249" s="1">
        <v>46288.832638888889</v>
      </c>
      <c r="P249" t="b">
        <v>0</v>
      </c>
      <c r="Q249" t="s">
        <v>1156</v>
      </c>
      <c r="R249" t="s">
        <v>1131</v>
      </c>
      <c r="S249" t="s">
        <v>1157</v>
      </c>
      <c r="T249" t="s">
        <v>1122</v>
      </c>
      <c r="U249" t="s">
        <v>1172</v>
      </c>
      <c r="V249" t="s">
        <v>1141</v>
      </c>
      <c r="W249" t="s">
        <v>1257</v>
      </c>
      <c r="X249">
        <v>19</v>
      </c>
      <c r="Y249" t="s">
        <v>1161</v>
      </c>
      <c r="Z249" t="s">
        <v>1147</v>
      </c>
      <c r="AA249">
        <v>2</v>
      </c>
    </row>
    <row r="250" spans="1:27" x14ac:dyDescent="0.3">
      <c r="A250" t="s">
        <v>970</v>
      </c>
      <c r="B250" t="s">
        <v>1388</v>
      </c>
      <c r="C250" t="s">
        <v>1058</v>
      </c>
      <c r="D250" t="s">
        <v>1149</v>
      </c>
      <c r="E250" t="s">
        <v>1265</v>
      </c>
      <c r="F250" s="1">
        <v>46282.265972222223</v>
      </c>
      <c r="G250" s="1">
        <v>46282.272916666669</v>
      </c>
      <c r="H250">
        <v>5</v>
      </c>
      <c r="I250">
        <v>10</v>
      </c>
      <c r="J250" t="b">
        <v>0</v>
      </c>
      <c r="K250" t="b">
        <v>0</v>
      </c>
      <c r="L250" t="b">
        <v>0</v>
      </c>
      <c r="M250">
        <v>6</v>
      </c>
      <c r="N250" t="s">
        <v>1130</v>
      </c>
      <c r="O250" s="1">
        <v>46282.188194444447</v>
      </c>
      <c r="P250" t="b">
        <v>0</v>
      </c>
      <c r="Q250" t="s">
        <v>1179</v>
      </c>
      <c r="R250" t="s">
        <v>1139</v>
      </c>
      <c r="S250" t="s">
        <v>1157</v>
      </c>
      <c r="T250" t="s">
        <v>1122</v>
      </c>
      <c r="U250" t="s">
        <v>1145</v>
      </c>
      <c r="V250" t="s">
        <v>1152</v>
      </c>
      <c r="W250" t="s">
        <v>1145</v>
      </c>
      <c r="X250">
        <v>4</v>
      </c>
      <c r="Y250" t="s">
        <v>1146</v>
      </c>
      <c r="Z250" t="s">
        <v>1134</v>
      </c>
      <c r="AA250">
        <v>2</v>
      </c>
    </row>
    <row r="251" spans="1:27" x14ac:dyDescent="0.3">
      <c r="A251" t="s">
        <v>398</v>
      </c>
      <c r="B251" t="s">
        <v>1311</v>
      </c>
      <c r="C251" t="s">
        <v>1064</v>
      </c>
      <c r="D251" t="s">
        <v>1149</v>
      </c>
      <c r="E251" t="s">
        <v>1244</v>
      </c>
      <c r="F251" s="1">
        <v>46287.62777777778</v>
      </c>
      <c r="G251" s="1">
        <v>46287.634722222218</v>
      </c>
      <c r="H251">
        <v>2</v>
      </c>
      <c r="I251">
        <v>10</v>
      </c>
      <c r="J251" t="b">
        <v>0</v>
      </c>
      <c r="K251" t="b">
        <v>0</v>
      </c>
      <c r="L251" t="b">
        <v>0</v>
      </c>
      <c r="M251">
        <v>6</v>
      </c>
      <c r="N251" t="s">
        <v>1118</v>
      </c>
      <c r="O251" s="1">
        <v>46287.543749999997</v>
      </c>
      <c r="P251" t="b">
        <v>0</v>
      </c>
      <c r="Q251" t="s">
        <v>1119</v>
      </c>
      <c r="R251" t="s">
        <v>1120</v>
      </c>
      <c r="S251" t="s">
        <v>1121</v>
      </c>
      <c r="T251" t="s">
        <v>1122</v>
      </c>
      <c r="U251" t="s">
        <v>1123</v>
      </c>
      <c r="V251" t="s">
        <v>1152</v>
      </c>
      <c r="W251" t="s">
        <v>1145</v>
      </c>
      <c r="X251">
        <v>13</v>
      </c>
      <c r="Y251" t="s">
        <v>1126</v>
      </c>
      <c r="Z251" t="s">
        <v>1134</v>
      </c>
      <c r="AA251">
        <v>5</v>
      </c>
    </row>
    <row r="252" spans="1:27" x14ac:dyDescent="0.3">
      <c r="A252" t="s">
        <v>982</v>
      </c>
      <c r="B252" t="s">
        <v>1329</v>
      </c>
      <c r="C252" t="s">
        <v>1070</v>
      </c>
      <c r="D252" t="s">
        <v>1149</v>
      </c>
      <c r="E252" t="s">
        <v>1332</v>
      </c>
      <c r="F252" s="1">
        <v>46285.027777777781</v>
      </c>
      <c r="G252" s="1">
        <v>46285.034722222219</v>
      </c>
      <c r="H252">
        <v>5</v>
      </c>
      <c r="I252">
        <v>10</v>
      </c>
      <c r="J252" t="b">
        <v>0</v>
      </c>
      <c r="K252" t="b">
        <v>0</v>
      </c>
      <c r="L252" t="b">
        <v>0</v>
      </c>
      <c r="M252">
        <v>10</v>
      </c>
      <c r="N252" t="s">
        <v>1118</v>
      </c>
      <c r="O252" s="1">
        <v>46284.945833333331</v>
      </c>
      <c r="P252" t="b">
        <v>0</v>
      </c>
      <c r="Q252" t="s">
        <v>1179</v>
      </c>
      <c r="R252" t="s">
        <v>1120</v>
      </c>
      <c r="S252" t="s">
        <v>1132</v>
      </c>
      <c r="T252" t="s">
        <v>1180</v>
      </c>
      <c r="U252" t="s">
        <v>1145</v>
      </c>
      <c r="V252" t="s">
        <v>1152</v>
      </c>
      <c r="W252" t="s">
        <v>1145</v>
      </c>
      <c r="X252">
        <v>22</v>
      </c>
      <c r="Y252" t="s">
        <v>1173</v>
      </c>
      <c r="Z252" t="s">
        <v>1134</v>
      </c>
      <c r="AA252">
        <v>2</v>
      </c>
    </row>
    <row r="253" spans="1:27" x14ac:dyDescent="0.3">
      <c r="A253" t="s">
        <v>296</v>
      </c>
      <c r="B253" t="s">
        <v>1389</v>
      </c>
      <c r="C253" t="s">
        <v>1059</v>
      </c>
      <c r="D253" t="s">
        <v>1136</v>
      </c>
      <c r="E253" t="s">
        <v>1294</v>
      </c>
      <c r="F253" s="1">
        <v>46291.713888888888</v>
      </c>
      <c r="G253" s="1">
        <v>46291.720833333333</v>
      </c>
      <c r="H253">
        <v>3</v>
      </c>
      <c r="I253">
        <v>10</v>
      </c>
      <c r="J253" t="b">
        <v>0</v>
      </c>
      <c r="K253" t="b">
        <v>0</v>
      </c>
      <c r="L253" t="b">
        <v>0</v>
      </c>
      <c r="M253">
        <v>4</v>
      </c>
      <c r="N253" t="s">
        <v>1118</v>
      </c>
      <c r="O253" s="1">
        <v>46291.708333333343</v>
      </c>
      <c r="P253" t="b">
        <v>0</v>
      </c>
      <c r="Q253" t="s">
        <v>1119</v>
      </c>
      <c r="R253" t="s">
        <v>1145</v>
      </c>
      <c r="S253" t="s">
        <v>1132</v>
      </c>
      <c r="T253" t="s">
        <v>1122</v>
      </c>
      <c r="U253" t="s">
        <v>1172</v>
      </c>
      <c r="V253" t="s">
        <v>1141</v>
      </c>
      <c r="W253" t="s">
        <v>1125</v>
      </c>
      <c r="X253">
        <v>17</v>
      </c>
      <c r="Y253" t="s">
        <v>1173</v>
      </c>
      <c r="Z253" t="s">
        <v>1147</v>
      </c>
      <c r="AA253">
        <v>3.333333333333333</v>
      </c>
    </row>
    <row r="254" spans="1:27" x14ac:dyDescent="0.3">
      <c r="A254" t="s">
        <v>301</v>
      </c>
      <c r="B254" t="s">
        <v>1390</v>
      </c>
      <c r="C254" t="s">
        <v>1088</v>
      </c>
      <c r="D254" t="s">
        <v>1339</v>
      </c>
      <c r="E254" t="s">
        <v>1137</v>
      </c>
      <c r="F254" s="1">
        <v>46273.157638888893</v>
      </c>
      <c r="G254" s="1">
        <v>46273.164583333331</v>
      </c>
      <c r="H254">
        <v>3</v>
      </c>
      <c r="I254">
        <v>10</v>
      </c>
      <c r="J254" t="b">
        <v>0</v>
      </c>
      <c r="K254" t="b">
        <v>0</v>
      </c>
      <c r="L254" t="b">
        <v>0</v>
      </c>
      <c r="M254">
        <v>6</v>
      </c>
      <c r="N254" t="s">
        <v>1118</v>
      </c>
      <c r="O254" s="1">
        <v>46273.107638888891</v>
      </c>
      <c r="P254" t="b">
        <v>0</v>
      </c>
      <c r="Q254" t="s">
        <v>1138</v>
      </c>
      <c r="R254" t="s">
        <v>1139</v>
      </c>
      <c r="S254" t="s">
        <v>1132</v>
      </c>
      <c r="T254" t="s">
        <v>1140</v>
      </c>
      <c r="U254" t="s">
        <v>1123</v>
      </c>
      <c r="V254" t="s">
        <v>1284</v>
      </c>
      <c r="W254" t="s">
        <v>1257</v>
      </c>
      <c r="X254">
        <v>2</v>
      </c>
      <c r="Y254" t="s">
        <v>1126</v>
      </c>
      <c r="Z254" t="s">
        <v>1134</v>
      </c>
      <c r="AA254">
        <v>3.333333333333333</v>
      </c>
    </row>
    <row r="255" spans="1:27" x14ac:dyDescent="0.3">
      <c r="A255" t="s">
        <v>648</v>
      </c>
      <c r="B255" t="s">
        <v>1327</v>
      </c>
      <c r="C255" t="s">
        <v>1088</v>
      </c>
      <c r="D255" t="s">
        <v>1238</v>
      </c>
      <c r="E255" t="s">
        <v>1144</v>
      </c>
      <c r="F255" s="1">
        <v>46269.411111111112</v>
      </c>
      <c r="G255" s="1">
        <v>46269.418055555558</v>
      </c>
      <c r="H255">
        <v>5</v>
      </c>
      <c r="I255">
        <v>10</v>
      </c>
      <c r="J255" t="b">
        <v>0</v>
      </c>
      <c r="K255" t="b">
        <v>0</v>
      </c>
      <c r="L255" t="b">
        <v>0</v>
      </c>
      <c r="M255">
        <v>12</v>
      </c>
      <c r="N255" t="s">
        <v>1130</v>
      </c>
      <c r="O255" s="1">
        <v>46269.290277777778</v>
      </c>
      <c r="P255" t="b">
        <v>0</v>
      </c>
      <c r="Q255" t="s">
        <v>1138</v>
      </c>
      <c r="R255" t="s">
        <v>1120</v>
      </c>
      <c r="S255" t="s">
        <v>1145</v>
      </c>
      <c r="T255" t="s">
        <v>1140</v>
      </c>
      <c r="U255" t="s">
        <v>1123</v>
      </c>
      <c r="V255" t="s">
        <v>1151</v>
      </c>
      <c r="W255" t="s">
        <v>1131</v>
      </c>
      <c r="X255">
        <v>6</v>
      </c>
      <c r="Y255" t="s">
        <v>1142</v>
      </c>
      <c r="Z255" t="s">
        <v>1127</v>
      </c>
      <c r="AA255">
        <v>2</v>
      </c>
    </row>
    <row r="256" spans="1:27" x14ac:dyDescent="0.3">
      <c r="A256" t="s">
        <v>628</v>
      </c>
      <c r="B256" t="s">
        <v>1391</v>
      </c>
      <c r="C256" t="s">
        <v>1059</v>
      </c>
      <c r="D256" t="s">
        <v>1255</v>
      </c>
      <c r="E256" t="s">
        <v>1287</v>
      </c>
      <c r="F256" s="1">
        <v>46282.75</v>
      </c>
      <c r="G256" s="1">
        <v>46282.756944444453</v>
      </c>
      <c r="H256">
        <v>6</v>
      </c>
      <c r="I256">
        <v>10</v>
      </c>
      <c r="J256" t="b">
        <v>0</v>
      </c>
      <c r="K256" t="b">
        <v>0</v>
      </c>
      <c r="L256" t="b">
        <v>0</v>
      </c>
      <c r="M256">
        <v>2</v>
      </c>
      <c r="N256" t="s">
        <v>1118</v>
      </c>
      <c r="O256" s="1">
        <v>46282.6875</v>
      </c>
      <c r="P256" t="b">
        <v>0</v>
      </c>
      <c r="Q256" t="s">
        <v>1179</v>
      </c>
      <c r="R256" t="s">
        <v>1120</v>
      </c>
      <c r="S256" t="s">
        <v>1145</v>
      </c>
      <c r="T256" t="s">
        <v>1122</v>
      </c>
      <c r="U256" t="s">
        <v>1172</v>
      </c>
      <c r="V256" t="s">
        <v>1141</v>
      </c>
      <c r="W256" t="s">
        <v>1257</v>
      </c>
      <c r="X256">
        <v>16</v>
      </c>
      <c r="Y256" t="s">
        <v>1146</v>
      </c>
      <c r="Z256" t="s">
        <v>1147</v>
      </c>
      <c r="AA256">
        <v>1.666666666666667</v>
      </c>
    </row>
    <row r="257" spans="1:27" x14ac:dyDescent="0.3">
      <c r="A257" t="s">
        <v>278</v>
      </c>
      <c r="B257" t="s">
        <v>1333</v>
      </c>
      <c r="C257" t="s">
        <v>1063</v>
      </c>
      <c r="D257" t="s">
        <v>1116</v>
      </c>
      <c r="E257" t="s">
        <v>1256</v>
      </c>
      <c r="F257" s="1">
        <v>46290.844444444447</v>
      </c>
      <c r="G257" s="1">
        <v>46290.851388888892</v>
      </c>
      <c r="H257">
        <v>7</v>
      </c>
      <c r="I257">
        <v>10</v>
      </c>
      <c r="J257" t="b">
        <v>0</v>
      </c>
      <c r="K257" t="b">
        <v>0</v>
      </c>
      <c r="L257" t="b">
        <v>0</v>
      </c>
      <c r="M257">
        <v>20</v>
      </c>
      <c r="N257" t="s">
        <v>1118</v>
      </c>
      <c r="O257" s="1">
        <v>46290.806250000001</v>
      </c>
      <c r="P257" t="b">
        <v>0</v>
      </c>
      <c r="Q257" t="s">
        <v>1145</v>
      </c>
      <c r="R257" t="s">
        <v>1139</v>
      </c>
      <c r="S257" t="s">
        <v>1157</v>
      </c>
      <c r="T257" t="s">
        <v>1122</v>
      </c>
      <c r="U257" t="s">
        <v>1172</v>
      </c>
      <c r="V257" t="s">
        <v>1124</v>
      </c>
      <c r="W257" t="s">
        <v>1125</v>
      </c>
      <c r="X257">
        <v>19</v>
      </c>
      <c r="Y257" t="s">
        <v>1142</v>
      </c>
      <c r="Z257" t="s">
        <v>1127</v>
      </c>
      <c r="AA257">
        <v>1.428571428571429</v>
      </c>
    </row>
    <row r="258" spans="1:27" x14ac:dyDescent="0.3">
      <c r="A258" t="s">
        <v>311</v>
      </c>
      <c r="B258" t="s">
        <v>1350</v>
      </c>
      <c r="C258" t="s">
        <v>1066</v>
      </c>
      <c r="D258" t="s">
        <v>1116</v>
      </c>
      <c r="E258" t="s">
        <v>1196</v>
      </c>
      <c r="F258" s="1">
        <v>46277.218055555553</v>
      </c>
      <c r="G258" s="1">
        <v>46277.224999999999</v>
      </c>
      <c r="H258">
        <v>1</v>
      </c>
      <c r="I258">
        <v>10</v>
      </c>
      <c r="J258" t="b">
        <v>0</v>
      </c>
      <c r="K258" t="b">
        <v>0</v>
      </c>
      <c r="L258" t="b">
        <v>0</v>
      </c>
      <c r="M258">
        <v>8</v>
      </c>
      <c r="N258" t="s">
        <v>1130</v>
      </c>
      <c r="O258" s="1">
        <v>46277.207638888889</v>
      </c>
      <c r="P258" t="b">
        <v>0</v>
      </c>
      <c r="Q258" t="s">
        <v>1138</v>
      </c>
      <c r="R258" t="s">
        <v>1120</v>
      </c>
      <c r="S258" t="s">
        <v>1121</v>
      </c>
      <c r="T258" t="s">
        <v>1122</v>
      </c>
      <c r="U258" t="s">
        <v>1247</v>
      </c>
      <c r="V258" t="s">
        <v>1124</v>
      </c>
      <c r="W258" t="s">
        <v>1125</v>
      </c>
      <c r="X258">
        <v>4</v>
      </c>
      <c r="Y258" t="s">
        <v>1173</v>
      </c>
      <c r="Z258" t="s">
        <v>1134</v>
      </c>
      <c r="AA258">
        <v>10</v>
      </c>
    </row>
    <row r="259" spans="1:27" x14ac:dyDescent="0.3">
      <c r="A259" t="s">
        <v>627</v>
      </c>
      <c r="B259" t="s">
        <v>1391</v>
      </c>
      <c r="C259" t="s">
        <v>1074</v>
      </c>
      <c r="D259" t="s">
        <v>1280</v>
      </c>
      <c r="E259" t="s">
        <v>1175</v>
      </c>
      <c r="F259" s="1">
        <v>46282.745833333327</v>
      </c>
      <c r="G259" s="1">
        <v>46282.75277777778</v>
      </c>
      <c r="H259">
        <v>7</v>
      </c>
      <c r="I259">
        <v>10</v>
      </c>
      <c r="J259" t="b">
        <v>0</v>
      </c>
      <c r="K259" t="b">
        <v>0</v>
      </c>
      <c r="L259" t="b">
        <v>0</v>
      </c>
      <c r="M259">
        <v>2</v>
      </c>
      <c r="N259" t="s">
        <v>1118</v>
      </c>
      <c r="O259" s="1">
        <v>46282.6875</v>
      </c>
      <c r="P259" t="b">
        <v>0</v>
      </c>
      <c r="Q259" t="s">
        <v>1169</v>
      </c>
      <c r="R259" t="s">
        <v>1139</v>
      </c>
      <c r="S259" t="s">
        <v>1152</v>
      </c>
      <c r="T259" t="s">
        <v>1145</v>
      </c>
      <c r="U259" t="s">
        <v>1145</v>
      </c>
      <c r="V259" t="s">
        <v>1151</v>
      </c>
      <c r="W259" t="s">
        <v>1257</v>
      </c>
      <c r="X259">
        <v>16</v>
      </c>
      <c r="Y259" t="s">
        <v>1146</v>
      </c>
      <c r="Z259" t="s">
        <v>1147</v>
      </c>
      <c r="AA259">
        <v>1.428571428571429</v>
      </c>
    </row>
    <row r="260" spans="1:27" x14ac:dyDescent="0.3">
      <c r="A260" t="s">
        <v>691</v>
      </c>
      <c r="B260" t="s">
        <v>1392</v>
      </c>
      <c r="C260" t="s">
        <v>1081</v>
      </c>
      <c r="D260" t="s">
        <v>1116</v>
      </c>
      <c r="E260" t="s">
        <v>1231</v>
      </c>
      <c r="F260" s="1">
        <v>46279.779166666667</v>
      </c>
      <c r="G260" s="1">
        <v>46279.786111111112</v>
      </c>
      <c r="H260">
        <v>2</v>
      </c>
      <c r="I260">
        <v>10</v>
      </c>
      <c r="J260" t="b">
        <v>0</v>
      </c>
      <c r="K260" t="b">
        <v>0</v>
      </c>
      <c r="L260" t="b">
        <v>0</v>
      </c>
      <c r="M260">
        <v>12</v>
      </c>
      <c r="N260" t="s">
        <v>1118</v>
      </c>
      <c r="O260" s="1">
        <v>46279.723611111112</v>
      </c>
      <c r="P260" t="b">
        <v>0</v>
      </c>
      <c r="Q260" t="s">
        <v>1169</v>
      </c>
      <c r="R260" t="s">
        <v>1131</v>
      </c>
      <c r="S260" t="s">
        <v>1152</v>
      </c>
      <c r="T260" t="s">
        <v>1180</v>
      </c>
      <c r="U260" t="s">
        <v>1247</v>
      </c>
      <c r="V260" t="s">
        <v>1124</v>
      </c>
      <c r="W260" t="s">
        <v>1125</v>
      </c>
      <c r="X260">
        <v>17</v>
      </c>
      <c r="Y260" t="s">
        <v>1185</v>
      </c>
      <c r="Z260" t="s">
        <v>1127</v>
      </c>
      <c r="AA260">
        <v>5</v>
      </c>
    </row>
    <row r="261" spans="1:27" x14ac:dyDescent="0.3">
      <c r="A261" t="s">
        <v>689</v>
      </c>
      <c r="B261" t="s">
        <v>1392</v>
      </c>
      <c r="C261" t="s">
        <v>1070</v>
      </c>
      <c r="D261" t="s">
        <v>1136</v>
      </c>
      <c r="E261" t="s">
        <v>1198</v>
      </c>
      <c r="F261" s="1">
        <v>46279.798611111109</v>
      </c>
      <c r="G261" s="1">
        <v>46279.805555555547</v>
      </c>
      <c r="H261">
        <v>2</v>
      </c>
      <c r="I261">
        <v>10</v>
      </c>
      <c r="J261" t="b">
        <v>0</v>
      </c>
      <c r="K261" t="b">
        <v>0</v>
      </c>
      <c r="L261" t="b">
        <v>0</v>
      </c>
      <c r="M261">
        <v>12</v>
      </c>
      <c r="N261" t="s">
        <v>1118</v>
      </c>
      <c r="O261" s="1">
        <v>46279.723611111112</v>
      </c>
      <c r="P261" t="b">
        <v>0</v>
      </c>
      <c r="Q261" t="s">
        <v>1169</v>
      </c>
      <c r="R261" t="s">
        <v>1131</v>
      </c>
      <c r="S261" t="s">
        <v>1145</v>
      </c>
      <c r="T261" t="s">
        <v>1180</v>
      </c>
      <c r="U261" t="s">
        <v>1145</v>
      </c>
      <c r="V261" t="s">
        <v>1141</v>
      </c>
      <c r="W261" t="s">
        <v>1125</v>
      </c>
      <c r="X261">
        <v>17</v>
      </c>
      <c r="Y261" t="s">
        <v>1185</v>
      </c>
      <c r="Z261" t="s">
        <v>1127</v>
      </c>
      <c r="AA261">
        <v>5</v>
      </c>
    </row>
    <row r="262" spans="1:27" x14ac:dyDescent="0.3">
      <c r="A262" t="s">
        <v>1000</v>
      </c>
      <c r="B262" t="s">
        <v>1365</v>
      </c>
      <c r="C262" t="s">
        <v>1068</v>
      </c>
      <c r="D262" t="s">
        <v>1136</v>
      </c>
      <c r="E262" t="s">
        <v>1196</v>
      </c>
      <c r="F262" s="1">
        <v>46276.925000000003</v>
      </c>
      <c r="G262" s="1">
        <v>46276.931944444441</v>
      </c>
      <c r="H262">
        <v>7</v>
      </c>
      <c r="I262">
        <v>10</v>
      </c>
      <c r="J262" t="b">
        <v>0</v>
      </c>
      <c r="K262" t="b">
        <v>0</v>
      </c>
      <c r="L262" t="b">
        <v>0</v>
      </c>
      <c r="M262">
        <v>12</v>
      </c>
      <c r="N262" t="s">
        <v>1118</v>
      </c>
      <c r="O262" s="1">
        <v>46276.809027777781</v>
      </c>
      <c r="P262" t="b">
        <v>0</v>
      </c>
      <c r="Q262" t="s">
        <v>1138</v>
      </c>
      <c r="R262" t="s">
        <v>1120</v>
      </c>
      <c r="S262" t="s">
        <v>1121</v>
      </c>
      <c r="T262" t="s">
        <v>1122</v>
      </c>
      <c r="U262" t="s">
        <v>1123</v>
      </c>
      <c r="V262" t="s">
        <v>1141</v>
      </c>
      <c r="W262" t="s">
        <v>1125</v>
      </c>
      <c r="X262">
        <v>19</v>
      </c>
      <c r="Y262" t="s">
        <v>1142</v>
      </c>
      <c r="Z262" t="s">
        <v>1127</v>
      </c>
      <c r="AA262">
        <v>1.428571428571429</v>
      </c>
    </row>
    <row r="263" spans="1:27" x14ac:dyDescent="0.3">
      <c r="A263" t="s">
        <v>1026</v>
      </c>
      <c r="B263" t="s">
        <v>1222</v>
      </c>
      <c r="C263" t="s">
        <v>1073</v>
      </c>
      <c r="D263" t="s">
        <v>1136</v>
      </c>
      <c r="E263" t="s">
        <v>1307</v>
      </c>
      <c r="F263" s="1">
        <v>46274.17083333333</v>
      </c>
      <c r="G263" s="1">
        <v>46274.177777777782</v>
      </c>
      <c r="H263">
        <v>4</v>
      </c>
      <c r="I263">
        <v>10</v>
      </c>
      <c r="J263" t="b">
        <v>0</v>
      </c>
      <c r="K263" t="b">
        <v>0</v>
      </c>
      <c r="L263" t="b">
        <v>0</v>
      </c>
      <c r="M263">
        <v>6</v>
      </c>
      <c r="N263" t="s">
        <v>1168</v>
      </c>
      <c r="O263" s="1">
        <v>46274.064583333333</v>
      </c>
      <c r="P263" t="b">
        <v>0</v>
      </c>
      <c r="Q263" t="s">
        <v>1151</v>
      </c>
      <c r="R263" t="s">
        <v>1139</v>
      </c>
      <c r="S263" t="s">
        <v>1121</v>
      </c>
      <c r="T263" t="s">
        <v>1122</v>
      </c>
      <c r="U263" t="s">
        <v>1247</v>
      </c>
      <c r="V263" t="s">
        <v>1141</v>
      </c>
      <c r="W263" t="s">
        <v>1125</v>
      </c>
      <c r="X263">
        <v>1</v>
      </c>
      <c r="Y263" t="s">
        <v>1161</v>
      </c>
      <c r="Z263" t="s">
        <v>1134</v>
      </c>
      <c r="AA263">
        <v>2.5</v>
      </c>
    </row>
    <row r="264" spans="1:27" x14ac:dyDescent="0.3">
      <c r="A264" t="s">
        <v>1030</v>
      </c>
      <c r="B264" t="s">
        <v>1224</v>
      </c>
      <c r="C264" t="s">
        <v>1058</v>
      </c>
      <c r="D264" t="s">
        <v>1238</v>
      </c>
      <c r="E264" t="s">
        <v>1305</v>
      </c>
      <c r="F264" s="1">
        <v>46274.760416666657</v>
      </c>
      <c r="G264" s="1">
        <v>46274.76666666667</v>
      </c>
      <c r="H264">
        <v>5</v>
      </c>
      <c r="I264">
        <v>9</v>
      </c>
      <c r="J264" t="b">
        <v>0</v>
      </c>
      <c r="K264" t="b">
        <v>0</v>
      </c>
      <c r="L264" t="b">
        <v>0</v>
      </c>
      <c r="M264">
        <v>10</v>
      </c>
      <c r="N264" t="s">
        <v>1130</v>
      </c>
      <c r="O264" s="1">
        <v>46274.694444444453</v>
      </c>
      <c r="P264" t="b">
        <v>0</v>
      </c>
      <c r="Q264" t="s">
        <v>1156</v>
      </c>
      <c r="R264" t="s">
        <v>1131</v>
      </c>
      <c r="S264" t="s">
        <v>1157</v>
      </c>
      <c r="T264" t="s">
        <v>1122</v>
      </c>
      <c r="U264" t="s">
        <v>1145</v>
      </c>
      <c r="V264" t="s">
        <v>1151</v>
      </c>
      <c r="W264" t="s">
        <v>1131</v>
      </c>
      <c r="X264">
        <v>16</v>
      </c>
      <c r="Y264" t="s">
        <v>1161</v>
      </c>
      <c r="Z264" t="s">
        <v>1134</v>
      </c>
      <c r="AA264">
        <v>1.8</v>
      </c>
    </row>
    <row r="265" spans="1:27" x14ac:dyDescent="0.3">
      <c r="A265" t="s">
        <v>412</v>
      </c>
      <c r="B265" t="s">
        <v>1393</v>
      </c>
      <c r="C265" t="s">
        <v>1065</v>
      </c>
      <c r="D265" t="s">
        <v>1149</v>
      </c>
      <c r="E265" t="s">
        <v>1233</v>
      </c>
      <c r="F265" s="1">
        <v>46291.036111111112</v>
      </c>
      <c r="G265" s="1">
        <v>46291.042361111111</v>
      </c>
      <c r="H265">
        <v>3</v>
      </c>
      <c r="I265">
        <v>9</v>
      </c>
      <c r="J265" t="b">
        <v>0</v>
      </c>
      <c r="K265" t="b">
        <v>0</v>
      </c>
      <c r="L265" t="b">
        <v>0</v>
      </c>
      <c r="M265">
        <v>4</v>
      </c>
      <c r="N265" t="s">
        <v>1118</v>
      </c>
      <c r="O265" s="1">
        <v>46291.000694444447</v>
      </c>
      <c r="P265" t="b">
        <v>0</v>
      </c>
      <c r="Q265" t="s">
        <v>1179</v>
      </c>
      <c r="R265" t="s">
        <v>1120</v>
      </c>
      <c r="S265" t="s">
        <v>1132</v>
      </c>
      <c r="T265" t="s">
        <v>1180</v>
      </c>
      <c r="U265" t="s">
        <v>1247</v>
      </c>
      <c r="V265" t="s">
        <v>1152</v>
      </c>
      <c r="W265" t="s">
        <v>1145</v>
      </c>
      <c r="X265">
        <v>0</v>
      </c>
      <c r="Y265" t="s">
        <v>1173</v>
      </c>
      <c r="Z265" t="s">
        <v>1147</v>
      </c>
      <c r="AA265">
        <v>3</v>
      </c>
    </row>
    <row r="266" spans="1:27" x14ac:dyDescent="0.3">
      <c r="A266" t="s">
        <v>417</v>
      </c>
      <c r="B266" t="s">
        <v>1361</v>
      </c>
      <c r="C266" t="s">
        <v>1059</v>
      </c>
      <c r="D266" t="s">
        <v>1149</v>
      </c>
      <c r="E266" t="s">
        <v>1307</v>
      </c>
      <c r="F266" s="1">
        <v>46290.467361111107</v>
      </c>
      <c r="G266" s="1">
        <v>46290.473611111112</v>
      </c>
      <c r="H266">
        <v>1</v>
      </c>
      <c r="I266">
        <v>9</v>
      </c>
      <c r="J266" t="b">
        <v>0</v>
      </c>
      <c r="K266" t="b">
        <v>0</v>
      </c>
      <c r="L266" t="b">
        <v>0</v>
      </c>
      <c r="M266">
        <v>4</v>
      </c>
      <c r="N266" t="s">
        <v>1168</v>
      </c>
      <c r="O266" s="1">
        <v>46290.427777777782</v>
      </c>
      <c r="P266" t="b">
        <v>0</v>
      </c>
      <c r="Q266" t="s">
        <v>1151</v>
      </c>
      <c r="R266" t="s">
        <v>1139</v>
      </c>
      <c r="S266" t="s">
        <v>1121</v>
      </c>
      <c r="T266" t="s">
        <v>1122</v>
      </c>
      <c r="U266" t="s">
        <v>1172</v>
      </c>
      <c r="V266" t="s">
        <v>1152</v>
      </c>
      <c r="W266" t="s">
        <v>1145</v>
      </c>
      <c r="X266">
        <v>10</v>
      </c>
      <c r="Y266" t="s">
        <v>1142</v>
      </c>
      <c r="Z266" t="s">
        <v>1147</v>
      </c>
      <c r="AA266">
        <v>9</v>
      </c>
    </row>
    <row r="267" spans="1:27" x14ac:dyDescent="0.3">
      <c r="A267" t="s">
        <v>418</v>
      </c>
      <c r="B267" t="s">
        <v>1394</v>
      </c>
      <c r="C267" t="s">
        <v>1085</v>
      </c>
      <c r="D267" t="s">
        <v>1149</v>
      </c>
      <c r="E267" t="s">
        <v>1332</v>
      </c>
      <c r="F267" s="1">
        <v>46271.879861111112</v>
      </c>
      <c r="G267" s="1">
        <v>46271.886111111111</v>
      </c>
      <c r="H267">
        <v>2</v>
      </c>
      <c r="I267">
        <v>9</v>
      </c>
      <c r="J267" t="b">
        <v>0</v>
      </c>
      <c r="K267" t="b">
        <v>0</v>
      </c>
      <c r="L267" t="b">
        <v>0</v>
      </c>
      <c r="M267">
        <v>2</v>
      </c>
      <c r="N267" t="s">
        <v>1130</v>
      </c>
      <c r="O267" s="1">
        <v>46271.756249999999</v>
      </c>
      <c r="P267" t="b">
        <v>0</v>
      </c>
      <c r="Q267" t="s">
        <v>1179</v>
      </c>
      <c r="R267" t="s">
        <v>1120</v>
      </c>
      <c r="S267" t="s">
        <v>1132</v>
      </c>
      <c r="T267" t="s">
        <v>1122</v>
      </c>
      <c r="U267" t="s">
        <v>1247</v>
      </c>
      <c r="V267" t="s">
        <v>1152</v>
      </c>
      <c r="W267" t="s">
        <v>1145</v>
      </c>
      <c r="X267">
        <v>18</v>
      </c>
      <c r="Y267" t="s">
        <v>1133</v>
      </c>
      <c r="Z267" t="s">
        <v>1147</v>
      </c>
      <c r="AA267">
        <v>4.5</v>
      </c>
    </row>
    <row r="268" spans="1:27" x14ac:dyDescent="0.3">
      <c r="A268" t="s">
        <v>420</v>
      </c>
      <c r="B268" t="s">
        <v>1395</v>
      </c>
      <c r="C268" t="s">
        <v>1065</v>
      </c>
      <c r="D268" t="s">
        <v>1149</v>
      </c>
      <c r="E268" t="s">
        <v>1332</v>
      </c>
      <c r="F268" s="1">
        <v>46281.779166666667</v>
      </c>
      <c r="G268" s="1">
        <v>46281.785416666673</v>
      </c>
      <c r="H268">
        <v>1</v>
      </c>
      <c r="I268">
        <v>9</v>
      </c>
      <c r="J268" t="b">
        <v>0</v>
      </c>
      <c r="K268" t="b">
        <v>0</v>
      </c>
      <c r="L268" t="b">
        <v>0</v>
      </c>
      <c r="M268">
        <v>5</v>
      </c>
      <c r="N268" t="s">
        <v>1130</v>
      </c>
      <c r="O268" s="1">
        <v>46281.706250000003</v>
      </c>
      <c r="P268" t="b">
        <v>0</v>
      </c>
      <c r="Q268" t="s">
        <v>1179</v>
      </c>
      <c r="R268" t="s">
        <v>1120</v>
      </c>
      <c r="S268" t="s">
        <v>1132</v>
      </c>
      <c r="T268" t="s">
        <v>1180</v>
      </c>
      <c r="U268" t="s">
        <v>1247</v>
      </c>
      <c r="V268" t="s">
        <v>1152</v>
      </c>
      <c r="W268" t="s">
        <v>1145</v>
      </c>
      <c r="X268">
        <v>16</v>
      </c>
      <c r="Y268" t="s">
        <v>1161</v>
      </c>
      <c r="Z268" t="s">
        <v>1147</v>
      </c>
      <c r="AA268">
        <v>9</v>
      </c>
    </row>
    <row r="269" spans="1:27" x14ac:dyDescent="0.3">
      <c r="A269" t="s">
        <v>1004</v>
      </c>
      <c r="B269" t="s">
        <v>1331</v>
      </c>
      <c r="C269" t="s">
        <v>1074</v>
      </c>
      <c r="D269" t="s">
        <v>1136</v>
      </c>
      <c r="E269" t="s">
        <v>1207</v>
      </c>
      <c r="F269" s="1">
        <v>46272.661805555559</v>
      </c>
      <c r="G269" s="1">
        <v>46272.668055555558</v>
      </c>
      <c r="H269">
        <v>4</v>
      </c>
      <c r="I269">
        <v>9</v>
      </c>
      <c r="J269" t="b">
        <v>0</v>
      </c>
      <c r="K269" t="b">
        <v>0</v>
      </c>
      <c r="L269" t="b">
        <v>0</v>
      </c>
      <c r="M269">
        <v>10</v>
      </c>
      <c r="N269" t="s">
        <v>1168</v>
      </c>
      <c r="O269" s="1">
        <v>46272.580555555563</v>
      </c>
      <c r="P269" t="b">
        <v>0</v>
      </c>
      <c r="Q269" t="s">
        <v>1179</v>
      </c>
      <c r="R269" t="s">
        <v>1131</v>
      </c>
      <c r="S269" t="s">
        <v>1157</v>
      </c>
      <c r="T269" t="s">
        <v>1145</v>
      </c>
      <c r="U269" t="s">
        <v>1145</v>
      </c>
      <c r="V269" t="s">
        <v>1141</v>
      </c>
      <c r="W269" t="s">
        <v>1125</v>
      </c>
      <c r="X269">
        <v>13</v>
      </c>
      <c r="Y269" t="s">
        <v>1185</v>
      </c>
      <c r="Z269" t="s">
        <v>1134</v>
      </c>
      <c r="AA269">
        <v>2.25</v>
      </c>
    </row>
    <row r="270" spans="1:27" x14ac:dyDescent="0.3">
      <c r="A270" t="s">
        <v>1014</v>
      </c>
      <c r="B270" t="s">
        <v>1396</v>
      </c>
      <c r="C270" t="s">
        <v>1075</v>
      </c>
      <c r="D270" t="s">
        <v>1149</v>
      </c>
      <c r="E270" t="s">
        <v>1356</v>
      </c>
      <c r="F270" s="1">
        <v>46279.3</v>
      </c>
      <c r="G270" s="1">
        <v>46279.306250000001</v>
      </c>
      <c r="H270">
        <v>3</v>
      </c>
      <c r="I270">
        <v>9</v>
      </c>
      <c r="J270" t="b">
        <v>0</v>
      </c>
      <c r="K270" t="b">
        <v>0</v>
      </c>
      <c r="L270" t="b">
        <v>0</v>
      </c>
      <c r="M270">
        <v>8</v>
      </c>
      <c r="N270" t="s">
        <v>1118</v>
      </c>
      <c r="O270" s="1">
        <v>46279.265277777777</v>
      </c>
      <c r="P270" t="b">
        <v>0</v>
      </c>
      <c r="Q270" t="s">
        <v>1145</v>
      </c>
      <c r="R270" t="s">
        <v>1120</v>
      </c>
      <c r="S270" t="s">
        <v>1132</v>
      </c>
      <c r="T270" t="s">
        <v>1122</v>
      </c>
      <c r="U270" t="s">
        <v>1172</v>
      </c>
      <c r="V270" t="s">
        <v>1152</v>
      </c>
      <c r="W270" t="s">
        <v>1145</v>
      </c>
      <c r="X270">
        <v>6</v>
      </c>
      <c r="Y270" t="s">
        <v>1185</v>
      </c>
      <c r="Z270" t="s">
        <v>1134</v>
      </c>
      <c r="AA270">
        <v>3</v>
      </c>
    </row>
    <row r="271" spans="1:27" x14ac:dyDescent="0.3">
      <c r="A271" t="s">
        <v>1017</v>
      </c>
      <c r="B271" t="s">
        <v>1300</v>
      </c>
      <c r="C271" t="s">
        <v>1078</v>
      </c>
      <c r="D271" t="s">
        <v>1255</v>
      </c>
      <c r="E271" t="s">
        <v>1235</v>
      </c>
      <c r="F271" s="1">
        <v>46269.745138888888</v>
      </c>
      <c r="G271" s="1">
        <v>46269.751388888893</v>
      </c>
      <c r="H271">
        <v>6</v>
      </c>
      <c r="I271">
        <v>9</v>
      </c>
      <c r="J271" t="b">
        <v>0</v>
      </c>
      <c r="K271" t="b">
        <v>0</v>
      </c>
      <c r="L271" t="b">
        <v>0</v>
      </c>
      <c r="M271">
        <v>8</v>
      </c>
      <c r="N271" t="s">
        <v>1155</v>
      </c>
      <c r="O271" s="1">
        <v>46269.727083333331</v>
      </c>
      <c r="P271" t="b">
        <v>0</v>
      </c>
      <c r="Q271" t="s">
        <v>1151</v>
      </c>
      <c r="R271" t="s">
        <v>1131</v>
      </c>
      <c r="S271" t="s">
        <v>1152</v>
      </c>
      <c r="T271" t="s">
        <v>1145</v>
      </c>
      <c r="U271" t="s">
        <v>1172</v>
      </c>
      <c r="V271" t="s">
        <v>1141</v>
      </c>
      <c r="W271" t="s">
        <v>1257</v>
      </c>
      <c r="X271">
        <v>17</v>
      </c>
      <c r="Y271" t="s">
        <v>1142</v>
      </c>
      <c r="Z271" t="s">
        <v>1134</v>
      </c>
      <c r="AA271">
        <v>1.5</v>
      </c>
    </row>
    <row r="272" spans="1:27" x14ac:dyDescent="0.3">
      <c r="A272" t="s">
        <v>681</v>
      </c>
      <c r="B272" t="s">
        <v>1386</v>
      </c>
      <c r="C272" t="s">
        <v>1057</v>
      </c>
      <c r="D272" t="s">
        <v>1255</v>
      </c>
      <c r="E272" t="s">
        <v>1261</v>
      </c>
      <c r="F272" s="1">
        <v>46282.376388888893</v>
      </c>
      <c r="G272" s="1">
        <v>46282.382638888892</v>
      </c>
      <c r="H272">
        <v>6</v>
      </c>
      <c r="I272">
        <v>9</v>
      </c>
      <c r="J272" t="b">
        <v>0</v>
      </c>
      <c r="K272" t="b">
        <v>0</v>
      </c>
      <c r="L272" t="b">
        <v>0</v>
      </c>
      <c r="M272">
        <v>6</v>
      </c>
      <c r="N272" t="s">
        <v>1155</v>
      </c>
      <c r="O272" s="1">
        <v>46282.35</v>
      </c>
      <c r="P272" t="b">
        <v>0</v>
      </c>
      <c r="Q272" t="s">
        <v>1151</v>
      </c>
      <c r="R272" t="s">
        <v>1120</v>
      </c>
      <c r="S272" t="s">
        <v>1157</v>
      </c>
      <c r="T272" t="s">
        <v>1122</v>
      </c>
      <c r="U272" t="s">
        <v>1172</v>
      </c>
      <c r="V272" t="s">
        <v>1141</v>
      </c>
      <c r="W272" t="s">
        <v>1257</v>
      </c>
      <c r="X272">
        <v>8</v>
      </c>
      <c r="Y272" t="s">
        <v>1146</v>
      </c>
      <c r="Z272" t="s">
        <v>1134</v>
      </c>
      <c r="AA272">
        <v>1.5</v>
      </c>
    </row>
    <row r="273" spans="1:27" x14ac:dyDescent="0.3">
      <c r="A273" t="s">
        <v>630</v>
      </c>
      <c r="B273" t="s">
        <v>1397</v>
      </c>
      <c r="C273" t="s">
        <v>1086</v>
      </c>
      <c r="D273" t="s">
        <v>1280</v>
      </c>
      <c r="E273" t="s">
        <v>1398</v>
      </c>
      <c r="F273" s="1">
        <v>46267.972222222219</v>
      </c>
      <c r="G273" s="1">
        <v>46267.978472222218</v>
      </c>
      <c r="H273">
        <v>7</v>
      </c>
      <c r="I273">
        <v>9</v>
      </c>
      <c r="J273" t="b">
        <v>0</v>
      </c>
      <c r="K273" t="b">
        <v>0</v>
      </c>
      <c r="L273" t="b">
        <v>0</v>
      </c>
      <c r="M273">
        <v>6</v>
      </c>
      <c r="N273" t="s">
        <v>1118</v>
      </c>
      <c r="O273" s="1">
        <v>46267.880555555559</v>
      </c>
      <c r="P273" t="b">
        <v>0</v>
      </c>
      <c r="Q273" t="s">
        <v>1169</v>
      </c>
      <c r="R273" t="s">
        <v>1120</v>
      </c>
      <c r="S273" t="s">
        <v>1132</v>
      </c>
      <c r="T273" t="s">
        <v>1122</v>
      </c>
      <c r="U273" t="s">
        <v>1145</v>
      </c>
      <c r="V273" t="s">
        <v>1151</v>
      </c>
      <c r="W273" t="s">
        <v>1257</v>
      </c>
      <c r="X273">
        <v>21</v>
      </c>
      <c r="Y273" t="s">
        <v>1161</v>
      </c>
      <c r="Z273" t="s">
        <v>1134</v>
      </c>
      <c r="AA273">
        <v>1.285714285714286</v>
      </c>
    </row>
    <row r="274" spans="1:27" x14ac:dyDescent="0.3">
      <c r="A274" t="s">
        <v>300</v>
      </c>
      <c r="B274" t="s">
        <v>1390</v>
      </c>
      <c r="C274" t="s">
        <v>1065</v>
      </c>
      <c r="D274" t="s">
        <v>1255</v>
      </c>
      <c r="E274" t="s">
        <v>1144</v>
      </c>
      <c r="F274" s="1">
        <v>46273.195138888892</v>
      </c>
      <c r="G274" s="1">
        <v>46273.201388888891</v>
      </c>
      <c r="H274">
        <v>3</v>
      </c>
      <c r="I274">
        <v>9</v>
      </c>
      <c r="J274" t="b">
        <v>0</v>
      </c>
      <c r="K274" t="b">
        <v>0</v>
      </c>
      <c r="L274" t="b">
        <v>0</v>
      </c>
      <c r="M274">
        <v>6</v>
      </c>
      <c r="N274" t="s">
        <v>1118</v>
      </c>
      <c r="O274" s="1">
        <v>46273.107638888891</v>
      </c>
      <c r="P274" t="b">
        <v>0</v>
      </c>
      <c r="Q274" t="s">
        <v>1138</v>
      </c>
      <c r="R274" t="s">
        <v>1120</v>
      </c>
      <c r="S274" t="s">
        <v>1145</v>
      </c>
      <c r="T274" t="s">
        <v>1180</v>
      </c>
      <c r="U274" t="s">
        <v>1247</v>
      </c>
      <c r="V274" t="s">
        <v>1141</v>
      </c>
      <c r="W274" t="s">
        <v>1257</v>
      </c>
      <c r="X274">
        <v>2</v>
      </c>
      <c r="Y274" t="s">
        <v>1126</v>
      </c>
      <c r="Z274" t="s">
        <v>1134</v>
      </c>
      <c r="AA274">
        <v>3</v>
      </c>
    </row>
    <row r="275" spans="1:27" x14ac:dyDescent="0.3">
      <c r="A275" t="s">
        <v>597</v>
      </c>
      <c r="B275" t="s">
        <v>1260</v>
      </c>
      <c r="C275" t="s">
        <v>1062</v>
      </c>
      <c r="D275" t="s">
        <v>1283</v>
      </c>
      <c r="E275" t="s">
        <v>1167</v>
      </c>
      <c r="F275" s="1">
        <v>46282.620138888888</v>
      </c>
      <c r="G275" s="1">
        <v>46282.626388888893</v>
      </c>
      <c r="H275">
        <v>7</v>
      </c>
      <c r="I275">
        <v>9</v>
      </c>
      <c r="J275" t="b">
        <v>0</v>
      </c>
      <c r="K275" t="b">
        <v>0</v>
      </c>
      <c r="L275" t="b">
        <v>0</v>
      </c>
      <c r="M275">
        <v>8</v>
      </c>
      <c r="N275" t="s">
        <v>1118</v>
      </c>
      <c r="O275" s="1">
        <v>46282.520833333343</v>
      </c>
      <c r="P275" t="b">
        <v>0</v>
      </c>
      <c r="Q275" t="s">
        <v>1169</v>
      </c>
      <c r="R275" t="s">
        <v>1131</v>
      </c>
      <c r="S275" t="s">
        <v>1157</v>
      </c>
      <c r="T275" t="s">
        <v>1122</v>
      </c>
      <c r="U275" t="s">
        <v>1123</v>
      </c>
      <c r="V275" t="s">
        <v>1284</v>
      </c>
      <c r="W275" t="s">
        <v>1131</v>
      </c>
      <c r="X275">
        <v>12</v>
      </c>
      <c r="Y275" t="s">
        <v>1146</v>
      </c>
      <c r="Z275" t="s">
        <v>1134</v>
      </c>
      <c r="AA275">
        <v>1.285714285714286</v>
      </c>
    </row>
    <row r="276" spans="1:27" x14ac:dyDescent="0.3">
      <c r="A276" t="s">
        <v>598</v>
      </c>
      <c r="B276" t="s">
        <v>1260</v>
      </c>
      <c r="C276" t="s">
        <v>1078</v>
      </c>
      <c r="D276" t="s">
        <v>1136</v>
      </c>
      <c r="E276" t="s">
        <v>1209</v>
      </c>
      <c r="F276" s="1">
        <v>46282.611111111109</v>
      </c>
      <c r="G276" s="1">
        <v>46282.617361111108</v>
      </c>
      <c r="H276">
        <v>4</v>
      </c>
      <c r="I276">
        <v>9</v>
      </c>
      <c r="J276" t="b">
        <v>0</v>
      </c>
      <c r="K276" t="b">
        <v>0</v>
      </c>
      <c r="L276" t="b">
        <v>0</v>
      </c>
      <c r="M276">
        <v>8</v>
      </c>
      <c r="N276" t="s">
        <v>1118</v>
      </c>
      <c r="O276" s="1">
        <v>46282.520833333343</v>
      </c>
      <c r="P276" t="b">
        <v>0</v>
      </c>
      <c r="Q276" t="s">
        <v>1138</v>
      </c>
      <c r="R276" t="s">
        <v>1131</v>
      </c>
      <c r="S276" t="s">
        <v>1132</v>
      </c>
      <c r="T276" t="s">
        <v>1145</v>
      </c>
      <c r="U276" t="s">
        <v>1172</v>
      </c>
      <c r="V276" t="s">
        <v>1141</v>
      </c>
      <c r="W276" t="s">
        <v>1125</v>
      </c>
      <c r="X276">
        <v>12</v>
      </c>
      <c r="Y276" t="s">
        <v>1146</v>
      </c>
      <c r="Z276" t="s">
        <v>1134</v>
      </c>
      <c r="AA276">
        <v>2.25</v>
      </c>
    </row>
    <row r="277" spans="1:27" x14ac:dyDescent="0.3">
      <c r="A277" t="s">
        <v>601</v>
      </c>
      <c r="B277" t="s">
        <v>1208</v>
      </c>
      <c r="C277" t="s">
        <v>1066</v>
      </c>
      <c r="D277" t="s">
        <v>1149</v>
      </c>
      <c r="E277" t="s">
        <v>1210</v>
      </c>
      <c r="F277" s="1">
        <v>46269.592361111107</v>
      </c>
      <c r="G277" s="1">
        <v>46269.598611111112</v>
      </c>
      <c r="H277">
        <v>6</v>
      </c>
      <c r="I277">
        <v>9</v>
      </c>
      <c r="J277" t="b">
        <v>0</v>
      </c>
      <c r="K277" t="b">
        <v>0</v>
      </c>
      <c r="L277" t="b">
        <v>0</v>
      </c>
      <c r="M277">
        <v>12</v>
      </c>
      <c r="N277" t="s">
        <v>1118</v>
      </c>
      <c r="O277" s="1">
        <v>46269.521527777782</v>
      </c>
      <c r="P277" t="b">
        <v>0</v>
      </c>
      <c r="Q277" t="s">
        <v>1151</v>
      </c>
      <c r="R277" t="s">
        <v>1131</v>
      </c>
      <c r="S277" t="s">
        <v>1157</v>
      </c>
      <c r="T277" t="s">
        <v>1122</v>
      </c>
      <c r="U277" t="s">
        <v>1247</v>
      </c>
      <c r="V277" t="s">
        <v>1152</v>
      </c>
      <c r="W277" t="s">
        <v>1145</v>
      </c>
      <c r="X277">
        <v>12</v>
      </c>
      <c r="Y277" t="s">
        <v>1142</v>
      </c>
      <c r="Z277" t="s">
        <v>1127</v>
      </c>
      <c r="AA277">
        <v>1.5</v>
      </c>
    </row>
    <row r="278" spans="1:27" x14ac:dyDescent="0.3">
      <c r="A278" t="s">
        <v>716</v>
      </c>
      <c r="B278" t="s">
        <v>1399</v>
      </c>
      <c r="C278" t="s">
        <v>1061</v>
      </c>
      <c r="D278" t="s">
        <v>1238</v>
      </c>
      <c r="E278" t="s">
        <v>1379</v>
      </c>
      <c r="F278" s="1">
        <v>46291.34375</v>
      </c>
      <c r="G278" s="1">
        <v>46291.35</v>
      </c>
      <c r="H278">
        <v>1</v>
      </c>
      <c r="I278">
        <v>9</v>
      </c>
      <c r="J278" t="b">
        <v>0</v>
      </c>
      <c r="K278" t="b">
        <v>0</v>
      </c>
      <c r="L278" t="b">
        <v>0</v>
      </c>
      <c r="M278">
        <v>10</v>
      </c>
      <c r="N278" t="s">
        <v>1118</v>
      </c>
      <c r="O278" s="1">
        <v>46291.222916666673</v>
      </c>
      <c r="P278" t="b">
        <v>0</v>
      </c>
      <c r="Q278" t="s">
        <v>1179</v>
      </c>
      <c r="R278" t="s">
        <v>1120</v>
      </c>
      <c r="S278" t="s">
        <v>1145</v>
      </c>
      <c r="T278" t="s">
        <v>1145</v>
      </c>
      <c r="U278" t="s">
        <v>1172</v>
      </c>
      <c r="V278" t="s">
        <v>1151</v>
      </c>
      <c r="W278" t="s">
        <v>1131</v>
      </c>
      <c r="X278">
        <v>5</v>
      </c>
      <c r="Y278" t="s">
        <v>1173</v>
      </c>
      <c r="Z278" t="s">
        <v>1134</v>
      </c>
      <c r="AA278">
        <v>9</v>
      </c>
    </row>
    <row r="279" spans="1:27" x14ac:dyDescent="0.3">
      <c r="A279" t="s">
        <v>260</v>
      </c>
      <c r="B279" t="s">
        <v>1335</v>
      </c>
      <c r="C279" t="s">
        <v>1071</v>
      </c>
      <c r="D279" t="s">
        <v>1116</v>
      </c>
      <c r="E279" t="s">
        <v>1301</v>
      </c>
      <c r="F279" s="1">
        <v>46270.097222222219</v>
      </c>
      <c r="G279" s="1">
        <v>46270.103472222218</v>
      </c>
      <c r="H279">
        <v>1</v>
      </c>
      <c r="I279">
        <v>9</v>
      </c>
      <c r="J279" t="b">
        <v>0</v>
      </c>
      <c r="K279" t="b">
        <v>0</v>
      </c>
      <c r="L279" t="b">
        <v>0</v>
      </c>
      <c r="N279" t="s">
        <v>1118</v>
      </c>
      <c r="O279" s="1">
        <v>46270.036111111112</v>
      </c>
      <c r="P279" t="b">
        <v>1</v>
      </c>
      <c r="Q279" t="s">
        <v>1169</v>
      </c>
      <c r="R279" t="s">
        <v>1131</v>
      </c>
      <c r="S279" t="s">
        <v>1145</v>
      </c>
      <c r="T279" t="s">
        <v>1122</v>
      </c>
      <c r="U279" t="s">
        <v>1145</v>
      </c>
      <c r="V279" t="s">
        <v>1124</v>
      </c>
      <c r="W279" t="s">
        <v>1125</v>
      </c>
      <c r="X279">
        <v>0</v>
      </c>
      <c r="Y279" t="s">
        <v>1173</v>
      </c>
      <c r="AA279">
        <v>9</v>
      </c>
    </row>
    <row r="280" spans="1:27" x14ac:dyDescent="0.3">
      <c r="A280" t="s">
        <v>658</v>
      </c>
      <c r="B280" t="s">
        <v>1353</v>
      </c>
      <c r="C280" t="s">
        <v>1084</v>
      </c>
      <c r="D280" t="s">
        <v>1255</v>
      </c>
      <c r="E280" t="s">
        <v>1223</v>
      </c>
      <c r="F280" s="1">
        <v>46291.39166666667</v>
      </c>
      <c r="G280" s="1">
        <v>46291.397916666669</v>
      </c>
      <c r="H280">
        <v>4</v>
      </c>
      <c r="I280">
        <v>9</v>
      </c>
      <c r="J280" t="b">
        <v>0</v>
      </c>
      <c r="K280" t="b">
        <v>0</v>
      </c>
      <c r="L280" t="b">
        <v>0</v>
      </c>
      <c r="M280">
        <v>8</v>
      </c>
      <c r="N280" t="s">
        <v>1118</v>
      </c>
      <c r="O280" s="1">
        <v>46291.306944444441</v>
      </c>
      <c r="P280" t="b">
        <v>0</v>
      </c>
      <c r="Q280" t="s">
        <v>1119</v>
      </c>
      <c r="R280" t="s">
        <v>1120</v>
      </c>
      <c r="S280" t="s">
        <v>1152</v>
      </c>
      <c r="T280" t="s">
        <v>1122</v>
      </c>
      <c r="U280" t="s">
        <v>1247</v>
      </c>
      <c r="V280" t="s">
        <v>1141</v>
      </c>
      <c r="W280" t="s">
        <v>1257</v>
      </c>
      <c r="X280">
        <v>7</v>
      </c>
      <c r="Y280" t="s">
        <v>1173</v>
      </c>
      <c r="Z280" t="s">
        <v>1134</v>
      </c>
      <c r="AA280">
        <v>2.25</v>
      </c>
    </row>
    <row r="281" spans="1:27" x14ac:dyDescent="0.3">
      <c r="A281" t="s">
        <v>667</v>
      </c>
      <c r="B281" t="s">
        <v>1400</v>
      </c>
      <c r="C281" t="s">
        <v>1058</v>
      </c>
      <c r="D281" t="s">
        <v>1255</v>
      </c>
      <c r="E281" t="s">
        <v>1204</v>
      </c>
      <c r="F281" s="1">
        <v>46272.779166666667</v>
      </c>
      <c r="G281" s="1">
        <v>46272.785416666673</v>
      </c>
      <c r="H281">
        <v>5</v>
      </c>
      <c r="I281">
        <v>9</v>
      </c>
      <c r="J281" t="b">
        <v>0</v>
      </c>
      <c r="K281" t="b">
        <v>0</v>
      </c>
      <c r="L281" t="b">
        <v>0</v>
      </c>
      <c r="M281">
        <v>8</v>
      </c>
      <c r="N281" t="s">
        <v>1155</v>
      </c>
      <c r="O281" s="1">
        <v>46272.688888888893</v>
      </c>
      <c r="P281" t="b">
        <v>0</v>
      </c>
      <c r="Q281" t="s">
        <v>1169</v>
      </c>
      <c r="R281" t="s">
        <v>1131</v>
      </c>
      <c r="S281" t="s">
        <v>1157</v>
      </c>
      <c r="T281" t="s">
        <v>1122</v>
      </c>
      <c r="U281" t="s">
        <v>1145</v>
      </c>
      <c r="V281" t="s">
        <v>1141</v>
      </c>
      <c r="W281" t="s">
        <v>1257</v>
      </c>
      <c r="X281">
        <v>16</v>
      </c>
      <c r="Y281" t="s">
        <v>1185</v>
      </c>
      <c r="Z281" t="s">
        <v>1134</v>
      </c>
      <c r="AA281">
        <v>1.8</v>
      </c>
    </row>
    <row r="282" spans="1:27" x14ac:dyDescent="0.3">
      <c r="A282" t="s">
        <v>739</v>
      </c>
      <c r="B282" t="s">
        <v>1352</v>
      </c>
      <c r="C282" t="s">
        <v>1064</v>
      </c>
      <c r="D282" t="s">
        <v>1280</v>
      </c>
      <c r="E282" t="s">
        <v>1305</v>
      </c>
      <c r="F282" s="1">
        <v>46277.382638888892</v>
      </c>
      <c r="G282" s="1">
        <v>46277.388888888891</v>
      </c>
      <c r="H282">
        <v>7</v>
      </c>
      <c r="I282">
        <v>9</v>
      </c>
      <c r="J282" t="b">
        <v>0</v>
      </c>
      <c r="K282" t="b">
        <v>0</v>
      </c>
      <c r="L282" t="b">
        <v>0</v>
      </c>
      <c r="M282">
        <v>6</v>
      </c>
      <c r="N282" t="s">
        <v>1130</v>
      </c>
      <c r="O282" s="1">
        <v>46277.380555555559</v>
      </c>
      <c r="P282" t="b">
        <v>0</v>
      </c>
      <c r="Q282" t="s">
        <v>1156</v>
      </c>
      <c r="R282" t="s">
        <v>1131</v>
      </c>
      <c r="S282" t="s">
        <v>1157</v>
      </c>
      <c r="T282" t="s">
        <v>1122</v>
      </c>
      <c r="U282" t="s">
        <v>1123</v>
      </c>
      <c r="V282" t="s">
        <v>1151</v>
      </c>
      <c r="W282" t="s">
        <v>1257</v>
      </c>
      <c r="X282">
        <v>9</v>
      </c>
      <c r="Y282" t="s">
        <v>1173</v>
      </c>
      <c r="Z282" t="s">
        <v>1134</v>
      </c>
      <c r="AA282">
        <v>1.285714285714286</v>
      </c>
    </row>
    <row r="283" spans="1:27" x14ac:dyDescent="0.3">
      <c r="A283" t="s">
        <v>704</v>
      </c>
      <c r="B283" t="s">
        <v>1401</v>
      </c>
      <c r="C283" t="s">
        <v>1084</v>
      </c>
      <c r="D283" t="s">
        <v>1136</v>
      </c>
      <c r="E283" t="s">
        <v>1336</v>
      </c>
      <c r="F283" s="1">
        <v>46271.988194444442</v>
      </c>
      <c r="G283" s="1">
        <v>46271.994444444441</v>
      </c>
      <c r="H283">
        <v>4</v>
      </c>
      <c r="I283">
        <v>9</v>
      </c>
      <c r="J283" t="b">
        <v>0</v>
      </c>
      <c r="K283" t="b">
        <v>0</v>
      </c>
      <c r="L283" t="b">
        <v>0</v>
      </c>
      <c r="M283">
        <v>6</v>
      </c>
      <c r="N283" t="s">
        <v>1118</v>
      </c>
      <c r="O283" s="1">
        <v>46271.886111111111</v>
      </c>
      <c r="P283" t="b">
        <v>0</v>
      </c>
      <c r="Q283" t="s">
        <v>1179</v>
      </c>
      <c r="R283" t="s">
        <v>1120</v>
      </c>
      <c r="S283" t="s">
        <v>1152</v>
      </c>
      <c r="T283" t="s">
        <v>1122</v>
      </c>
      <c r="U283" t="s">
        <v>1247</v>
      </c>
      <c r="V283" t="s">
        <v>1141</v>
      </c>
      <c r="W283" t="s">
        <v>1125</v>
      </c>
      <c r="X283">
        <v>21</v>
      </c>
      <c r="Y283" t="s">
        <v>1133</v>
      </c>
      <c r="Z283" t="s">
        <v>1134</v>
      </c>
      <c r="AA283">
        <v>2.25</v>
      </c>
    </row>
    <row r="284" spans="1:27" x14ac:dyDescent="0.3">
      <c r="A284" t="s">
        <v>706</v>
      </c>
      <c r="B284" t="s">
        <v>1401</v>
      </c>
      <c r="C284" t="s">
        <v>1065</v>
      </c>
      <c r="D284" t="s">
        <v>1149</v>
      </c>
      <c r="E284" t="s">
        <v>1253</v>
      </c>
      <c r="F284" s="1">
        <v>46271.917361111111</v>
      </c>
      <c r="G284" s="1">
        <v>46271.923611111109</v>
      </c>
      <c r="H284">
        <v>3</v>
      </c>
      <c r="I284">
        <v>9</v>
      </c>
      <c r="J284" t="b">
        <v>0</v>
      </c>
      <c r="K284" t="b">
        <v>0</v>
      </c>
      <c r="L284" t="b">
        <v>0</v>
      </c>
      <c r="M284">
        <v>6</v>
      </c>
      <c r="N284" t="s">
        <v>1118</v>
      </c>
      <c r="O284" s="1">
        <v>46271.886111111111</v>
      </c>
      <c r="P284" t="b">
        <v>0</v>
      </c>
      <c r="Q284" t="s">
        <v>1156</v>
      </c>
      <c r="R284" t="s">
        <v>1139</v>
      </c>
      <c r="S284" t="s">
        <v>1121</v>
      </c>
      <c r="T284" t="s">
        <v>1180</v>
      </c>
      <c r="U284" t="s">
        <v>1247</v>
      </c>
      <c r="V284" t="s">
        <v>1152</v>
      </c>
      <c r="W284" t="s">
        <v>1145</v>
      </c>
      <c r="X284">
        <v>21</v>
      </c>
      <c r="Y284" t="s">
        <v>1133</v>
      </c>
      <c r="Z284" t="s">
        <v>1134</v>
      </c>
      <c r="AA284">
        <v>3</v>
      </c>
    </row>
    <row r="285" spans="1:27" x14ac:dyDescent="0.3">
      <c r="A285" t="s">
        <v>711</v>
      </c>
      <c r="B285" t="s">
        <v>1220</v>
      </c>
      <c r="C285" t="s">
        <v>1085</v>
      </c>
      <c r="D285" t="s">
        <v>1136</v>
      </c>
      <c r="E285" t="s">
        <v>1225</v>
      </c>
      <c r="F285" s="1">
        <v>46273.518055555563</v>
      </c>
      <c r="G285" s="1">
        <v>46273.524305555547</v>
      </c>
      <c r="H285">
        <v>7</v>
      </c>
      <c r="I285">
        <v>9</v>
      </c>
      <c r="J285" t="b">
        <v>0</v>
      </c>
      <c r="K285" t="b">
        <v>0</v>
      </c>
      <c r="L285" t="b">
        <v>0</v>
      </c>
      <c r="M285">
        <v>8</v>
      </c>
      <c r="N285" t="s">
        <v>1118</v>
      </c>
      <c r="O285" s="1">
        <v>46273.438194444447</v>
      </c>
      <c r="P285" t="b">
        <v>0</v>
      </c>
      <c r="Q285" t="s">
        <v>1151</v>
      </c>
      <c r="R285" t="s">
        <v>1120</v>
      </c>
      <c r="S285" t="s">
        <v>1152</v>
      </c>
      <c r="T285" t="s">
        <v>1122</v>
      </c>
      <c r="U285" t="s">
        <v>1247</v>
      </c>
      <c r="V285" t="s">
        <v>1141</v>
      </c>
      <c r="W285" t="s">
        <v>1125</v>
      </c>
      <c r="X285">
        <v>10</v>
      </c>
      <c r="Y285" t="s">
        <v>1126</v>
      </c>
      <c r="Z285" t="s">
        <v>1134</v>
      </c>
      <c r="AA285">
        <v>1.285714285714286</v>
      </c>
    </row>
    <row r="286" spans="1:27" x14ac:dyDescent="0.3">
      <c r="A286" t="s">
        <v>713</v>
      </c>
      <c r="B286" t="s">
        <v>1220</v>
      </c>
      <c r="C286" t="s">
        <v>1075</v>
      </c>
      <c r="D286" t="s">
        <v>1238</v>
      </c>
      <c r="E286" t="s">
        <v>1272</v>
      </c>
      <c r="F286" s="1">
        <v>46273.438194444447</v>
      </c>
      <c r="G286" s="1">
        <v>46273.444444444453</v>
      </c>
      <c r="H286">
        <v>6</v>
      </c>
      <c r="I286">
        <v>9</v>
      </c>
      <c r="J286" t="b">
        <v>0</v>
      </c>
      <c r="K286" t="b">
        <v>0</v>
      </c>
      <c r="L286" t="b">
        <v>0</v>
      </c>
      <c r="M286">
        <v>8</v>
      </c>
      <c r="N286" t="s">
        <v>1118</v>
      </c>
      <c r="O286" s="1">
        <v>46273.438194444447</v>
      </c>
      <c r="P286" t="b">
        <v>0</v>
      </c>
      <c r="Q286" t="s">
        <v>1179</v>
      </c>
      <c r="R286" t="s">
        <v>1120</v>
      </c>
      <c r="S286" t="s">
        <v>1157</v>
      </c>
      <c r="T286" t="s">
        <v>1122</v>
      </c>
      <c r="U286" t="s">
        <v>1172</v>
      </c>
      <c r="V286" t="s">
        <v>1151</v>
      </c>
      <c r="W286" t="s">
        <v>1131</v>
      </c>
      <c r="X286">
        <v>10</v>
      </c>
      <c r="Y286" t="s">
        <v>1126</v>
      </c>
      <c r="Z286" t="s">
        <v>1134</v>
      </c>
      <c r="AA286">
        <v>1.5</v>
      </c>
    </row>
    <row r="287" spans="1:27" x14ac:dyDescent="0.3">
      <c r="A287" t="s">
        <v>621</v>
      </c>
      <c r="B287" t="s">
        <v>1402</v>
      </c>
      <c r="C287" t="s">
        <v>1064</v>
      </c>
      <c r="D287" t="s">
        <v>1280</v>
      </c>
      <c r="E287" t="s">
        <v>1383</v>
      </c>
      <c r="F287" s="1">
        <v>46289.151388888888</v>
      </c>
      <c r="G287" s="1">
        <v>46289.157638888893</v>
      </c>
      <c r="H287">
        <v>6</v>
      </c>
      <c r="I287">
        <v>9</v>
      </c>
      <c r="J287" t="b">
        <v>0</v>
      </c>
      <c r="K287" t="b">
        <v>0</v>
      </c>
      <c r="L287" t="b">
        <v>0</v>
      </c>
      <c r="M287">
        <v>12</v>
      </c>
      <c r="N287" t="s">
        <v>1118</v>
      </c>
      <c r="O287" s="1">
        <v>46289.047222222223</v>
      </c>
      <c r="P287" t="b">
        <v>0</v>
      </c>
      <c r="Q287" t="s">
        <v>1119</v>
      </c>
      <c r="R287" t="s">
        <v>1131</v>
      </c>
      <c r="S287" t="s">
        <v>1132</v>
      </c>
      <c r="T287" t="s">
        <v>1122</v>
      </c>
      <c r="U287" t="s">
        <v>1123</v>
      </c>
      <c r="V287" t="s">
        <v>1151</v>
      </c>
      <c r="W287" t="s">
        <v>1257</v>
      </c>
      <c r="X287">
        <v>1</v>
      </c>
      <c r="Y287" t="s">
        <v>1146</v>
      </c>
      <c r="Z287" t="s">
        <v>1127</v>
      </c>
      <c r="AA287">
        <v>1.5</v>
      </c>
    </row>
    <row r="288" spans="1:27" x14ac:dyDescent="0.3">
      <c r="A288" t="s">
        <v>349</v>
      </c>
      <c r="B288" t="s">
        <v>1310</v>
      </c>
      <c r="C288" t="s">
        <v>1060</v>
      </c>
      <c r="D288" t="s">
        <v>1136</v>
      </c>
      <c r="E288" t="s">
        <v>1159</v>
      </c>
      <c r="F288" s="1">
        <v>46282.933333333327</v>
      </c>
      <c r="G288" s="1">
        <v>46282.939583333333</v>
      </c>
      <c r="H288">
        <v>5</v>
      </c>
      <c r="I288">
        <v>9</v>
      </c>
      <c r="J288" t="b">
        <v>0</v>
      </c>
      <c r="K288" t="b">
        <v>0</v>
      </c>
      <c r="L288" t="b">
        <v>0</v>
      </c>
      <c r="M288">
        <v>12</v>
      </c>
      <c r="N288" t="s">
        <v>1130</v>
      </c>
      <c r="O288" s="1">
        <v>46282.884722222218</v>
      </c>
      <c r="P288" t="b">
        <v>0</v>
      </c>
      <c r="Q288" t="s">
        <v>1138</v>
      </c>
      <c r="R288" t="s">
        <v>1120</v>
      </c>
      <c r="S288" t="s">
        <v>1132</v>
      </c>
      <c r="T288" t="s">
        <v>1140</v>
      </c>
      <c r="U288" t="s">
        <v>1145</v>
      </c>
      <c r="V288" t="s">
        <v>1141</v>
      </c>
      <c r="W288" t="s">
        <v>1125</v>
      </c>
      <c r="X288">
        <v>21</v>
      </c>
      <c r="Y288" t="s">
        <v>1146</v>
      </c>
      <c r="Z288" t="s">
        <v>1127</v>
      </c>
      <c r="AA288">
        <v>1.8</v>
      </c>
    </row>
    <row r="289" spans="1:27" x14ac:dyDescent="0.3">
      <c r="A289" t="s">
        <v>578</v>
      </c>
      <c r="B289" t="s">
        <v>1250</v>
      </c>
      <c r="C289" t="s">
        <v>1069</v>
      </c>
      <c r="D289" t="s">
        <v>1149</v>
      </c>
      <c r="E289" t="s">
        <v>1366</v>
      </c>
      <c r="F289" s="1">
        <v>46288.811805555553</v>
      </c>
      <c r="G289" s="1">
        <v>46288.818055555559</v>
      </c>
      <c r="H289">
        <v>1</v>
      </c>
      <c r="I289">
        <v>9</v>
      </c>
      <c r="J289" t="b">
        <v>0</v>
      </c>
      <c r="K289" t="b">
        <v>0</v>
      </c>
      <c r="L289" t="b">
        <v>0</v>
      </c>
      <c r="M289">
        <v>10</v>
      </c>
      <c r="N289" t="s">
        <v>1118</v>
      </c>
      <c r="O289" s="1">
        <v>46288.808333333327</v>
      </c>
      <c r="P289" t="b">
        <v>0</v>
      </c>
      <c r="Q289" t="s">
        <v>1151</v>
      </c>
      <c r="R289" t="s">
        <v>1120</v>
      </c>
      <c r="S289" t="s">
        <v>1145</v>
      </c>
      <c r="T289" t="s">
        <v>1140</v>
      </c>
      <c r="U289" t="s">
        <v>1172</v>
      </c>
      <c r="V289" t="s">
        <v>1152</v>
      </c>
      <c r="W289" t="s">
        <v>1145</v>
      </c>
      <c r="X289">
        <v>19</v>
      </c>
      <c r="Y289" t="s">
        <v>1161</v>
      </c>
      <c r="Z289" t="s">
        <v>1134</v>
      </c>
      <c r="AA289">
        <v>9</v>
      </c>
    </row>
    <row r="290" spans="1:27" x14ac:dyDescent="0.3">
      <c r="A290" t="s">
        <v>327</v>
      </c>
      <c r="B290" t="s">
        <v>1403</v>
      </c>
      <c r="C290" t="s">
        <v>1067</v>
      </c>
      <c r="D290" t="s">
        <v>1149</v>
      </c>
      <c r="E290" t="s">
        <v>1364</v>
      </c>
      <c r="F290" s="1">
        <v>46287.923611111109</v>
      </c>
      <c r="G290" s="1">
        <v>46287.929861111108</v>
      </c>
      <c r="H290">
        <v>5</v>
      </c>
      <c r="I290">
        <v>9</v>
      </c>
      <c r="J290" t="b">
        <v>0</v>
      </c>
      <c r="K290" t="b">
        <v>0</v>
      </c>
      <c r="L290" t="b">
        <v>0</v>
      </c>
      <c r="M290">
        <v>2</v>
      </c>
      <c r="N290" t="s">
        <v>1118</v>
      </c>
      <c r="O290" s="1">
        <v>46287.818749999999</v>
      </c>
      <c r="P290" t="b">
        <v>0</v>
      </c>
      <c r="Q290" t="s">
        <v>1179</v>
      </c>
      <c r="R290" t="s">
        <v>1139</v>
      </c>
      <c r="S290" t="s">
        <v>1121</v>
      </c>
      <c r="T290" t="s">
        <v>1180</v>
      </c>
      <c r="U290" t="s">
        <v>1247</v>
      </c>
      <c r="V290" t="s">
        <v>1152</v>
      </c>
      <c r="W290" t="s">
        <v>1145</v>
      </c>
      <c r="X290">
        <v>19</v>
      </c>
      <c r="Y290" t="s">
        <v>1126</v>
      </c>
      <c r="Z290" t="s">
        <v>1147</v>
      </c>
      <c r="AA290">
        <v>1.8</v>
      </c>
    </row>
    <row r="291" spans="1:27" x14ac:dyDescent="0.3">
      <c r="A291" t="s">
        <v>790</v>
      </c>
      <c r="B291" t="s">
        <v>1404</v>
      </c>
      <c r="C291" t="s">
        <v>1064</v>
      </c>
      <c r="D291" t="s">
        <v>1280</v>
      </c>
      <c r="E291" t="s">
        <v>1240</v>
      </c>
      <c r="F291" s="1">
        <v>46278.99722222222</v>
      </c>
      <c r="G291" s="1">
        <v>46279.003472222219</v>
      </c>
      <c r="H291">
        <v>7</v>
      </c>
      <c r="I291">
        <v>9</v>
      </c>
      <c r="J291" t="b">
        <v>0</v>
      </c>
      <c r="K291" t="b">
        <v>0</v>
      </c>
      <c r="L291" t="b">
        <v>0</v>
      </c>
      <c r="M291">
        <v>8</v>
      </c>
      <c r="N291" t="s">
        <v>1155</v>
      </c>
      <c r="O291" s="1">
        <v>46278.95</v>
      </c>
      <c r="P291" t="b">
        <v>0</v>
      </c>
      <c r="Q291" t="s">
        <v>1156</v>
      </c>
      <c r="R291" t="s">
        <v>1120</v>
      </c>
      <c r="S291" t="s">
        <v>1145</v>
      </c>
      <c r="T291" t="s">
        <v>1122</v>
      </c>
      <c r="U291" t="s">
        <v>1123</v>
      </c>
      <c r="V291" t="s">
        <v>1151</v>
      </c>
      <c r="W291" t="s">
        <v>1257</v>
      </c>
      <c r="X291">
        <v>22</v>
      </c>
      <c r="Y291" t="s">
        <v>1133</v>
      </c>
      <c r="Z291" t="s">
        <v>1134</v>
      </c>
      <c r="AA291">
        <v>1.285714285714286</v>
      </c>
    </row>
    <row r="292" spans="1:27" x14ac:dyDescent="0.3">
      <c r="A292" t="s">
        <v>792</v>
      </c>
      <c r="B292" t="s">
        <v>1404</v>
      </c>
      <c r="C292" t="s">
        <v>1070</v>
      </c>
      <c r="D292" t="s">
        <v>1238</v>
      </c>
      <c r="E292" t="s">
        <v>1379</v>
      </c>
      <c r="F292" s="1">
        <v>46279.023611111108</v>
      </c>
      <c r="G292" s="1">
        <v>46279.029861111107</v>
      </c>
      <c r="H292">
        <v>7</v>
      </c>
      <c r="I292">
        <v>9</v>
      </c>
      <c r="J292" t="b">
        <v>0</v>
      </c>
      <c r="K292" t="b">
        <v>0</v>
      </c>
      <c r="L292" t="b">
        <v>0</v>
      </c>
      <c r="M292">
        <v>8</v>
      </c>
      <c r="N292" t="s">
        <v>1155</v>
      </c>
      <c r="O292" s="1">
        <v>46278.95</v>
      </c>
      <c r="P292" t="b">
        <v>0</v>
      </c>
      <c r="Q292" t="s">
        <v>1179</v>
      </c>
      <c r="R292" t="s">
        <v>1120</v>
      </c>
      <c r="S292" t="s">
        <v>1145</v>
      </c>
      <c r="T292" t="s">
        <v>1180</v>
      </c>
      <c r="U292" t="s">
        <v>1145</v>
      </c>
      <c r="V292" t="s">
        <v>1151</v>
      </c>
      <c r="W292" t="s">
        <v>1131</v>
      </c>
      <c r="X292">
        <v>22</v>
      </c>
      <c r="Y292" t="s">
        <v>1133</v>
      </c>
      <c r="Z292" t="s">
        <v>1134</v>
      </c>
      <c r="AA292">
        <v>1.285714285714286</v>
      </c>
    </row>
    <row r="293" spans="1:27" x14ac:dyDescent="0.3">
      <c r="A293" t="s">
        <v>233</v>
      </c>
      <c r="B293" t="s">
        <v>1160</v>
      </c>
      <c r="C293" t="s">
        <v>1072</v>
      </c>
      <c r="D293" t="s">
        <v>1116</v>
      </c>
      <c r="E293" t="s">
        <v>1189</v>
      </c>
      <c r="F293" s="1">
        <v>46274.585416666669</v>
      </c>
      <c r="G293" s="1">
        <v>46274.591666666667</v>
      </c>
      <c r="H293">
        <v>4</v>
      </c>
      <c r="I293">
        <v>9</v>
      </c>
      <c r="J293" t="b">
        <v>0</v>
      </c>
      <c r="K293" t="b">
        <v>0</v>
      </c>
      <c r="L293" t="b">
        <v>0</v>
      </c>
      <c r="M293">
        <v>10</v>
      </c>
      <c r="N293" t="s">
        <v>1155</v>
      </c>
      <c r="O293" s="1">
        <v>46274.531944444447</v>
      </c>
      <c r="P293" t="b">
        <v>0</v>
      </c>
      <c r="Q293" t="s">
        <v>1138</v>
      </c>
      <c r="R293" t="s">
        <v>1131</v>
      </c>
      <c r="S293" t="s">
        <v>1152</v>
      </c>
      <c r="T293" t="s">
        <v>1180</v>
      </c>
      <c r="U293" t="s">
        <v>1172</v>
      </c>
      <c r="V293" t="s">
        <v>1124</v>
      </c>
      <c r="W293" t="s">
        <v>1125</v>
      </c>
      <c r="X293">
        <v>12</v>
      </c>
      <c r="Y293" t="s">
        <v>1161</v>
      </c>
      <c r="Z293" t="s">
        <v>1134</v>
      </c>
      <c r="AA293">
        <v>2.25</v>
      </c>
    </row>
    <row r="294" spans="1:27" x14ac:dyDescent="0.3">
      <c r="A294" t="s">
        <v>261</v>
      </c>
      <c r="B294" t="s">
        <v>1335</v>
      </c>
      <c r="C294" t="s">
        <v>1058</v>
      </c>
      <c r="D294" t="s">
        <v>1136</v>
      </c>
      <c r="E294" t="s">
        <v>1187</v>
      </c>
      <c r="F294" s="1">
        <v>46270.152777777781</v>
      </c>
      <c r="G294" s="1">
        <v>46270.15902777778</v>
      </c>
      <c r="H294">
        <v>1</v>
      </c>
      <c r="I294">
        <v>9</v>
      </c>
      <c r="J294" t="b">
        <v>0</v>
      </c>
      <c r="K294" t="b">
        <v>0</v>
      </c>
      <c r="L294" t="b">
        <v>0</v>
      </c>
      <c r="N294" t="s">
        <v>1118</v>
      </c>
      <c r="O294" s="1">
        <v>46270.036111111112</v>
      </c>
      <c r="P294" t="b">
        <v>1</v>
      </c>
      <c r="Q294" t="s">
        <v>1156</v>
      </c>
      <c r="R294" t="s">
        <v>1131</v>
      </c>
      <c r="S294" t="s">
        <v>1132</v>
      </c>
      <c r="T294" t="s">
        <v>1122</v>
      </c>
      <c r="U294" t="s">
        <v>1145</v>
      </c>
      <c r="V294" t="s">
        <v>1141</v>
      </c>
      <c r="W294" t="s">
        <v>1125</v>
      </c>
      <c r="X294">
        <v>0</v>
      </c>
      <c r="Y294" t="s">
        <v>1173</v>
      </c>
      <c r="AA294">
        <v>9</v>
      </c>
    </row>
    <row r="295" spans="1:27" x14ac:dyDescent="0.3">
      <c r="A295" t="s">
        <v>726</v>
      </c>
      <c r="B295" t="s">
        <v>1370</v>
      </c>
      <c r="C295" t="s">
        <v>1076</v>
      </c>
      <c r="D295" t="s">
        <v>1116</v>
      </c>
      <c r="E295" t="s">
        <v>1198</v>
      </c>
      <c r="F295" s="1">
        <v>46280.147222222222</v>
      </c>
      <c r="G295" s="1">
        <v>46280.15347222222</v>
      </c>
      <c r="H295">
        <v>2</v>
      </c>
      <c r="I295">
        <v>9</v>
      </c>
      <c r="J295" t="b">
        <v>0</v>
      </c>
      <c r="K295" t="b">
        <v>0</v>
      </c>
      <c r="L295" t="b">
        <v>0</v>
      </c>
      <c r="M295">
        <v>6</v>
      </c>
      <c r="N295" t="s">
        <v>1168</v>
      </c>
      <c r="O295" s="1">
        <v>46280.078472222223</v>
      </c>
      <c r="P295" t="b">
        <v>0</v>
      </c>
      <c r="Q295" t="s">
        <v>1169</v>
      </c>
      <c r="R295" t="s">
        <v>1131</v>
      </c>
      <c r="S295" t="s">
        <v>1145</v>
      </c>
      <c r="T295" t="s">
        <v>1122</v>
      </c>
      <c r="U295" t="s">
        <v>1172</v>
      </c>
      <c r="V295" t="s">
        <v>1124</v>
      </c>
      <c r="W295" t="s">
        <v>1125</v>
      </c>
      <c r="X295">
        <v>1</v>
      </c>
      <c r="Y295" t="s">
        <v>1126</v>
      </c>
      <c r="Z295" t="s">
        <v>1134</v>
      </c>
      <c r="AA295">
        <v>4.5</v>
      </c>
    </row>
    <row r="296" spans="1:27" x14ac:dyDescent="0.3">
      <c r="A296" t="s">
        <v>728</v>
      </c>
      <c r="B296" t="s">
        <v>1343</v>
      </c>
      <c r="C296" t="s">
        <v>1072</v>
      </c>
      <c r="D296" t="s">
        <v>1136</v>
      </c>
      <c r="E296" t="s">
        <v>1117</v>
      </c>
      <c r="F296" s="1">
        <v>46274.638194444437</v>
      </c>
      <c r="G296" s="1">
        <v>46274.644444444442</v>
      </c>
      <c r="H296">
        <v>4</v>
      </c>
      <c r="I296">
        <v>9</v>
      </c>
      <c r="J296" t="b">
        <v>0</v>
      </c>
      <c r="K296" t="b">
        <v>0</v>
      </c>
      <c r="L296" t="b">
        <v>0</v>
      </c>
      <c r="M296">
        <v>12</v>
      </c>
      <c r="N296" t="s">
        <v>1168</v>
      </c>
      <c r="O296" s="1">
        <v>46274.51666666667</v>
      </c>
      <c r="P296" t="b">
        <v>0</v>
      </c>
      <c r="Q296" t="s">
        <v>1119</v>
      </c>
      <c r="R296" t="s">
        <v>1120</v>
      </c>
      <c r="S296" t="s">
        <v>1121</v>
      </c>
      <c r="T296" t="s">
        <v>1180</v>
      </c>
      <c r="U296" t="s">
        <v>1172</v>
      </c>
      <c r="V296" t="s">
        <v>1141</v>
      </c>
      <c r="W296" t="s">
        <v>1125</v>
      </c>
      <c r="X296">
        <v>12</v>
      </c>
      <c r="Y296" t="s">
        <v>1161</v>
      </c>
      <c r="Z296" t="s">
        <v>1127</v>
      </c>
      <c r="AA296">
        <v>2.25</v>
      </c>
    </row>
    <row r="297" spans="1:27" x14ac:dyDescent="0.3">
      <c r="A297" t="s">
        <v>731</v>
      </c>
      <c r="B297" t="s">
        <v>1343</v>
      </c>
      <c r="C297" t="s">
        <v>1085</v>
      </c>
      <c r="D297" t="s">
        <v>1149</v>
      </c>
      <c r="E297" t="s">
        <v>1366</v>
      </c>
      <c r="F297" s="1">
        <v>46274.53402777778</v>
      </c>
      <c r="G297" s="1">
        <v>46274.540277777778</v>
      </c>
      <c r="H297">
        <v>5</v>
      </c>
      <c r="I297">
        <v>9</v>
      </c>
      <c r="J297" t="b">
        <v>0</v>
      </c>
      <c r="K297" t="b">
        <v>0</v>
      </c>
      <c r="L297" t="b">
        <v>0</v>
      </c>
      <c r="M297">
        <v>12</v>
      </c>
      <c r="N297" t="s">
        <v>1168</v>
      </c>
      <c r="O297" s="1">
        <v>46274.51666666667</v>
      </c>
      <c r="P297" t="b">
        <v>0</v>
      </c>
      <c r="Q297" t="s">
        <v>1151</v>
      </c>
      <c r="R297" t="s">
        <v>1120</v>
      </c>
      <c r="S297" t="s">
        <v>1145</v>
      </c>
      <c r="T297" t="s">
        <v>1122</v>
      </c>
      <c r="U297" t="s">
        <v>1247</v>
      </c>
      <c r="V297" t="s">
        <v>1152</v>
      </c>
      <c r="W297" t="s">
        <v>1145</v>
      </c>
      <c r="X297">
        <v>12</v>
      </c>
      <c r="Y297" t="s">
        <v>1161</v>
      </c>
      <c r="Z297" t="s">
        <v>1127</v>
      </c>
      <c r="AA297">
        <v>1.8</v>
      </c>
    </row>
    <row r="298" spans="1:27" x14ac:dyDescent="0.3">
      <c r="A298" t="s">
        <v>732</v>
      </c>
      <c r="B298" t="s">
        <v>1343</v>
      </c>
      <c r="C298" t="s">
        <v>1069</v>
      </c>
      <c r="D298" t="s">
        <v>1116</v>
      </c>
      <c r="E298" t="s">
        <v>1187</v>
      </c>
      <c r="F298" s="1">
        <v>46274.629166666673</v>
      </c>
      <c r="G298" s="1">
        <v>46274.635416666657</v>
      </c>
      <c r="H298">
        <v>4</v>
      </c>
      <c r="I298">
        <v>9</v>
      </c>
      <c r="J298" t="b">
        <v>0</v>
      </c>
      <c r="K298" t="b">
        <v>0</v>
      </c>
      <c r="L298" t="b">
        <v>0</v>
      </c>
      <c r="M298">
        <v>12</v>
      </c>
      <c r="N298" t="s">
        <v>1168</v>
      </c>
      <c r="O298" s="1">
        <v>46274.51666666667</v>
      </c>
      <c r="P298" t="b">
        <v>0</v>
      </c>
      <c r="Q298" t="s">
        <v>1156</v>
      </c>
      <c r="R298" t="s">
        <v>1131</v>
      </c>
      <c r="S298" t="s">
        <v>1132</v>
      </c>
      <c r="T298" t="s">
        <v>1140</v>
      </c>
      <c r="U298" t="s">
        <v>1172</v>
      </c>
      <c r="V298" t="s">
        <v>1124</v>
      </c>
      <c r="W298" t="s">
        <v>1125</v>
      </c>
      <c r="X298">
        <v>12</v>
      </c>
      <c r="Y298" t="s">
        <v>1161</v>
      </c>
      <c r="Z298" t="s">
        <v>1127</v>
      </c>
      <c r="AA298">
        <v>2.25</v>
      </c>
    </row>
    <row r="299" spans="1:27" x14ac:dyDescent="0.3">
      <c r="A299" t="s">
        <v>747</v>
      </c>
      <c r="B299" t="s">
        <v>1373</v>
      </c>
      <c r="C299" t="s">
        <v>1070</v>
      </c>
      <c r="D299" t="s">
        <v>1255</v>
      </c>
      <c r="E299" t="s">
        <v>1261</v>
      </c>
      <c r="F299" s="1">
        <v>46285.425000000003</v>
      </c>
      <c r="G299" s="1">
        <v>46285.431250000001</v>
      </c>
      <c r="H299">
        <v>3</v>
      </c>
      <c r="I299">
        <v>9</v>
      </c>
      <c r="J299" t="b">
        <v>0</v>
      </c>
      <c r="K299" t="b">
        <v>0</v>
      </c>
      <c r="L299" t="b">
        <v>0</v>
      </c>
      <c r="M299">
        <v>8</v>
      </c>
      <c r="N299" t="s">
        <v>1118</v>
      </c>
      <c r="O299" s="1">
        <v>46285.378472222219</v>
      </c>
      <c r="P299" t="b">
        <v>0</v>
      </c>
      <c r="Q299" t="s">
        <v>1151</v>
      </c>
      <c r="R299" t="s">
        <v>1120</v>
      </c>
      <c r="S299" t="s">
        <v>1157</v>
      </c>
      <c r="T299" t="s">
        <v>1180</v>
      </c>
      <c r="U299" t="s">
        <v>1145</v>
      </c>
      <c r="V299" t="s">
        <v>1141</v>
      </c>
      <c r="W299" t="s">
        <v>1257</v>
      </c>
      <c r="X299">
        <v>9</v>
      </c>
      <c r="Y299" t="s">
        <v>1133</v>
      </c>
      <c r="Z299" t="s">
        <v>1134</v>
      </c>
      <c r="AA299">
        <v>3</v>
      </c>
    </row>
    <row r="300" spans="1:27" x14ac:dyDescent="0.3">
      <c r="A300" t="s">
        <v>750</v>
      </c>
      <c r="B300" t="s">
        <v>1373</v>
      </c>
      <c r="C300" t="s">
        <v>1069</v>
      </c>
      <c r="D300" t="s">
        <v>1283</v>
      </c>
      <c r="E300" t="s">
        <v>1159</v>
      </c>
      <c r="F300" s="1">
        <v>46285.436805555553</v>
      </c>
      <c r="G300" s="1">
        <v>46285.443055555559</v>
      </c>
      <c r="H300">
        <v>5</v>
      </c>
      <c r="I300">
        <v>9</v>
      </c>
      <c r="J300" t="b">
        <v>0</v>
      </c>
      <c r="K300" t="b">
        <v>0</v>
      </c>
      <c r="L300" t="b">
        <v>0</v>
      </c>
      <c r="M300">
        <v>8</v>
      </c>
      <c r="N300" t="s">
        <v>1118</v>
      </c>
      <c r="O300" s="1">
        <v>46285.378472222219</v>
      </c>
      <c r="P300" t="b">
        <v>0</v>
      </c>
      <c r="Q300" t="s">
        <v>1138</v>
      </c>
      <c r="R300" t="s">
        <v>1120</v>
      </c>
      <c r="S300" t="s">
        <v>1132</v>
      </c>
      <c r="T300" t="s">
        <v>1140</v>
      </c>
      <c r="U300" t="s">
        <v>1172</v>
      </c>
      <c r="V300" t="s">
        <v>1284</v>
      </c>
      <c r="W300" t="s">
        <v>1131</v>
      </c>
      <c r="X300">
        <v>9</v>
      </c>
      <c r="Y300" t="s">
        <v>1133</v>
      </c>
      <c r="Z300" t="s">
        <v>1134</v>
      </c>
      <c r="AA300">
        <v>1.8</v>
      </c>
    </row>
    <row r="301" spans="1:27" x14ac:dyDescent="0.3">
      <c r="A301" t="s">
        <v>771</v>
      </c>
      <c r="B301" t="s">
        <v>1376</v>
      </c>
      <c r="C301" t="s">
        <v>1062</v>
      </c>
      <c r="D301" t="s">
        <v>1136</v>
      </c>
      <c r="E301" t="s">
        <v>1227</v>
      </c>
      <c r="F301" s="1">
        <v>46278.337500000001</v>
      </c>
      <c r="G301" s="1">
        <v>46278.34375</v>
      </c>
      <c r="H301">
        <v>1</v>
      </c>
      <c r="I301">
        <v>9</v>
      </c>
      <c r="J301" t="b">
        <v>0</v>
      </c>
      <c r="K301" t="b">
        <v>0</v>
      </c>
      <c r="L301" t="b">
        <v>0</v>
      </c>
      <c r="M301">
        <v>10</v>
      </c>
      <c r="N301" t="s">
        <v>1130</v>
      </c>
      <c r="O301" s="1">
        <v>46278.228472222218</v>
      </c>
      <c r="P301" t="b">
        <v>0</v>
      </c>
      <c r="Q301" t="s">
        <v>1145</v>
      </c>
      <c r="R301" t="s">
        <v>1131</v>
      </c>
      <c r="S301" t="s">
        <v>1121</v>
      </c>
      <c r="T301" t="s">
        <v>1122</v>
      </c>
      <c r="U301" t="s">
        <v>1123</v>
      </c>
      <c r="V301" t="s">
        <v>1141</v>
      </c>
      <c r="W301" t="s">
        <v>1125</v>
      </c>
      <c r="X301">
        <v>5</v>
      </c>
      <c r="Y301" t="s">
        <v>1133</v>
      </c>
      <c r="Z301" t="s">
        <v>1134</v>
      </c>
      <c r="AA301">
        <v>9</v>
      </c>
    </row>
    <row r="302" spans="1:27" x14ac:dyDescent="0.3">
      <c r="A302" t="s">
        <v>332</v>
      </c>
      <c r="B302" t="s">
        <v>1195</v>
      </c>
      <c r="C302" t="s">
        <v>1060</v>
      </c>
      <c r="D302" t="s">
        <v>1136</v>
      </c>
      <c r="E302" t="s">
        <v>1212</v>
      </c>
      <c r="F302" s="1">
        <v>46290.402777777781</v>
      </c>
      <c r="G302" s="1">
        <v>46290.40902777778</v>
      </c>
      <c r="H302">
        <v>4</v>
      </c>
      <c r="I302">
        <v>9</v>
      </c>
      <c r="J302" t="b">
        <v>0</v>
      </c>
      <c r="K302" t="b">
        <v>0</v>
      </c>
      <c r="L302" t="b">
        <v>0</v>
      </c>
      <c r="M302">
        <v>20</v>
      </c>
      <c r="N302" t="s">
        <v>1130</v>
      </c>
      <c r="O302" s="1">
        <v>46290.347916666673</v>
      </c>
      <c r="P302" t="b">
        <v>0</v>
      </c>
      <c r="Q302" t="s">
        <v>1145</v>
      </c>
      <c r="R302" t="s">
        <v>1139</v>
      </c>
      <c r="S302" t="s">
        <v>1157</v>
      </c>
      <c r="T302" t="s">
        <v>1140</v>
      </c>
      <c r="U302" t="s">
        <v>1145</v>
      </c>
      <c r="V302" t="s">
        <v>1141</v>
      </c>
      <c r="W302" t="s">
        <v>1125</v>
      </c>
      <c r="X302">
        <v>8</v>
      </c>
      <c r="Y302" t="s">
        <v>1142</v>
      </c>
      <c r="Z302" t="s">
        <v>1127</v>
      </c>
      <c r="AA302">
        <v>2.25</v>
      </c>
    </row>
    <row r="303" spans="1:27" x14ac:dyDescent="0.3">
      <c r="A303" t="s">
        <v>591</v>
      </c>
      <c r="B303" t="s">
        <v>1405</v>
      </c>
      <c r="C303" t="s">
        <v>1077</v>
      </c>
      <c r="D303" t="s">
        <v>1280</v>
      </c>
      <c r="E303" t="s">
        <v>1292</v>
      </c>
      <c r="F303" s="1">
        <v>46277.447916666657</v>
      </c>
      <c r="G303" s="1">
        <v>46277.45416666667</v>
      </c>
      <c r="H303">
        <v>7</v>
      </c>
      <c r="I303">
        <v>9</v>
      </c>
      <c r="J303" t="b">
        <v>0</v>
      </c>
      <c r="K303" t="b">
        <v>0</v>
      </c>
      <c r="L303" t="b">
        <v>0</v>
      </c>
      <c r="M303">
        <v>5</v>
      </c>
      <c r="N303" t="s">
        <v>1118</v>
      </c>
      <c r="O303" s="1">
        <v>46277.40902777778</v>
      </c>
      <c r="P303" t="b">
        <v>0</v>
      </c>
      <c r="Q303" t="s">
        <v>1179</v>
      </c>
      <c r="R303" t="s">
        <v>1131</v>
      </c>
      <c r="S303" t="s">
        <v>1152</v>
      </c>
      <c r="T303" t="s">
        <v>1122</v>
      </c>
      <c r="U303" t="s">
        <v>1172</v>
      </c>
      <c r="V303" t="s">
        <v>1151</v>
      </c>
      <c r="W303" t="s">
        <v>1257</v>
      </c>
      <c r="X303">
        <v>9</v>
      </c>
      <c r="Y303" t="s">
        <v>1173</v>
      </c>
      <c r="Z303" t="s">
        <v>1147</v>
      </c>
      <c r="AA303">
        <v>1.285714285714286</v>
      </c>
    </row>
    <row r="304" spans="1:27" x14ac:dyDescent="0.3">
      <c r="A304" t="s">
        <v>361</v>
      </c>
      <c r="B304" t="s">
        <v>1406</v>
      </c>
      <c r="C304" t="s">
        <v>1079</v>
      </c>
      <c r="D304" t="s">
        <v>1149</v>
      </c>
      <c r="E304" t="s">
        <v>1184</v>
      </c>
      <c r="F304" s="1">
        <v>46285.29791666667</v>
      </c>
      <c r="G304" s="1">
        <v>46285.304166666669</v>
      </c>
      <c r="H304">
        <v>3</v>
      </c>
      <c r="I304">
        <v>9</v>
      </c>
      <c r="J304" t="b">
        <v>0</v>
      </c>
      <c r="K304" t="b">
        <v>0</v>
      </c>
      <c r="L304" t="b">
        <v>0</v>
      </c>
      <c r="M304">
        <v>4</v>
      </c>
      <c r="N304" t="s">
        <v>1118</v>
      </c>
      <c r="O304" s="1">
        <v>46285.279166666667</v>
      </c>
      <c r="P304" t="b">
        <v>0</v>
      </c>
      <c r="Q304" t="s">
        <v>1156</v>
      </c>
      <c r="R304" t="s">
        <v>1131</v>
      </c>
      <c r="S304" t="s">
        <v>1132</v>
      </c>
      <c r="T304" t="s">
        <v>1145</v>
      </c>
      <c r="U304" t="s">
        <v>1123</v>
      </c>
      <c r="V304" t="s">
        <v>1152</v>
      </c>
      <c r="W304" t="s">
        <v>1145</v>
      </c>
      <c r="X304">
        <v>6</v>
      </c>
      <c r="Y304" t="s">
        <v>1133</v>
      </c>
      <c r="Z304" t="s">
        <v>1147</v>
      </c>
      <c r="AA304">
        <v>3</v>
      </c>
    </row>
    <row r="305" spans="1:27" x14ac:dyDescent="0.3">
      <c r="A305" t="s">
        <v>364</v>
      </c>
      <c r="B305" t="s">
        <v>1406</v>
      </c>
      <c r="C305" t="s">
        <v>1078</v>
      </c>
      <c r="D305" t="s">
        <v>1283</v>
      </c>
      <c r="E305" t="s">
        <v>1358</v>
      </c>
      <c r="F305" s="1">
        <v>46285.314583333333</v>
      </c>
      <c r="G305" s="1">
        <v>46285.320833333331</v>
      </c>
      <c r="H305">
        <v>5</v>
      </c>
      <c r="I305">
        <v>9</v>
      </c>
      <c r="J305" t="b">
        <v>0</v>
      </c>
      <c r="K305" t="b">
        <v>0</v>
      </c>
      <c r="L305" t="b">
        <v>0</v>
      </c>
      <c r="M305">
        <v>4</v>
      </c>
      <c r="N305" t="s">
        <v>1118</v>
      </c>
      <c r="O305" s="1">
        <v>46285.279166666667</v>
      </c>
      <c r="P305" t="b">
        <v>0</v>
      </c>
      <c r="Q305" t="s">
        <v>1145</v>
      </c>
      <c r="R305" t="s">
        <v>1131</v>
      </c>
      <c r="S305" t="s">
        <v>1152</v>
      </c>
      <c r="T305" t="s">
        <v>1145</v>
      </c>
      <c r="U305" t="s">
        <v>1172</v>
      </c>
      <c r="V305" t="s">
        <v>1284</v>
      </c>
      <c r="W305" t="s">
        <v>1131</v>
      </c>
      <c r="X305">
        <v>6</v>
      </c>
      <c r="Y305" t="s">
        <v>1133</v>
      </c>
      <c r="Z305" t="s">
        <v>1147</v>
      </c>
      <c r="AA305">
        <v>1.8</v>
      </c>
    </row>
    <row r="306" spans="1:27" x14ac:dyDescent="0.3">
      <c r="A306" t="s">
        <v>564</v>
      </c>
      <c r="B306" t="s">
        <v>1374</v>
      </c>
      <c r="C306" t="s">
        <v>1071</v>
      </c>
      <c r="D306" t="s">
        <v>1255</v>
      </c>
      <c r="E306" t="s">
        <v>1210</v>
      </c>
      <c r="F306" s="1">
        <v>46279.193055555559</v>
      </c>
      <c r="G306" s="1">
        <v>46279.199305555558</v>
      </c>
      <c r="H306">
        <v>4</v>
      </c>
      <c r="I306">
        <v>9</v>
      </c>
      <c r="J306" t="b">
        <v>0</v>
      </c>
      <c r="K306" t="b">
        <v>0</v>
      </c>
      <c r="L306" t="b">
        <v>0</v>
      </c>
      <c r="M306">
        <v>12</v>
      </c>
      <c r="N306" t="s">
        <v>1130</v>
      </c>
      <c r="O306" s="1">
        <v>46279.17083333333</v>
      </c>
      <c r="P306" t="b">
        <v>0</v>
      </c>
      <c r="Q306" t="s">
        <v>1151</v>
      </c>
      <c r="R306" t="s">
        <v>1131</v>
      </c>
      <c r="S306" t="s">
        <v>1157</v>
      </c>
      <c r="T306" t="s">
        <v>1122</v>
      </c>
      <c r="U306" t="s">
        <v>1145</v>
      </c>
      <c r="V306" t="s">
        <v>1141</v>
      </c>
      <c r="W306" t="s">
        <v>1257</v>
      </c>
      <c r="X306">
        <v>4</v>
      </c>
      <c r="Y306" t="s">
        <v>1185</v>
      </c>
      <c r="Z306" t="s">
        <v>1127</v>
      </c>
      <c r="AA306">
        <v>2.25</v>
      </c>
    </row>
    <row r="307" spans="1:27" x14ac:dyDescent="0.3">
      <c r="A307" t="s">
        <v>212</v>
      </c>
      <c r="B307" t="s">
        <v>1407</v>
      </c>
      <c r="C307" t="s">
        <v>1057</v>
      </c>
      <c r="D307" t="s">
        <v>1255</v>
      </c>
      <c r="E307" t="s">
        <v>1165</v>
      </c>
      <c r="F307" s="1">
        <v>46280.023611111108</v>
      </c>
      <c r="G307" s="1">
        <v>46280.029861111107</v>
      </c>
      <c r="H307">
        <v>4</v>
      </c>
      <c r="I307">
        <v>9</v>
      </c>
      <c r="J307" t="b">
        <v>0</v>
      </c>
      <c r="K307" t="b">
        <v>0</v>
      </c>
      <c r="L307" t="b">
        <v>0</v>
      </c>
      <c r="M307">
        <v>15</v>
      </c>
      <c r="N307" t="s">
        <v>1130</v>
      </c>
      <c r="O307" s="1">
        <v>46279.98541666667</v>
      </c>
      <c r="P307" t="b">
        <v>0</v>
      </c>
      <c r="Q307" t="s">
        <v>1138</v>
      </c>
      <c r="R307" t="s">
        <v>1120</v>
      </c>
      <c r="S307" t="s">
        <v>1152</v>
      </c>
      <c r="T307" t="s">
        <v>1122</v>
      </c>
      <c r="U307" t="s">
        <v>1172</v>
      </c>
      <c r="V307" t="s">
        <v>1141</v>
      </c>
      <c r="W307" t="s">
        <v>1257</v>
      </c>
      <c r="X307">
        <v>23</v>
      </c>
      <c r="Y307" t="s">
        <v>1185</v>
      </c>
      <c r="Z307" t="s">
        <v>1127</v>
      </c>
      <c r="AA307">
        <v>2.25</v>
      </c>
    </row>
    <row r="308" spans="1:27" x14ac:dyDescent="0.3">
      <c r="A308" t="s">
        <v>213</v>
      </c>
      <c r="B308" t="s">
        <v>1407</v>
      </c>
      <c r="C308" t="s">
        <v>1086</v>
      </c>
      <c r="D308" t="s">
        <v>1238</v>
      </c>
      <c r="E308" t="s">
        <v>1344</v>
      </c>
      <c r="F308" s="1">
        <v>46280.106249999997</v>
      </c>
      <c r="G308" s="1">
        <v>46280.112500000003</v>
      </c>
      <c r="H308">
        <v>4</v>
      </c>
      <c r="I308">
        <v>9</v>
      </c>
      <c r="J308" t="b">
        <v>0</v>
      </c>
      <c r="K308" t="b">
        <v>0</v>
      </c>
      <c r="L308" t="b">
        <v>0</v>
      </c>
      <c r="M308">
        <v>15</v>
      </c>
      <c r="N308" t="s">
        <v>1130</v>
      </c>
      <c r="O308" s="1">
        <v>46279.98541666667</v>
      </c>
      <c r="P308" t="b">
        <v>0</v>
      </c>
      <c r="Q308" t="s">
        <v>1156</v>
      </c>
      <c r="R308" t="s">
        <v>1131</v>
      </c>
      <c r="S308" t="s">
        <v>1132</v>
      </c>
      <c r="T308" t="s">
        <v>1122</v>
      </c>
      <c r="U308" t="s">
        <v>1145</v>
      </c>
      <c r="V308" t="s">
        <v>1151</v>
      </c>
      <c r="W308" t="s">
        <v>1131</v>
      </c>
      <c r="X308">
        <v>23</v>
      </c>
      <c r="Y308" t="s">
        <v>1185</v>
      </c>
      <c r="Z308" t="s">
        <v>1127</v>
      </c>
      <c r="AA308">
        <v>2.25</v>
      </c>
    </row>
    <row r="309" spans="1:27" x14ac:dyDescent="0.3">
      <c r="A309" t="s">
        <v>236</v>
      </c>
      <c r="B309" t="s">
        <v>1271</v>
      </c>
      <c r="C309" t="s">
        <v>1059</v>
      </c>
      <c r="D309" t="s">
        <v>1238</v>
      </c>
      <c r="E309" t="s">
        <v>1366</v>
      </c>
      <c r="F309" s="1">
        <v>46278.609722222223</v>
      </c>
      <c r="G309" s="1">
        <v>46278.615972222222</v>
      </c>
      <c r="H309">
        <v>6</v>
      </c>
      <c r="I309">
        <v>9</v>
      </c>
      <c r="J309" t="b">
        <v>0</v>
      </c>
      <c r="K309" t="b">
        <v>0</v>
      </c>
      <c r="L309" t="b">
        <v>0</v>
      </c>
      <c r="M309">
        <v>3</v>
      </c>
      <c r="N309" t="s">
        <v>1118</v>
      </c>
      <c r="O309" s="1">
        <v>46278.592361111107</v>
      </c>
      <c r="P309" t="b">
        <v>0</v>
      </c>
      <c r="Q309" t="s">
        <v>1151</v>
      </c>
      <c r="R309" t="s">
        <v>1120</v>
      </c>
      <c r="S309" t="s">
        <v>1145</v>
      </c>
      <c r="T309" t="s">
        <v>1122</v>
      </c>
      <c r="U309" t="s">
        <v>1172</v>
      </c>
      <c r="V309" t="s">
        <v>1151</v>
      </c>
      <c r="W309" t="s">
        <v>1131</v>
      </c>
      <c r="X309">
        <v>14</v>
      </c>
      <c r="Y309" t="s">
        <v>1133</v>
      </c>
      <c r="Z309" t="s">
        <v>1147</v>
      </c>
      <c r="AA309">
        <v>1.5</v>
      </c>
    </row>
    <row r="310" spans="1:27" x14ac:dyDescent="0.3">
      <c r="A310" t="s">
        <v>806</v>
      </c>
      <c r="B310" t="s">
        <v>1372</v>
      </c>
      <c r="C310" t="s">
        <v>1064</v>
      </c>
      <c r="D310" t="s">
        <v>1283</v>
      </c>
      <c r="E310" t="s">
        <v>1235</v>
      </c>
      <c r="F310" s="1">
        <v>46282.160416666673</v>
      </c>
      <c r="G310" s="1">
        <v>46282.166666666657</v>
      </c>
      <c r="H310">
        <v>5</v>
      </c>
      <c r="I310">
        <v>9</v>
      </c>
      <c r="J310" t="b">
        <v>0</v>
      </c>
      <c r="K310" t="b">
        <v>0</v>
      </c>
      <c r="L310" t="b">
        <v>0</v>
      </c>
      <c r="M310">
        <v>4</v>
      </c>
      <c r="N310" t="s">
        <v>1118</v>
      </c>
      <c r="O310" s="1">
        <v>46282.068055555559</v>
      </c>
      <c r="P310" t="b">
        <v>0</v>
      </c>
      <c r="Q310" t="s">
        <v>1151</v>
      </c>
      <c r="R310" t="s">
        <v>1131</v>
      </c>
      <c r="S310" t="s">
        <v>1152</v>
      </c>
      <c r="T310" t="s">
        <v>1122</v>
      </c>
      <c r="U310" t="s">
        <v>1123</v>
      </c>
      <c r="V310" t="s">
        <v>1284</v>
      </c>
      <c r="W310" t="s">
        <v>1131</v>
      </c>
      <c r="X310">
        <v>1</v>
      </c>
      <c r="Y310" t="s">
        <v>1146</v>
      </c>
      <c r="Z310" t="s">
        <v>1147</v>
      </c>
      <c r="AA310">
        <v>1.8</v>
      </c>
    </row>
    <row r="311" spans="1:27" x14ac:dyDescent="0.3">
      <c r="A311" t="s">
        <v>184</v>
      </c>
      <c r="B311" t="s">
        <v>1170</v>
      </c>
      <c r="C311" t="s">
        <v>1063</v>
      </c>
      <c r="D311" t="s">
        <v>1149</v>
      </c>
      <c r="E311" t="s">
        <v>1223</v>
      </c>
      <c r="F311" s="1">
        <v>46277.099305555559</v>
      </c>
      <c r="G311" s="1">
        <v>46277.105555555558</v>
      </c>
      <c r="H311">
        <v>2</v>
      </c>
      <c r="I311">
        <v>9</v>
      </c>
      <c r="J311" t="b">
        <v>0</v>
      </c>
      <c r="K311" t="b">
        <v>0</v>
      </c>
      <c r="L311" t="b">
        <v>0</v>
      </c>
      <c r="M311">
        <v>20</v>
      </c>
      <c r="N311" t="s">
        <v>1118</v>
      </c>
      <c r="O311" s="1">
        <v>46277.038194444453</v>
      </c>
      <c r="P311" t="b">
        <v>0</v>
      </c>
      <c r="Q311" t="s">
        <v>1119</v>
      </c>
      <c r="R311" t="s">
        <v>1120</v>
      </c>
      <c r="S311" t="s">
        <v>1152</v>
      </c>
      <c r="T311" t="s">
        <v>1122</v>
      </c>
      <c r="U311" t="s">
        <v>1172</v>
      </c>
      <c r="V311" t="s">
        <v>1152</v>
      </c>
      <c r="W311" t="s">
        <v>1145</v>
      </c>
      <c r="X311">
        <v>0</v>
      </c>
      <c r="Y311" t="s">
        <v>1173</v>
      </c>
      <c r="Z311" t="s">
        <v>1127</v>
      </c>
      <c r="AA311">
        <v>4.5</v>
      </c>
    </row>
    <row r="312" spans="1:27" x14ac:dyDescent="0.3">
      <c r="A312" t="s">
        <v>815</v>
      </c>
      <c r="B312" t="s">
        <v>1322</v>
      </c>
      <c r="C312" t="s">
        <v>1063</v>
      </c>
      <c r="D312" t="s">
        <v>1149</v>
      </c>
      <c r="E312" t="s">
        <v>1212</v>
      </c>
      <c r="F312" s="1">
        <v>46292.161111111112</v>
      </c>
      <c r="G312" s="1">
        <v>46292.167361111111</v>
      </c>
      <c r="H312">
        <v>2</v>
      </c>
      <c r="I312">
        <v>9</v>
      </c>
      <c r="J312" t="b">
        <v>0</v>
      </c>
      <c r="K312" t="b">
        <v>0</v>
      </c>
      <c r="L312" t="b">
        <v>0</v>
      </c>
      <c r="M312">
        <v>6</v>
      </c>
      <c r="N312" t="s">
        <v>1130</v>
      </c>
      <c r="O312" s="1">
        <v>46292.150694444441</v>
      </c>
      <c r="P312" t="b">
        <v>0</v>
      </c>
      <c r="Q312" t="s">
        <v>1145</v>
      </c>
      <c r="R312" t="s">
        <v>1139</v>
      </c>
      <c r="S312" t="s">
        <v>1157</v>
      </c>
      <c r="T312" t="s">
        <v>1122</v>
      </c>
      <c r="U312" t="s">
        <v>1172</v>
      </c>
      <c r="V312" t="s">
        <v>1152</v>
      </c>
      <c r="W312" t="s">
        <v>1145</v>
      </c>
      <c r="X312">
        <v>3</v>
      </c>
      <c r="Y312" t="s">
        <v>1133</v>
      </c>
      <c r="Z312" t="s">
        <v>1134</v>
      </c>
      <c r="AA312">
        <v>4.5</v>
      </c>
    </row>
    <row r="313" spans="1:27" x14ac:dyDescent="0.3">
      <c r="A313" t="s">
        <v>818</v>
      </c>
      <c r="B313" t="s">
        <v>1148</v>
      </c>
      <c r="C313" t="s">
        <v>1086</v>
      </c>
      <c r="D313" t="s">
        <v>1116</v>
      </c>
      <c r="E313" t="s">
        <v>1192</v>
      </c>
      <c r="F313" s="1">
        <v>46275.129166666673</v>
      </c>
      <c r="G313" s="1">
        <v>46275.135416666657</v>
      </c>
      <c r="H313">
        <v>5</v>
      </c>
      <c r="I313">
        <v>9</v>
      </c>
      <c r="J313" t="b">
        <v>0</v>
      </c>
      <c r="K313" t="b">
        <v>0</v>
      </c>
      <c r="L313" t="b">
        <v>0</v>
      </c>
      <c r="M313">
        <v>10</v>
      </c>
      <c r="N313" t="s">
        <v>1118</v>
      </c>
      <c r="O313" s="1">
        <v>46275.054861111108</v>
      </c>
      <c r="P313" t="b">
        <v>0</v>
      </c>
      <c r="Q313" t="s">
        <v>1151</v>
      </c>
      <c r="R313" t="s">
        <v>1139</v>
      </c>
      <c r="S313" t="s">
        <v>1132</v>
      </c>
      <c r="T313" t="s">
        <v>1122</v>
      </c>
      <c r="U313" t="s">
        <v>1145</v>
      </c>
      <c r="V313" t="s">
        <v>1124</v>
      </c>
      <c r="W313" t="s">
        <v>1125</v>
      </c>
      <c r="X313">
        <v>1</v>
      </c>
      <c r="Y313" t="s">
        <v>1146</v>
      </c>
      <c r="Z313" t="s">
        <v>1134</v>
      </c>
      <c r="AA313">
        <v>1.8</v>
      </c>
    </row>
    <row r="314" spans="1:27" x14ac:dyDescent="0.3">
      <c r="A314" t="s">
        <v>820</v>
      </c>
      <c r="B314" t="s">
        <v>1148</v>
      </c>
      <c r="C314" t="s">
        <v>1074</v>
      </c>
      <c r="D314" t="s">
        <v>1255</v>
      </c>
      <c r="E314" t="s">
        <v>1309</v>
      </c>
      <c r="F314" s="1">
        <v>46275.063888888893</v>
      </c>
      <c r="G314" s="1">
        <v>46275.070138888892</v>
      </c>
      <c r="H314">
        <v>6</v>
      </c>
      <c r="I314">
        <v>9</v>
      </c>
      <c r="J314" t="b">
        <v>0</v>
      </c>
      <c r="K314" t="b">
        <v>0</v>
      </c>
      <c r="L314" t="b">
        <v>0</v>
      </c>
      <c r="M314">
        <v>10</v>
      </c>
      <c r="N314" t="s">
        <v>1118</v>
      </c>
      <c r="O314" s="1">
        <v>46275.054861111108</v>
      </c>
      <c r="P314" t="b">
        <v>0</v>
      </c>
      <c r="Q314" t="s">
        <v>1119</v>
      </c>
      <c r="R314" t="s">
        <v>1120</v>
      </c>
      <c r="S314" t="s">
        <v>1157</v>
      </c>
      <c r="T314" t="s">
        <v>1145</v>
      </c>
      <c r="U314" t="s">
        <v>1145</v>
      </c>
      <c r="V314" t="s">
        <v>1141</v>
      </c>
      <c r="W314" t="s">
        <v>1257</v>
      </c>
      <c r="X314">
        <v>1</v>
      </c>
      <c r="Y314" t="s">
        <v>1146</v>
      </c>
      <c r="Z314" t="s">
        <v>1134</v>
      </c>
      <c r="AA314">
        <v>1.5</v>
      </c>
    </row>
    <row r="315" spans="1:27" x14ac:dyDescent="0.3">
      <c r="A315" t="s">
        <v>821</v>
      </c>
      <c r="B315" t="s">
        <v>1148</v>
      </c>
      <c r="C315" t="s">
        <v>1074</v>
      </c>
      <c r="D315" t="s">
        <v>1280</v>
      </c>
      <c r="E315" t="s">
        <v>1223</v>
      </c>
      <c r="F315" s="1">
        <v>46275.114583333343</v>
      </c>
      <c r="G315" s="1">
        <v>46275.120833333327</v>
      </c>
      <c r="H315">
        <v>4</v>
      </c>
      <c r="I315">
        <v>9</v>
      </c>
      <c r="J315" t="b">
        <v>0</v>
      </c>
      <c r="K315" t="b">
        <v>0</v>
      </c>
      <c r="L315" t="b">
        <v>0</v>
      </c>
      <c r="M315">
        <v>10</v>
      </c>
      <c r="N315" t="s">
        <v>1118</v>
      </c>
      <c r="O315" s="1">
        <v>46275.054861111108</v>
      </c>
      <c r="P315" t="b">
        <v>0</v>
      </c>
      <c r="Q315" t="s">
        <v>1119</v>
      </c>
      <c r="R315" t="s">
        <v>1120</v>
      </c>
      <c r="S315" t="s">
        <v>1152</v>
      </c>
      <c r="T315" t="s">
        <v>1145</v>
      </c>
      <c r="U315" t="s">
        <v>1145</v>
      </c>
      <c r="V315" t="s">
        <v>1151</v>
      </c>
      <c r="W315" t="s">
        <v>1257</v>
      </c>
      <c r="X315">
        <v>1</v>
      </c>
      <c r="Y315" t="s">
        <v>1146</v>
      </c>
      <c r="Z315" t="s">
        <v>1134</v>
      </c>
      <c r="AA315">
        <v>2.25</v>
      </c>
    </row>
    <row r="316" spans="1:27" x14ac:dyDescent="0.3">
      <c r="A316" t="s">
        <v>209</v>
      </c>
      <c r="B316" t="s">
        <v>1407</v>
      </c>
      <c r="C316" t="s">
        <v>1068</v>
      </c>
      <c r="D316" t="s">
        <v>1238</v>
      </c>
      <c r="E316" t="s">
        <v>1144</v>
      </c>
      <c r="F316" s="1">
        <v>46280.07708333333</v>
      </c>
      <c r="G316" s="1">
        <v>46280.083333333343</v>
      </c>
      <c r="H316">
        <v>4</v>
      </c>
      <c r="I316">
        <v>9</v>
      </c>
      <c r="J316" t="b">
        <v>0</v>
      </c>
      <c r="K316" t="b">
        <v>0</v>
      </c>
      <c r="L316" t="b">
        <v>0</v>
      </c>
      <c r="M316">
        <v>15</v>
      </c>
      <c r="N316" t="s">
        <v>1130</v>
      </c>
      <c r="O316" s="1">
        <v>46279.98541666667</v>
      </c>
      <c r="P316" t="b">
        <v>0</v>
      </c>
      <c r="Q316" t="s">
        <v>1138</v>
      </c>
      <c r="R316" t="s">
        <v>1120</v>
      </c>
      <c r="S316" t="s">
        <v>1145</v>
      </c>
      <c r="T316" t="s">
        <v>1122</v>
      </c>
      <c r="U316" t="s">
        <v>1123</v>
      </c>
      <c r="V316" t="s">
        <v>1151</v>
      </c>
      <c r="W316" t="s">
        <v>1131</v>
      </c>
      <c r="X316">
        <v>23</v>
      </c>
      <c r="Y316" t="s">
        <v>1185</v>
      </c>
      <c r="Z316" t="s">
        <v>1127</v>
      </c>
      <c r="AA316">
        <v>2.25</v>
      </c>
    </row>
    <row r="317" spans="1:27" x14ac:dyDescent="0.3">
      <c r="A317" t="s">
        <v>348</v>
      </c>
      <c r="B317" t="s">
        <v>1310</v>
      </c>
      <c r="C317" t="s">
        <v>1077</v>
      </c>
      <c r="D317" t="s">
        <v>1238</v>
      </c>
      <c r="E317" t="s">
        <v>1272</v>
      </c>
      <c r="F317" s="1">
        <v>46282.911111111112</v>
      </c>
      <c r="G317" s="1">
        <v>46282.917361111111</v>
      </c>
      <c r="H317">
        <v>7</v>
      </c>
      <c r="I317">
        <v>9</v>
      </c>
      <c r="J317" t="b">
        <v>0</v>
      </c>
      <c r="K317" t="b">
        <v>0</v>
      </c>
      <c r="L317" t="b">
        <v>0</v>
      </c>
      <c r="M317">
        <v>12</v>
      </c>
      <c r="N317" t="s">
        <v>1130</v>
      </c>
      <c r="O317" s="1">
        <v>46282.884722222218</v>
      </c>
      <c r="P317" t="b">
        <v>0</v>
      </c>
      <c r="Q317" t="s">
        <v>1179</v>
      </c>
      <c r="R317" t="s">
        <v>1120</v>
      </c>
      <c r="S317" t="s">
        <v>1157</v>
      </c>
      <c r="T317" t="s">
        <v>1122</v>
      </c>
      <c r="U317" t="s">
        <v>1172</v>
      </c>
      <c r="V317" t="s">
        <v>1151</v>
      </c>
      <c r="W317" t="s">
        <v>1131</v>
      </c>
      <c r="X317">
        <v>21</v>
      </c>
      <c r="Y317" t="s">
        <v>1146</v>
      </c>
      <c r="Z317" t="s">
        <v>1127</v>
      </c>
      <c r="AA317">
        <v>1.285714285714286</v>
      </c>
    </row>
    <row r="318" spans="1:27" x14ac:dyDescent="0.3">
      <c r="A318" t="s">
        <v>547</v>
      </c>
      <c r="B318" t="s">
        <v>1408</v>
      </c>
      <c r="C318" t="s">
        <v>1086</v>
      </c>
      <c r="D318" t="s">
        <v>1149</v>
      </c>
      <c r="E318" t="s">
        <v>1292</v>
      </c>
      <c r="F318" s="1">
        <v>46283.009722222218</v>
      </c>
      <c r="G318" s="1">
        <v>46283.015972222223</v>
      </c>
      <c r="H318">
        <v>5</v>
      </c>
      <c r="I318">
        <v>9</v>
      </c>
      <c r="J318" t="b">
        <v>0</v>
      </c>
      <c r="K318" t="b">
        <v>0</v>
      </c>
      <c r="L318" t="b">
        <v>0</v>
      </c>
      <c r="M318">
        <v>5</v>
      </c>
      <c r="N318" t="s">
        <v>1118</v>
      </c>
      <c r="O318" s="1">
        <v>46282.904861111107</v>
      </c>
      <c r="P318" t="b">
        <v>0</v>
      </c>
      <c r="Q318" t="s">
        <v>1179</v>
      </c>
      <c r="R318" t="s">
        <v>1131</v>
      </c>
      <c r="S318" t="s">
        <v>1152</v>
      </c>
      <c r="T318" t="s">
        <v>1122</v>
      </c>
      <c r="U318" t="s">
        <v>1145</v>
      </c>
      <c r="V318" t="s">
        <v>1152</v>
      </c>
      <c r="W318" t="s">
        <v>1145</v>
      </c>
      <c r="X318">
        <v>21</v>
      </c>
      <c r="Y318" t="s">
        <v>1146</v>
      </c>
      <c r="Z318" t="s">
        <v>1147</v>
      </c>
      <c r="AA318">
        <v>1.8</v>
      </c>
    </row>
    <row r="319" spans="1:27" x14ac:dyDescent="0.3">
      <c r="A319" t="s">
        <v>549</v>
      </c>
      <c r="B319" t="s">
        <v>1323</v>
      </c>
      <c r="C319" t="s">
        <v>1065</v>
      </c>
      <c r="D319" t="s">
        <v>1238</v>
      </c>
      <c r="E319" t="s">
        <v>1165</v>
      </c>
      <c r="F319" s="1">
        <v>46280.898611111108</v>
      </c>
      <c r="G319" s="1">
        <v>46280.904861111107</v>
      </c>
      <c r="H319">
        <v>7</v>
      </c>
      <c r="I319">
        <v>9</v>
      </c>
      <c r="J319" t="b">
        <v>0</v>
      </c>
      <c r="K319" t="b">
        <v>0</v>
      </c>
      <c r="L319" t="b">
        <v>0</v>
      </c>
      <c r="M319">
        <v>15</v>
      </c>
      <c r="N319" t="s">
        <v>1118</v>
      </c>
      <c r="O319" s="1">
        <v>46280.834722222222</v>
      </c>
      <c r="P319" t="b">
        <v>0</v>
      </c>
      <c r="Q319" t="s">
        <v>1138</v>
      </c>
      <c r="R319" t="s">
        <v>1120</v>
      </c>
      <c r="S319" t="s">
        <v>1152</v>
      </c>
      <c r="T319" t="s">
        <v>1180</v>
      </c>
      <c r="U319" t="s">
        <v>1247</v>
      </c>
      <c r="V319" t="s">
        <v>1151</v>
      </c>
      <c r="W319" t="s">
        <v>1131</v>
      </c>
      <c r="X319">
        <v>20</v>
      </c>
      <c r="Y319" t="s">
        <v>1126</v>
      </c>
      <c r="Z319" t="s">
        <v>1127</v>
      </c>
      <c r="AA319">
        <v>1.285714285714286</v>
      </c>
    </row>
    <row r="320" spans="1:27" x14ac:dyDescent="0.3">
      <c r="A320" t="s">
        <v>554</v>
      </c>
      <c r="B320" t="s">
        <v>1323</v>
      </c>
      <c r="C320" t="s">
        <v>1088</v>
      </c>
      <c r="D320" t="s">
        <v>1283</v>
      </c>
      <c r="E320" t="s">
        <v>1344</v>
      </c>
      <c r="F320" s="1">
        <v>46280.911805555559</v>
      </c>
      <c r="G320" s="1">
        <v>46280.918055555558</v>
      </c>
      <c r="H320">
        <v>3</v>
      </c>
      <c r="I320">
        <v>9</v>
      </c>
      <c r="J320" t="b">
        <v>0</v>
      </c>
      <c r="K320" t="b">
        <v>0</v>
      </c>
      <c r="L320" t="b">
        <v>0</v>
      </c>
      <c r="M320">
        <v>15</v>
      </c>
      <c r="N320" t="s">
        <v>1118</v>
      </c>
      <c r="O320" s="1">
        <v>46280.834722222222</v>
      </c>
      <c r="P320" t="b">
        <v>0</v>
      </c>
      <c r="Q320" t="s">
        <v>1156</v>
      </c>
      <c r="R320" t="s">
        <v>1131</v>
      </c>
      <c r="S320" t="s">
        <v>1132</v>
      </c>
      <c r="T320" t="s">
        <v>1140</v>
      </c>
      <c r="U320" t="s">
        <v>1123</v>
      </c>
      <c r="V320" t="s">
        <v>1284</v>
      </c>
      <c r="W320" t="s">
        <v>1131</v>
      </c>
      <c r="X320">
        <v>20</v>
      </c>
      <c r="Y320" t="s">
        <v>1126</v>
      </c>
      <c r="Z320" t="s">
        <v>1127</v>
      </c>
      <c r="AA320">
        <v>3</v>
      </c>
    </row>
    <row r="321" spans="1:27" x14ac:dyDescent="0.3">
      <c r="A321" t="s">
        <v>350</v>
      </c>
      <c r="B321" t="s">
        <v>1310</v>
      </c>
      <c r="C321" t="s">
        <v>1075</v>
      </c>
      <c r="D321" t="s">
        <v>1238</v>
      </c>
      <c r="E321" t="s">
        <v>1117</v>
      </c>
      <c r="F321" s="1">
        <v>46282.922222222223</v>
      </c>
      <c r="G321" s="1">
        <v>46282.928472222222</v>
      </c>
      <c r="H321">
        <v>7</v>
      </c>
      <c r="I321">
        <v>9</v>
      </c>
      <c r="J321" t="b">
        <v>0</v>
      </c>
      <c r="K321" t="b">
        <v>0</v>
      </c>
      <c r="L321" t="b">
        <v>0</v>
      </c>
      <c r="M321">
        <v>12</v>
      </c>
      <c r="N321" t="s">
        <v>1130</v>
      </c>
      <c r="O321" s="1">
        <v>46282.884722222218</v>
      </c>
      <c r="P321" t="b">
        <v>0</v>
      </c>
      <c r="Q321" t="s">
        <v>1119</v>
      </c>
      <c r="R321" t="s">
        <v>1120</v>
      </c>
      <c r="S321" t="s">
        <v>1121</v>
      </c>
      <c r="T321" t="s">
        <v>1122</v>
      </c>
      <c r="U321" t="s">
        <v>1172</v>
      </c>
      <c r="V321" t="s">
        <v>1151</v>
      </c>
      <c r="W321" t="s">
        <v>1131</v>
      </c>
      <c r="X321">
        <v>21</v>
      </c>
      <c r="Y321" t="s">
        <v>1146</v>
      </c>
      <c r="Z321" t="s">
        <v>1127</v>
      </c>
      <c r="AA321">
        <v>1.285714285714286</v>
      </c>
    </row>
    <row r="322" spans="1:27" x14ac:dyDescent="0.3">
      <c r="A322" t="s">
        <v>839</v>
      </c>
      <c r="B322" t="s">
        <v>1193</v>
      </c>
      <c r="C322" t="s">
        <v>1068</v>
      </c>
      <c r="D322" t="s">
        <v>1280</v>
      </c>
      <c r="E322" t="s">
        <v>1371</v>
      </c>
      <c r="F322" s="1">
        <v>46283.500694444447</v>
      </c>
      <c r="G322" s="1">
        <v>46283.506944444453</v>
      </c>
      <c r="H322">
        <v>7</v>
      </c>
      <c r="I322">
        <v>9</v>
      </c>
      <c r="J322" t="b">
        <v>0</v>
      </c>
      <c r="K322" t="b">
        <v>0</v>
      </c>
      <c r="L322" t="b">
        <v>0</v>
      </c>
      <c r="M322">
        <v>6</v>
      </c>
      <c r="N322" t="s">
        <v>1155</v>
      </c>
      <c r="O322" s="1">
        <v>46283.459027777782</v>
      </c>
      <c r="P322" t="b">
        <v>0</v>
      </c>
      <c r="Q322" t="s">
        <v>1138</v>
      </c>
      <c r="R322" t="s">
        <v>1131</v>
      </c>
      <c r="S322" t="s">
        <v>1157</v>
      </c>
      <c r="T322" t="s">
        <v>1122</v>
      </c>
      <c r="U322" t="s">
        <v>1123</v>
      </c>
      <c r="V322" t="s">
        <v>1151</v>
      </c>
      <c r="W322" t="s">
        <v>1257</v>
      </c>
      <c r="X322">
        <v>11</v>
      </c>
      <c r="Y322" t="s">
        <v>1142</v>
      </c>
      <c r="Z322" t="s">
        <v>1134</v>
      </c>
      <c r="AA322">
        <v>1.285714285714286</v>
      </c>
    </row>
    <row r="323" spans="1:27" x14ac:dyDescent="0.3">
      <c r="A323" t="s">
        <v>840</v>
      </c>
      <c r="B323" t="s">
        <v>1282</v>
      </c>
      <c r="C323" t="s">
        <v>1088</v>
      </c>
      <c r="D323" t="s">
        <v>1280</v>
      </c>
      <c r="E323" t="s">
        <v>1265</v>
      </c>
      <c r="F323" s="1">
        <v>46274.374305555553</v>
      </c>
      <c r="G323" s="1">
        <v>46274.380555555559</v>
      </c>
      <c r="H323">
        <v>5</v>
      </c>
      <c r="I323">
        <v>9</v>
      </c>
      <c r="J323" t="b">
        <v>0</v>
      </c>
      <c r="K323" t="b">
        <v>0</v>
      </c>
      <c r="L323" t="b">
        <v>0</v>
      </c>
      <c r="M323">
        <v>12</v>
      </c>
      <c r="N323" t="s">
        <v>1118</v>
      </c>
      <c r="O323" s="1">
        <v>46274.3</v>
      </c>
      <c r="P323" t="b">
        <v>0</v>
      </c>
      <c r="Q323" t="s">
        <v>1179</v>
      </c>
      <c r="R323" t="s">
        <v>1139</v>
      </c>
      <c r="S323" t="s">
        <v>1157</v>
      </c>
      <c r="T323" t="s">
        <v>1140</v>
      </c>
      <c r="U323" t="s">
        <v>1123</v>
      </c>
      <c r="V323" t="s">
        <v>1151</v>
      </c>
      <c r="W323" t="s">
        <v>1257</v>
      </c>
      <c r="X323">
        <v>7</v>
      </c>
      <c r="Y323" t="s">
        <v>1161</v>
      </c>
      <c r="Z323" t="s">
        <v>1127</v>
      </c>
      <c r="AA323">
        <v>1.8</v>
      </c>
    </row>
    <row r="324" spans="1:27" x14ac:dyDescent="0.3">
      <c r="A324" t="s">
        <v>899</v>
      </c>
      <c r="B324" t="s">
        <v>1298</v>
      </c>
      <c r="C324" t="s">
        <v>1073</v>
      </c>
      <c r="D324" t="s">
        <v>1136</v>
      </c>
      <c r="E324" t="s">
        <v>1398</v>
      </c>
      <c r="F324" s="1">
        <v>46271.543055555558</v>
      </c>
      <c r="G324" s="1">
        <v>46271.549305555563</v>
      </c>
      <c r="H324">
        <v>7</v>
      </c>
      <c r="I324">
        <v>9</v>
      </c>
      <c r="J324" t="b">
        <v>0</v>
      </c>
      <c r="K324" t="b">
        <v>0</v>
      </c>
      <c r="L324" t="b">
        <v>0</v>
      </c>
      <c r="M324">
        <v>8</v>
      </c>
      <c r="N324" t="s">
        <v>1155</v>
      </c>
      <c r="O324" s="1">
        <v>46271.509027777778</v>
      </c>
      <c r="P324" t="b">
        <v>0</v>
      </c>
      <c r="Q324" t="s">
        <v>1169</v>
      </c>
      <c r="R324" t="s">
        <v>1120</v>
      </c>
      <c r="S324" t="s">
        <v>1132</v>
      </c>
      <c r="T324" t="s">
        <v>1122</v>
      </c>
      <c r="U324" t="s">
        <v>1247</v>
      </c>
      <c r="V324" t="s">
        <v>1141</v>
      </c>
      <c r="W324" t="s">
        <v>1125</v>
      </c>
      <c r="X324">
        <v>12</v>
      </c>
      <c r="Y324" t="s">
        <v>1133</v>
      </c>
      <c r="Z324" t="s">
        <v>1134</v>
      </c>
      <c r="AA324">
        <v>1.285714285714286</v>
      </c>
    </row>
    <row r="325" spans="1:27" x14ac:dyDescent="0.3">
      <c r="A325" t="s">
        <v>155</v>
      </c>
      <c r="B325" t="s">
        <v>1286</v>
      </c>
      <c r="C325" t="s">
        <v>1080</v>
      </c>
      <c r="D325" t="s">
        <v>1116</v>
      </c>
      <c r="E325" t="s">
        <v>1246</v>
      </c>
      <c r="F325" s="1">
        <v>46290.336805555547</v>
      </c>
      <c r="G325" s="1">
        <v>46290.343055555553</v>
      </c>
      <c r="H325">
        <v>1</v>
      </c>
      <c r="I325">
        <v>9</v>
      </c>
      <c r="J325" t="b">
        <v>0</v>
      </c>
      <c r="K325" t="b">
        <v>0</v>
      </c>
      <c r="L325" t="b">
        <v>0</v>
      </c>
      <c r="M325">
        <v>15</v>
      </c>
      <c r="N325" t="s">
        <v>1118</v>
      </c>
      <c r="O325" s="1">
        <v>46290.302777777782</v>
      </c>
      <c r="P325" t="b">
        <v>0</v>
      </c>
      <c r="Q325" t="s">
        <v>1145</v>
      </c>
      <c r="R325" t="s">
        <v>1120</v>
      </c>
      <c r="S325" t="s">
        <v>1157</v>
      </c>
      <c r="T325" t="s">
        <v>1122</v>
      </c>
      <c r="U325" t="s">
        <v>1247</v>
      </c>
      <c r="V325" t="s">
        <v>1124</v>
      </c>
      <c r="W325" t="s">
        <v>1125</v>
      </c>
      <c r="X325">
        <v>7</v>
      </c>
      <c r="Y325" t="s">
        <v>1142</v>
      </c>
      <c r="Z325" t="s">
        <v>1127</v>
      </c>
      <c r="AA325">
        <v>9</v>
      </c>
    </row>
    <row r="326" spans="1:27" x14ac:dyDescent="0.3">
      <c r="A326" t="s">
        <v>192</v>
      </c>
      <c r="B326" t="s">
        <v>1409</v>
      </c>
      <c r="C326" t="s">
        <v>1057</v>
      </c>
      <c r="D326" t="s">
        <v>1116</v>
      </c>
      <c r="E326" t="s">
        <v>1244</v>
      </c>
      <c r="F326" s="1">
        <v>46293.152777777781</v>
      </c>
      <c r="G326" s="1">
        <v>46293.15902777778</v>
      </c>
      <c r="H326">
        <v>7</v>
      </c>
      <c r="I326">
        <v>9</v>
      </c>
      <c r="J326" t="b">
        <v>0</v>
      </c>
      <c r="K326" t="b">
        <v>0</v>
      </c>
      <c r="L326" t="b">
        <v>0</v>
      </c>
      <c r="M326">
        <v>4</v>
      </c>
      <c r="N326" t="s">
        <v>1130</v>
      </c>
      <c r="O326" s="1">
        <v>46293.038888888892</v>
      </c>
      <c r="P326" t="b">
        <v>0</v>
      </c>
      <c r="Q326" t="s">
        <v>1119</v>
      </c>
      <c r="R326" t="s">
        <v>1120</v>
      </c>
      <c r="S326" t="s">
        <v>1121</v>
      </c>
      <c r="T326" t="s">
        <v>1122</v>
      </c>
      <c r="U326" t="s">
        <v>1172</v>
      </c>
      <c r="V326" t="s">
        <v>1124</v>
      </c>
      <c r="W326" t="s">
        <v>1125</v>
      </c>
      <c r="X326">
        <v>0</v>
      </c>
      <c r="Y326" t="s">
        <v>1185</v>
      </c>
      <c r="Z326" t="s">
        <v>1147</v>
      </c>
      <c r="AA326">
        <v>1.285714285714286</v>
      </c>
    </row>
    <row r="327" spans="1:27" x14ac:dyDescent="0.3">
      <c r="A327" t="s">
        <v>195</v>
      </c>
      <c r="B327" t="s">
        <v>1234</v>
      </c>
      <c r="C327" t="s">
        <v>1061</v>
      </c>
      <c r="D327" t="s">
        <v>1116</v>
      </c>
      <c r="E327" t="s">
        <v>1228</v>
      </c>
      <c r="F327" s="1">
        <v>46282.00277777778</v>
      </c>
      <c r="G327" s="1">
        <v>46282.009027777778</v>
      </c>
      <c r="H327">
        <v>1</v>
      </c>
      <c r="I327">
        <v>9</v>
      </c>
      <c r="J327" t="b">
        <v>0</v>
      </c>
      <c r="K327" t="b">
        <v>0</v>
      </c>
      <c r="L327" t="b">
        <v>0</v>
      </c>
      <c r="M327">
        <v>12</v>
      </c>
      <c r="N327" t="s">
        <v>1130</v>
      </c>
      <c r="P327" t="b">
        <v>0</v>
      </c>
      <c r="Q327" t="s">
        <v>1179</v>
      </c>
      <c r="R327" t="s">
        <v>1145</v>
      </c>
      <c r="S327" t="s">
        <v>1157</v>
      </c>
      <c r="T327" t="s">
        <v>1145</v>
      </c>
      <c r="U327" t="s">
        <v>1172</v>
      </c>
      <c r="V327" t="s">
        <v>1124</v>
      </c>
      <c r="W327" t="s">
        <v>1125</v>
      </c>
      <c r="Z327" t="s">
        <v>1127</v>
      </c>
      <c r="AA327">
        <v>9</v>
      </c>
    </row>
    <row r="328" spans="1:27" x14ac:dyDescent="0.3">
      <c r="A328" t="s">
        <v>856</v>
      </c>
      <c r="B328" t="s">
        <v>1354</v>
      </c>
      <c r="C328" t="s">
        <v>1061</v>
      </c>
      <c r="D328" t="s">
        <v>1136</v>
      </c>
      <c r="E328" t="s">
        <v>1292</v>
      </c>
      <c r="F328" s="1">
        <v>46286.894444444442</v>
      </c>
      <c r="G328" s="1">
        <v>46286.900694444441</v>
      </c>
      <c r="H328">
        <v>1</v>
      </c>
      <c r="I328">
        <v>9</v>
      </c>
      <c r="J328" t="b">
        <v>0</v>
      </c>
      <c r="K328" t="b">
        <v>0</v>
      </c>
      <c r="L328" t="b">
        <v>0</v>
      </c>
      <c r="M328">
        <v>8</v>
      </c>
      <c r="N328" t="s">
        <v>1118</v>
      </c>
      <c r="O328" s="1">
        <v>46286.883333333331</v>
      </c>
      <c r="P328" t="b">
        <v>0</v>
      </c>
      <c r="Q328" t="s">
        <v>1179</v>
      </c>
      <c r="R328" t="s">
        <v>1131</v>
      </c>
      <c r="S328" t="s">
        <v>1152</v>
      </c>
      <c r="T328" t="s">
        <v>1145</v>
      </c>
      <c r="U328" t="s">
        <v>1172</v>
      </c>
      <c r="V328" t="s">
        <v>1141</v>
      </c>
      <c r="W328" t="s">
        <v>1125</v>
      </c>
      <c r="X328">
        <v>21</v>
      </c>
      <c r="Y328" t="s">
        <v>1185</v>
      </c>
      <c r="Z328" t="s">
        <v>1134</v>
      </c>
      <c r="AA328">
        <v>9</v>
      </c>
    </row>
    <row r="329" spans="1:27" x14ac:dyDescent="0.3">
      <c r="A329" t="s">
        <v>858</v>
      </c>
      <c r="B329" t="s">
        <v>1359</v>
      </c>
      <c r="C329" t="s">
        <v>1067</v>
      </c>
      <c r="D329" t="s">
        <v>1116</v>
      </c>
      <c r="E329" t="s">
        <v>1209</v>
      </c>
      <c r="F329" s="1">
        <v>46267.911805555559</v>
      </c>
      <c r="G329" s="1">
        <v>46267.918055555558</v>
      </c>
      <c r="H329">
        <v>4</v>
      </c>
      <c r="I329">
        <v>9</v>
      </c>
      <c r="J329" t="b">
        <v>0</v>
      </c>
      <c r="K329" t="b">
        <v>0</v>
      </c>
      <c r="L329" t="b">
        <v>0</v>
      </c>
      <c r="M329">
        <v>6</v>
      </c>
      <c r="N329" t="s">
        <v>1130</v>
      </c>
      <c r="O329" s="1">
        <v>46267.872916666667</v>
      </c>
      <c r="P329" t="b">
        <v>0</v>
      </c>
      <c r="Q329" t="s">
        <v>1138</v>
      </c>
      <c r="R329" t="s">
        <v>1131</v>
      </c>
      <c r="S329" t="s">
        <v>1132</v>
      </c>
      <c r="T329" t="s">
        <v>1180</v>
      </c>
      <c r="U329" t="s">
        <v>1247</v>
      </c>
      <c r="V329" t="s">
        <v>1124</v>
      </c>
      <c r="W329" t="s">
        <v>1125</v>
      </c>
      <c r="X329">
        <v>20</v>
      </c>
      <c r="Y329" t="s">
        <v>1161</v>
      </c>
      <c r="Z329" t="s">
        <v>1134</v>
      </c>
      <c r="AA329">
        <v>2.25</v>
      </c>
    </row>
    <row r="330" spans="1:27" x14ac:dyDescent="0.3">
      <c r="A330" t="s">
        <v>867</v>
      </c>
      <c r="B330" t="s">
        <v>1278</v>
      </c>
      <c r="C330" t="s">
        <v>1088</v>
      </c>
      <c r="D330" t="s">
        <v>1255</v>
      </c>
      <c r="E330" t="s">
        <v>1212</v>
      </c>
      <c r="F330" s="1">
        <v>46276.438888888893</v>
      </c>
      <c r="G330" s="1">
        <v>46276.445138888892</v>
      </c>
      <c r="H330">
        <v>3</v>
      </c>
      <c r="I330">
        <v>9</v>
      </c>
      <c r="J330" t="b">
        <v>0</v>
      </c>
      <c r="K330" t="b">
        <v>0</v>
      </c>
      <c r="L330" t="b">
        <v>0</v>
      </c>
      <c r="M330">
        <v>10</v>
      </c>
      <c r="N330" t="s">
        <v>1118</v>
      </c>
      <c r="O330" s="1">
        <v>46276.388888888891</v>
      </c>
      <c r="P330" t="b">
        <v>0</v>
      </c>
      <c r="Q330" t="s">
        <v>1145</v>
      </c>
      <c r="R330" t="s">
        <v>1139</v>
      </c>
      <c r="S330" t="s">
        <v>1157</v>
      </c>
      <c r="T330" t="s">
        <v>1140</v>
      </c>
      <c r="U330" t="s">
        <v>1123</v>
      </c>
      <c r="V330" t="s">
        <v>1141</v>
      </c>
      <c r="W330" t="s">
        <v>1257</v>
      </c>
      <c r="X330">
        <v>9</v>
      </c>
      <c r="Y330" t="s">
        <v>1142</v>
      </c>
      <c r="Z330" t="s">
        <v>1134</v>
      </c>
      <c r="AA330">
        <v>3</v>
      </c>
    </row>
    <row r="331" spans="1:27" x14ac:dyDescent="0.3">
      <c r="A331" t="s">
        <v>868</v>
      </c>
      <c r="B331" t="s">
        <v>1326</v>
      </c>
      <c r="C331" t="s">
        <v>1059</v>
      </c>
      <c r="D331" t="s">
        <v>1280</v>
      </c>
      <c r="E331" t="s">
        <v>1244</v>
      </c>
      <c r="F331" s="1">
        <v>46270.927083333343</v>
      </c>
      <c r="G331" s="1">
        <v>46270.933333333327</v>
      </c>
      <c r="H331">
        <v>7</v>
      </c>
      <c r="I331">
        <v>9</v>
      </c>
      <c r="J331" t="b">
        <v>0</v>
      </c>
      <c r="K331" t="b">
        <v>0</v>
      </c>
      <c r="L331" t="b">
        <v>0</v>
      </c>
      <c r="M331">
        <v>20</v>
      </c>
      <c r="N331" t="s">
        <v>1130</v>
      </c>
      <c r="O331" s="1">
        <v>46270.8125</v>
      </c>
      <c r="P331" t="b">
        <v>0</v>
      </c>
      <c r="Q331" t="s">
        <v>1119</v>
      </c>
      <c r="R331" t="s">
        <v>1120</v>
      </c>
      <c r="S331" t="s">
        <v>1121</v>
      </c>
      <c r="T331" t="s">
        <v>1122</v>
      </c>
      <c r="U331" t="s">
        <v>1172</v>
      </c>
      <c r="V331" t="s">
        <v>1151</v>
      </c>
      <c r="W331" t="s">
        <v>1257</v>
      </c>
      <c r="X331">
        <v>19</v>
      </c>
      <c r="Y331" t="s">
        <v>1173</v>
      </c>
      <c r="Z331" t="s">
        <v>1127</v>
      </c>
      <c r="AA331">
        <v>1.285714285714286</v>
      </c>
    </row>
    <row r="332" spans="1:27" x14ac:dyDescent="0.3">
      <c r="A332" t="s">
        <v>355</v>
      </c>
      <c r="B332" t="s">
        <v>1181</v>
      </c>
      <c r="C332" t="s">
        <v>1074</v>
      </c>
      <c r="D332" t="s">
        <v>1116</v>
      </c>
      <c r="E332" t="s">
        <v>1192</v>
      </c>
      <c r="F332" s="1">
        <v>46283.765972222223</v>
      </c>
      <c r="G332" s="1">
        <v>46283.772222222222</v>
      </c>
      <c r="H332">
        <v>2</v>
      </c>
      <c r="I332">
        <v>9</v>
      </c>
      <c r="J332" t="b">
        <v>0</v>
      </c>
      <c r="K332" t="b">
        <v>0</v>
      </c>
      <c r="L332" t="b">
        <v>0</v>
      </c>
      <c r="M332">
        <v>20</v>
      </c>
      <c r="N332" t="s">
        <v>1168</v>
      </c>
      <c r="O332" s="1">
        <v>46283.73541666667</v>
      </c>
      <c r="P332" t="b">
        <v>0</v>
      </c>
      <c r="Q332" t="s">
        <v>1151</v>
      </c>
      <c r="R332" t="s">
        <v>1139</v>
      </c>
      <c r="S332" t="s">
        <v>1132</v>
      </c>
      <c r="T332" t="s">
        <v>1145</v>
      </c>
      <c r="U332" t="s">
        <v>1145</v>
      </c>
      <c r="V332" t="s">
        <v>1124</v>
      </c>
      <c r="W332" t="s">
        <v>1125</v>
      </c>
      <c r="X332">
        <v>17</v>
      </c>
      <c r="Y332" t="s">
        <v>1142</v>
      </c>
      <c r="Z332" t="s">
        <v>1127</v>
      </c>
      <c r="AA332">
        <v>4.5</v>
      </c>
    </row>
    <row r="333" spans="1:27" x14ac:dyDescent="0.3">
      <c r="A333" t="s">
        <v>391</v>
      </c>
      <c r="B333" t="s">
        <v>1285</v>
      </c>
      <c r="C333" t="s">
        <v>1065</v>
      </c>
      <c r="D333" t="s">
        <v>1136</v>
      </c>
      <c r="E333" t="s">
        <v>1358</v>
      </c>
      <c r="F333" s="1">
        <v>46282.617361111108</v>
      </c>
      <c r="G333" s="1">
        <v>46282.623611111107</v>
      </c>
      <c r="H333">
        <v>2</v>
      </c>
      <c r="I333">
        <v>9</v>
      </c>
      <c r="J333" t="b">
        <v>0</v>
      </c>
      <c r="K333" t="b">
        <v>0</v>
      </c>
      <c r="L333" t="b">
        <v>0</v>
      </c>
      <c r="M333">
        <v>20</v>
      </c>
      <c r="N333" t="s">
        <v>1130</v>
      </c>
      <c r="O333" s="1">
        <v>46282.532638888893</v>
      </c>
      <c r="P333" t="b">
        <v>0</v>
      </c>
      <c r="Q333" t="s">
        <v>1145</v>
      </c>
      <c r="R333" t="s">
        <v>1131</v>
      </c>
      <c r="S333" t="s">
        <v>1152</v>
      </c>
      <c r="T333" t="s">
        <v>1180</v>
      </c>
      <c r="U333" t="s">
        <v>1247</v>
      </c>
      <c r="V333" t="s">
        <v>1141</v>
      </c>
      <c r="W333" t="s">
        <v>1125</v>
      </c>
      <c r="X333">
        <v>12</v>
      </c>
      <c r="Y333" t="s">
        <v>1146</v>
      </c>
      <c r="Z333" t="s">
        <v>1127</v>
      </c>
      <c r="AA333">
        <v>4.5</v>
      </c>
    </row>
    <row r="334" spans="1:27" x14ac:dyDescent="0.3">
      <c r="A334" t="s">
        <v>533</v>
      </c>
      <c r="B334" t="s">
        <v>1410</v>
      </c>
      <c r="C334" t="s">
        <v>1070</v>
      </c>
      <c r="D334" t="s">
        <v>1136</v>
      </c>
      <c r="E334" t="s">
        <v>1312</v>
      </c>
      <c r="F334" s="1">
        <v>46289.785416666673</v>
      </c>
      <c r="G334" s="1">
        <v>46289.791666666657</v>
      </c>
      <c r="H334">
        <v>2</v>
      </c>
      <c r="I334">
        <v>9</v>
      </c>
      <c r="J334" t="b">
        <v>0</v>
      </c>
      <c r="K334" t="b">
        <v>0</v>
      </c>
      <c r="L334" t="b">
        <v>0</v>
      </c>
      <c r="M334">
        <v>4</v>
      </c>
      <c r="N334" t="s">
        <v>1168</v>
      </c>
      <c r="O334" s="1">
        <v>46289.675694444442</v>
      </c>
      <c r="P334" t="b">
        <v>0</v>
      </c>
      <c r="Q334" t="s">
        <v>1119</v>
      </c>
      <c r="R334" t="s">
        <v>1120</v>
      </c>
      <c r="S334" t="s">
        <v>1157</v>
      </c>
      <c r="T334" t="s">
        <v>1180</v>
      </c>
      <c r="U334" t="s">
        <v>1145</v>
      </c>
      <c r="V334" t="s">
        <v>1141</v>
      </c>
      <c r="W334" t="s">
        <v>1125</v>
      </c>
      <c r="X334">
        <v>16</v>
      </c>
      <c r="Y334" t="s">
        <v>1146</v>
      </c>
      <c r="Z334" t="s">
        <v>1147</v>
      </c>
      <c r="AA334">
        <v>4.5</v>
      </c>
    </row>
    <row r="335" spans="1:27" x14ac:dyDescent="0.3">
      <c r="A335" t="s">
        <v>534</v>
      </c>
      <c r="B335" t="s">
        <v>1410</v>
      </c>
      <c r="C335" t="s">
        <v>1068</v>
      </c>
      <c r="D335" t="s">
        <v>1136</v>
      </c>
      <c r="E335" t="s">
        <v>1182</v>
      </c>
      <c r="F335" s="1">
        <v>46289.770138888889</v>
      </c>
      <c r="G335" s="1">
        <v>46289.776388888888</v>
      </c>
      <c r="H335">
        <v>2</v>
      </c>
      <c r="I335">
        <v>9</v>
      </c>
      <c r="J335" t="b">
        <v>0</v>
      </c>
      <c r="K335" t="b">
        <v>0</v>
      </c>
      <c r="L335" t="b">
        <v>0</v>
      </c>
      <c r="M335">
        <v>4</v>
      </c>
      <c r="N335" t="s">
        <v>1168</v>
      </c>
      <c r="O335" s="1">
        <v>46289.675694444442</v>
      </c>
      <c r="P335" t="b">
        <v>0</v>
      </c>
      <c r="Q335" t="s">
        <v>1119</v>
      </c>
      <c r="R335" t="s">
        <v>1131</v>
      </c>
      <c r="S335" t="s">
        <v>1121</v>
      </c>
      <c r="T335" t="s">
        <v>1122</v>
      </c>
      <c r="U335" t="s">
        <v>1123</v>
      </c>
      <c r="V335" t="s">
        <v>1141</v>
      </c>
      <c r="W335" t="s">
        <v>1125</v>
      </c>
      <c r="X335">
        <v>16</v>
      </c>
      <c r="Y335" t="s">
        <v>1146</v>
      </c>
      <c r="Z335" t="s">
        <v>1147</v>
      </c>
      <c r="AA335">
        <v>4.5</v>
      </c>
    </row>
    <row r="336" spans="1:27" x14ac:dyDescent="0.3">
      <c r="A336" t="s">
        <v>149</v>
      </c>
      <c r="B336" t="s">
        <v>1188</v>
      </c>
      <c r="C336" t="s">
        <v>1082</v>
      </c>
      <c r="D336" t="s">
        <v>1255</v>
      </c>
      <c r="E336" t="s">
        <v>1274</v>
      </c>
      <c r="F336" s="1">
        <v>46273.197222222218</v>
      </c>
      <c r="G336" s="1">
        <v>46273.203472222223</v>
      </c>
      <c r="H336">
        <v>7</v>
      </c>
      <c r="I336">
        <v>9</v>
      </c>
      <c r="J336" t="b">
        <v>0</v>
      </c>
      <c r="K336" t="b">
        <v>0</v>
      </c>
      <c r="L336" t="b">
        <v>0</v>
      </c>
      <c r="M336">
        <v>6</v>
      </c>
      <c r="N336" t="s">
        <v>1118</v>
      </c>
      <c r="O336" s="1">
        <v>46273.138194444437</v>
      </c>
      <c r="P336" t="b">
        <v>0</v>
      </c>
      <c r="Q336" t="s">
        <v>1138</v>
      </c>
      <c r="R336" t="s">
        <v>1120</v>
      </c>
      <c r="S336" t="s">
        <v>1157</v>
      </c>
      <c r="T336" t="s">
        <v>1122</v>
      </c>
      <c r="U336" t="s">
        <v>1145</v>
      </c>
      <c r="V336" t="s">
        <v>1141</v>
      </c>
      <c r="W336" t="s">
        <v>1257</v>
      </c>
      <c r="X336">
        <v>3</v>
      </c>
      <c r="Y336" t="s">
        <v>1126</v>
      </c>
      <c r="Z336" t="s">
        <v>1134</v>
      </c>
      <c r="AA336">
        <v>1.285714285714286</v>
      </c>
    </row>
    <row r="337" spans="1:27" x14ac:dyDescent="0.3">
      <c r="A337" t="s">
        <v>902</v>
      </c>
      <c r="B337" t="s">
        <v>1298</v>
      </c>
      <c r="C337" t="s">
        <v>1073</v>
      </c>
      <c r="D337" t="s">
        <v>1280</v>
      </c>
      <c r="E337" t="s">
        <v>1371</v>
      </c>
      <c r="F337" s="1">
        <v>46271.561805555553</v>
      </c>
      <c r="G337" s="1">
        <v>46271.568055555559</v>
      </c>
      <c r="H337">
        <v>6</v>
      </c>
      <c r="I337">
        <v>9</v>
      </c>
      <c r="J337" t="b">
        <v>0</v>
      </c>
      <c r="K337" t="b">
        <v>0</v>
      </c>
      <c r="L337" t="b">
        <v>0</v>
      </c>
      <c r="M337">
        <v>8</v>
      </c>
      <c r="N337" t="s">
        <v>1155</v>
      </c>
      <c r="O337" s="1">
        <v>46271.509027777778</v>
      </c>
      <c r="P337" t="b">
        <v>0</v>
      </c>
      <c r="Q337" t="s">
        <v>1138</v>
      </c>
      <c r="R337" t="s">
        <v>1131</v>
      </c>
      <c r="S337" t="s">
        <v>1157</v>
      </c>
      <c r="T337" t="s">
        <v>1122</v>
      </c>
      <c r="U337" t="s">
        <v>1247</v>
      </c>
      <c r="V337" t="s">
        <v>1151</v>
      </c>
      <c r="W337" t="s">
        <v>1257</v>
      </c>
      <c r="X337">
        <v>12</v>
      </c>
      <c r="Y337" t="s">
        <v>1133</v>
      </c>
      <c r="Z337" t="s">
        <v>1134</v>
      </c>
      <c r="AA337">
        <v>1.5</v>
      </c>
    </row>
    <row r="338" spans="1:27" x14ac:dyDescent="0.3">
      <c r="A338" t="s">
        <v>874</v>
      </c>
      <c r="B338" t="s">
        <v>1326</v>
      </c>
      <c r="C338" t="s">
        <v>1073</v>
      </c>
      <c r="D338" t="s">
        <v>1136</v>
      </c>
      <c r="E338" t="s">
        <v>1154</v>
      </c>
      <c r="F338" s="1">
        <v>46270.854166666657</v>
      </c>
      <c r="G338" s="1">
        <v>46270.86041666667</v>
      </c>
      <c r="H338">
        <v>7</v>
      </c>
      <c r="I338">
        <v>9</v>
      </c>
      <c r="J338" t="b">
        <v>0</v>
      </c>
      <c r="K338" t="b">
        <v>0</v>
      </c>
      <c r="L338" t="b">
        <v>0</v>
      </c>
      <c r="M338">
        <v>20</v>
      </c>
      <c r="N338" t="s">
        <v>1130</v>
      </c>
      <c r="O338" s="1">
        <v>46270.8125</v>
      </c>
      <c r="P338" t="b">
        <v>0</v>
      </c>
      <c r="Q338" t="s">
        <v>1156</v>
      </c>
      <c r="R338" t="s">
        <v>1131</v>
      </c>
      <c r="S338" t="s">
        <v>1157</v>
      </c>
      <c r="T338" t="s">
        <v>1122</v>
      </c>
      <c r="U338" t="s">
        <v>1247</v>
      </c>
      <c r="V338" t="s">
        <v>1141</v>
      </c>
      <c r="W338" t="s">
        <v>1125</v>
      </c>
      <c r="X338">
        <v>19</v>
      </c>
      <c r="Y338" t="s">
        <v>1173</v>
      </c>
      <c r="Z338" t="s">
        <v>1127</v>
      </c>
      <c r="AA338">
        <v>1.285714285714286</v>
      </c>
    </row>
    <row r="339" spans="1:27" x14ac:dyDescent="0.3">
      <c r="A339" t="s">
        <v>877</v>
      </c>
      <c r="B339" t="s">
        <v>1411</v>
      </c>
      <c r="C339" t="s">
        <v>1072</v>
      </c>
      <c r="D339" t="s">
        <v>1116</v>
      </c>
      <c r="E339" t="s">
        <v>1171</v>
      </c>
      <c r="F339" s="1">
        <v>46286.408333333333</v>
      </c>
      <c r="G339" s="1">
        <v>46286.414583333331</v>
      </c>
      <c r="H339">
        <v>1</v>
      </c>
      <c r="I339">
        <v>9</v>
      </c>
      <c r="J339" t="b">
        <v>0</v>
      </c>
      <c r="K339" t="b">
        <v>0</v>
      </c>
      <c r="L339" t="b">
        <v>0</v>
      </c>
      <c r="M339">
        <v>8</v>
      </c>
      <c r="N339" t="s">
        <v>1130</v>
      </c>
      <c r="O339" s="1">
        <v>46286.304166666669</v>
      </c>
      <c r="P339" t="b">
        <v>0</v>
      </c>
      <c r="Q339" t="s">
        <v>1119</v>
      </c>
      <c r="R339" t="s">
        <v>1131</v>
      </c>
      <c r="S339" t="s">
        <v>1121</v>
      </c>
      <c r="T339" t="s">
        <v>1180</v>
      </c>
      <c r="U339" t="s">
        <v>1172</v>
      </c>
      <c r="V339" t="s">
        <v>1124</v>
      </c>
      <c r="W339" t="s">
        <v>1125</v>
      </c>
      <c r="X339">
        <v>7</v>
      </c>
      <c r="Y339" t="s">
        <v>1185</v>
      </c>
      <c r="Z339" t="s">
        <v>1134</v>
      </c>
      <c r="AA339">
        <v>9</v>
      </c>
    </row>
    <row r="340" spans="1:27" x14ac:dyDescent="0.3">
      <c r="A340" t="s">
        <v>894</v>
      </c>
      <c r="B340" t="s">
        <v>1281</v>
      </c>
      <c r="C340" t="s">
        <v>1081</v>
      </c>
      <c r="D340" t="s">
        <v>1149</v>
      </c>
      <c r="E340" t="s">
        <v>1227</v>
      </c>
      <c r="F340" s="1">
        <v>46291.940972222219</v>
      </c>
      <c r="G340" s="1">
        <v>46291.947222222218</v>
      </c>
      <c r="H340">
        <v>6</v>
      </c>
      <c r="I340">
        <v>9</v>
      </c>
      <c r="J340" t="b">
        <v>0</v>
      </c>
      <c r="K340" t="b">
        <v>0</v>
      </c>
      <c r="L340" t="b">
        <v>0</v>
      </c>
      <c r="M340">
        <v>12</v>
      </c>
      <c r="N340" t="s">
        <v>1130</v>
      </c>
      <c r="O340" s="1">
        <v>46291.904861111107</v>
      </c>
      <c r="P340" t="b">
        <v>0</v>
      </c>
      <c r="Q340" t="s">
        <v>1145</v>
      </c>
      <c r="R340" t="s">
        <v>1131</v>
      </c>
      <c r="S340" t="s">
        <v>1121</v>
      </c>
      <c r="T340" t="s">
        <v>1180</v>
      </c>
      <c r="U340" t="s">
        <v>1247</v>
      </c>
      <c r="V340" t="s">
        <v>1152</v>
      </c>
      <c r="W340" t="s">
        <v>1145</v>
      </c>
      <c r="X340">
        <v>21</v>
      </c>
      <c r="Y340" t="s">
        <v>1173</v>
      </c>
      <c r="Z340" t="s">
        <v>1127</v>
      </c>
      <c r="AA340">
        <v>1.5</v>
      </c>
    </row>
    <row r="341" spans="1:27" x14ac:dyDescent="0.3">
      <c r="A341" t="s">
        <v>365</v>
      </c>
      <c r="B341" t="s">
        <v>1302</v>
      </c>
      <c r="C341" t="s">
        <v>1062</v>
      </c>
      <c r="D341" t="s">
        <v>1280</v>
      </c>
      <c r="E341" t="s">
        <v>1159</v>
      </c>
      <c r="F341" s="1">
        <v>46285.554861111108</v>
      </c>
      <c r="G341" s="1">
        <v>46285.561111111107</v>
      </c>
      <c r="H341">
        <v>4</v>
      </c>
      <c r="I341">
        <v>9</v>
      </c>
      <c r="J341" t="b">
        <v>0</v>
      </c>
      <c r="K341" t="b">
        <v>0</v>
      </c>
      <c r="L341" t="b">
        <v>0</v>
      </c>
      <c r="M341">
        <v>10</v>
      </c>
      <c r="N341" t="s">
        <v>1118</v>
      </c>
      <c r="O341" s="1">
        <v>46285.515972222223</v>
      </c>
      <c r="P341" t="b">
        <v>0</v>
      </c>
      <c r="Q341" t="s">
        <v>1138</v>
      </c>
      <c r="R341" t="s">
        <v>1120</v>
      </c>
      <c r="S341" t="s">
        <v>1132</v>
      </c>
      <c r="T341" t="s">
        <v>1122</v>
      </c>
      <c r="U341" t="s">
        <v>1123</v>
      </c>
      <c r="V341" t="s">
        <v>1151</v>
      </c>
      <c r="W341" t="s">
        <v>1257</v>
      </c>
      <c r="X341">
        <v>12</v>
      </c>
      <c r="Y341" t="s">
        <v>1133</v>
      </c>
      <c r="Z341" t="s">
        <v>1134</v>
      </c>
      <c r="AA341">
        <v>2.25</v>
      </c>
    </row>
    <row r="342" spans="1:27" x14ac:dyDescent="0.3">
      <c r="A342" t="s">
        <v>368</v>
      </c>
      <c r="B342" t="s">
        <v>1302</v>
      </c>
      <c r="C342" t="s">
        <v>1085</v>
      </c>
      <c r="D342" t="s">
        <v>1149</v>
      </c>
      <c r="E342" t="s">
        <v>1253</v>
      </c>
      <c r="F342" s="1">
        <v>46285.57708333333</v>
      </c>
      <c r="G342" s="1">
        <v>46285.583333333343</v>
      </c>
      <c r="H342">
        <v>1</v>
      </c>
      <c r="I342">
        <v>9</v>
      </c>
      <c r="J342" t="b">
        <v>0</v>
      </c>
      <c r="K342" t="b">
        <v>0</v>
      </c>
      <c r="L342" t="b">
        <v>0</v>
      </c>
      <c r="M342">
        <v>10</v>
      </c>
      <c r="N342" t="s">
        <v>1118</v>
      </c>
      <c r="O342" s="1">
        <v>46285.515972222223</v>
      </c>
      <c r="P342" t="b">
        <v>0</v>
      </c>
      <c r="Q342" t="s">
        <v>1156</v>
      </c>
      <c r="R342" t="s">
        <v>1139</v>
      </c>
      <c r="S342" t="s">
        <v>1121</v>
      </c>
      <c r="T342" t="s">
        <v>1122</v>
      </c>
      <c r="U342" t="s">
        <v>1247</v>
      </c>
      <c r="V342" t="s">
        <v>1152</v>
      </c>
      <c r="W342" t="s">
        <v>1145</v>
      </c>
      <c r="X342">
        <v>12</v>
      </c>
      <c r="Y342" t="s">
        <v>1133</v>
      </c>
      <c r="Z342" t="s">
        <v>1134</v>
      </c>
      <c r="AA342">
        <v>9</v>
      </c>
    </row>
    <row r="343" spans="1:27" x14ac:dyDescent="0.3">
      <c r="A343" t="s">
        <v>498</v>
      </c>
      <c r="B343" t="s">
        <v>1275</v>
      </c>
      <c r="C343" t="s">
        <v>1064</v>
      </c>
      <c r="D343" t="s">
        <v>1136</v>
      </c>
      <c r="E343" t="s">
        <v>1292</v>
      </c>
      <c r="F343" s="1">
        <v>46287.445138888892</v>
      </c>
      <c r="G343" s="1">
        <v>46287.451388888891</v>
      </c>
      <c r="H343">
        <v>2</v>
      </c>
      <c r="I343">
        <v>9</v>
      </c>
      <c r="J343" t="b">
        <v>0</v>
      </c>
      <c r="K343" t="b">
        <v>0</v>
      </c>
      <c r="L343" t="b">
        <v>0</v>
      </c>
      <c r="M343">
        <v>20</v>
      </c>
      <c r="N343" t="s">
        <v>1118</v>
      </c>
      <c r="O343" s="1">
        <v>46287.399305555547</v>
      </c>
      <c r="P343" t="b">
        <v>0</v>
      </c>
      <c r="Q343" t="s">
        <v>1179</v>
      </c>
      <c r="R343" t="s">
        <v>1131</v>
      </c>
      <c r="S343" t="s">
        <v>1152</v>
      </c>
      <c r="T343" t="s">
        <v>1122</v>
      </c>
      <c r="U343" t="s">
        <v>1123</v>
      </c>
      <c r="V343" t="s">
        <v>1141</v>
      </c>
      <c r="W343" t="s">
        <v>1125</v>
      </c>
      <c r="X343">
        <v>9</v>
      </c>
      <c r="Y343" t="s">
        <v>1126</v>
      </c>
      <c r="Z343" t="s">
        <v>1127</v>
      </c>
      <c r="AA343">
        <v>4.5</v>
      </c>
    </row>
    <row r="344" spans="1:27" x14ac:dyDescent="0.3">
      <c r="A344" t="s">
        <v>501</v>
      </c>
      <c r="B344" t="s">
        <v>1275</v>
      </c>
      <c r="C344" t="s">
        <v>1060</v>
      </c>
      <c r="D344" t="s">
        <v>1136</v>
      </c>
      <c r="E344" t="s">
        <v>1167</v>
      </c>
      <c r="F344" s="1">
        <v>46287.511111111111</v>
      </c>
      <c r="G344" s="1">
        <v>46287.517361111109</v>
      </c>
      <c r="H344">
        <v>1</v>
      </c>
      <c r="I344">
        <v>9</v>
      </c>
      <c r="J344" t="b">
        <v>0</v>
      </c>
      <c r="K344" t="b">
        <v>0</v>
      </c>
      <c r="L344" t="b">
        <v>0</v>
      </c>
      <c r="M344">
        <v>20</v>
      </c>
      <c r="N344" t="s">
        <v>1118</v>
      </c>
      <c r="O344" s="1">
        <v>46287.399305555547</v>
      </c>
      <c r="P344" t="b">
        <v>0</v>
      </c>
      <c r="Q344" t="s">
        <v>1169</v>
      </c>
      <c r="R344" t="s">
        <v>1131</v>
      </c>
      <c r="S344" t="s">
        <v>1157</v>
      </c>
      <c r="T344" t="s">
        <v>1140</v>
      </c>
      <c r="U344" t="s">
        <v>1145</v>
      </c>
      <c r="V344" t="s">
        <v>1141</v>
      </c>
      <c r="W344" t="s">
        <v>1125</v>
      </c>
      <c r="X344">
        <v>9</v>
      </c>
      <c r="Y344" t="s">
        <v>1126</v>
      </c>
      <c r="Z344" t="s">
        <v>1127</v>
      </c>
      <c r="AA344">
        <v>9</v>
      </c>
    </row>
    <row r="345" spans="1:27" x14ac:dyDescent="0.3">
      <c r="A345" t="s">
        <v>505</v>
      </c>
      <c r="B345" t="s">
        <v>1273</v>
      </c>
      <c r="C345" t="s">
        <v>1060</v>
      </c>
      <c r="D345" t="s">
        <v>1136</v>
      </c>
      <c r="E345" t="s">
        <v>1223</v>
      </c>
      <c r="F345" s="1">
        <v>46284.713194444441</v>
      </c>
      <c r="G345" s="1">
        <v>46284.719444444447</v>
      </c>
      <c r="H345">
        <v>1</v>
      </c>
      <c r="I345">
        <v>9</v>
      </c>
      <c r="J345" t="b">
        <v>0</v>
      </c>
      <c r="K345" t="b">
        <v>0</v>
      </c>
      <c r="L345" t="b">
        <v>0</v>
      </c>
      <c r="M345">
        <v>20</v>
      </c>
      <c r="N345" t="s">
        <v>1168</v>
      </c>
      <c r="O345" s="1">
        <v>46284.599305555559</v>
      </c>
      <c r="P345" t="b">
        <v>0</v>
      </c>
      <c r="Q345" t="s">
        <v>1119</v>
      </c>
      <c r="R345" t="s">
        <v>1120</v>
      </c>
      <c r="S345" t="s">
        <v>1152</v>
      </c>
      <c r="T345" t="s">
        <v>1140</v>
      </c>
      <c r="U345" t="s">
        <v>1145</v>
      </c>
      <c r="V345" t="s">
        <v>1141</v>
      </c>
      <c r="W345" t="s">
        <v>1125</v>
      </c>
      <c r="X345">
        <v>14</v>
      </c>
      <c r="Y345" t="s">
        <v>1173</v>
      </c>
      <c r="Z345" t="s">
        <v>1127</v>
      </c>
      <c r="AA345">
        <v>9</v>
      </c>
    </row>
    <row r="346" spans="1:27" x14ac:dyDescent="0.3">
      <c r="A346" t="s">
        <v>921</v>
      </c>
      <c r="B346" t="s">
        <v>1316</v>
      </c>
      <c r="C346" t="s">
        <v>1074</v>
      </c>
      <c r="D346" t="s">
        <v>1116</v>
      </c>
      <c r="E346" t="s">
        <v>1182</v>
      </c>
      <c r="F346" s="1">
        <v>46288.895138888889</v>
      </c>
      <c r="G346" s="1">
        <v>46288.901388888888</v>
      </c>
      <c r="H346">
        <v>1</v>
      </c>
      <c r="I346">
        <v>9</v>
      </c>
      <c r="J346" t="b">
        <v>0</v>
      </c>
      <c r="K346" t="b">
        <v>0</v>
      </c>
      <c r="L346" t="b">
        <v>0</v>
      </c>
      <c r="M346">
        <v>6</v>
      </c>
      <c r="N346" t="s">
        <v>1118</v>
      </c>
      <c r="O346" s="1">
        <v>46288.84097222222</v>
      </c>
      <c r="P346" t="b">
        <v>0</v>
      </c>
      <c r="Q346" t="s">
        <v>1119</v>
      </c>
      <c r="R346" t="s">
        <v>1131</v>
      </c>
      <c r="S346" t="s">
        <v>1121</v>
      </c>
      <c r="T346" t="s">
        <v>1145</v>
      </c>
      <c r="U346" t="s">
        <v>1145</v>
      </c>
      <c r="V346" t="s">
        <v>1124</v>
      </c>
      <c r="W346" t="s">
        <v>1125</v>
      </c>
      <c r="X346">
        <v>20</v>
      </c>
      <c r="Y346" t="s">
        <v>1161</v>
      </c>
      <c r="Z346" t="s">
        <v>1134</v>
      </c>
      <c r="AA346">
        <v>9</v>
      </c>
    </row>
    <row r="347" spans="1:27" x14ac:dyDescent="0.3">
      <c r="A347" t="s">
        <v>124</v>
      </c>
      <c r="B347" t="s">
        <v>1243</v>
      </c>
      <c r="C347" t="s">
        <v>1075</v>
      </c>
      <c r="D347" t="s">
        <v>1149</v>
      </c>
      <c r="E347" t="s">
        <v>1150</v>
      </c>
      <c r="F347" s="1">
        <v>46286.175000000003</v>
      </c>
      <c r="G347" s="1">
        <v>46286.181250000001</v>
      </c>
      <c r="H347">
        <v>7</v>
      </c>
      <c r="I347">
        <v>9</v>
      </c>
      <c r="J347" t="b">
        <v>0</v>
      </c>
      <c r="K347" t="b">
        <v>0</v>
      </c>
      <c r="L347" t="b">
        <v>0</v>
      </c>
      <c r="M347">
        <v>20</v>
      </c>
      <c r="N347" t="s">
        <v>1155</v>
      </c>
      <c r="O347" s="1">
        <v>46286.134722222218</v>
      </c>
      <c r="P347" t="b">
        <v>0</v>
      </c>
      <c r="Q347" t="s">
        <v>1151</v>
      </c>
      <c r="R347" t="s">
        <v>1131</v>
      </c>
      <c r="S347" t="s">
        <v>1121</v>
      </c>
      <c r="T347" t="s">
        <v>1122</v>
      </c>
      <c r="U347" t="s">
        <v>1172</v>
      </c>
      <c r="V347" t="s">
        <v>1152</v>
      </c>
      <c r="W347" t="s">
        <v>1145</v>
      </c>
      <c r="X347">
        <v>3</v>
      </c>
      <c r="Y347" t="s">
        <v>1185</v>
      </c>
      <c r="Z347" t="s">
        <v>1127</v>
      </c>
      <c r="AA347">
        <v>1.285714285714286</v>
      </c>
    </row>
    <row r="348" spans="1:27" x14ac:dyDescent="0.3">
      <c r="A348" t="s">
        <v>126</v>
      </c>
      <c r="B348" t="s">
        <v>1243</v>
      </c>
      <c r="C348" t="s">
        <v>1080</v>
      </c>
      <c r="D348" t="s">
        <v>1280</v>
      </c>
      <c r="E348" t="s">
        <v>1178</v>
      </c>
      <c r="F348" s="1">
        <v>46286.247916666667</v>
      </c>
      <c r="G348" s="1">
        <v>46286.254166666673</v>
      </c>
      <c r="H348">
        <v>6</v>
      </c>
      <c r="I348">
        <v>9</v>
      </c>
      <c r="J348" t="b">
        <v>0</v>
      </c>
      <c r="K348" t="b">
        <v>0</v>
      </c>
      <c r="L348" t="b">
        <v>0</v>
      </c>
      <c r="M348">
        <v>20</v>
      </c>
      <c r="N348" t="s">
        <v>1155</v>
      </c>
      <c r="O348" s="1">
        <v>46286.134722222218</v>
      </c>
      <c r="P348" t="b">
        <v>0</v>
      </c>
      <c r="Q348" t="s">
        <v>1179</v>
      </c>
      <c r="R348" t="s">
        <v>1139</v>
      </c>
      <c r="S348" t="s">
        <v>1157</v>
      </c>
      <c r="T348" t="s">
        <v>1122</v>
      </c>
      <c r="U348" t="s">
        <v>1247</v>
      </c>
      <c r="V348" t="s">
        <v>1151</v>
      </c>
      <c r="W348" t="s">
        <v>1257</v>
      </c>
      <c r="X348">
        <v>3</v>
      </c>
      <c r="Y348" t="s">
        <v>1185</v>
      </c>
      <c r="Z348" t="s">
        <v>1127</v>
      </c>
      <c r="AA348">
        <v>1.5</v>
      </c>
    </row>
    <row r="349" spans="1:27" x14ac:dyDescent="0.3">
      <c r="A349" t="s">
        <v>133</v>
      </c>
      <c r="B349" t="s">
        <v>1239</v>
      </c>
      <c r="C349" t="s">
        <v>1067</v>
      </c>
      <c r="D349" t="s">
        <v>1255</v>
      </c>
      <c r="E349" t="s">
        <v>1317</v>
      </c>
      <c r="F349" s="1">
        <v>46292.936111111107</v>
      </c>
      <c r="G349" s="1">
        <v>46292.942361111112</v>
      </c>
      <c r="H349">
        <v>5</v>
      </c>
      <c r="I349">
        <v>9</v>
      </c>
      <c r="J349" t="b">
        <v>0</v>
      </c>
      <c r="K349" t="b">
        <v>0</v>
      </c>
      <c r="L349" t="b">
        <v>0</v>
      </c>
      <c r="M349">
        <v>12</v>
      </c>
      <c r="N349" t="s">
        <v>1130</v>
      </c>
      <c r="O349" s="1">
        <v>46292.831250000003</v>
      </c>
      <c r="P349" t="b">
        <v>0</v>
      </c>
      <c r="Q349" t="s">
        <v>1156</v>
      </c>
      <c r="R349" t="s">
        <v>1120</v>
      </c>
      <c r="S349" t="s">
        <v>1152</v>
      </c>
      <c r="T349" t="s">
        <v>1180</v>
      </c>
      <c r="U349" t="s">
        <v>1247</v>
      </c>
      <c r="V349" t="s">
        <v>1141</v>
      </c>
      <c r="W349" t="s">
        <v>1257</v>
      </c>
      <c r="X349">
        <v>19</v>
      </c>
      <c r="Y349" t="s">
        <v>1133</v>
      </c>
      <c r="Z349" t="s">
        <v>1127</v>
      </c>
      <c r="AA349">
        <v>1.8</v>
      </c>
    </row>
    <row r="350" spans="1:27" x14ac:dyDescent="0.3">
      <c r="A350" t="s">
        <v>162</v>
      </c>
      <c r="B350" t="s">
        <v>1412</v>
      </c>
      <c r="C350" t="s">
        <v>1066</v>
      </c>
      <c r="D350" t="s">
        <v>1136</v>
      </c>
      <c r="E350" t="s">
        <v>1321</v>
      </c>
      <c r="F350" s="1">
        <v>46283.859722222223</v>
      </c>
      <c r="G350" s="1">
        <v>46283.865972222222</v>
      </c>
      <c r="H350">
        <v>1</v>
      </c>
      <c r="I350">
        <v>9</v>
      </c>
      <c r="J350" t="b">
        <v>0</v>
      </c>
      <c r="K350" t="b">
        <v>0</v>
      </c>
      <c r="L350" t="b">
        <v>0</v>
      </c>
      <c r="M350">
        <v>6</v>
      </c>
      <c r="N350" t="s">
        <v>1130</v>
      </c>
      <c r="O350" s="1">
        <v>46283.841666666667</v>
      </c>
      <c r="P350" t="b">
        <v>0</v>
      </c>
      <c r="Q350" t="s">
        <v>1179</v>
      </c>
      <c r="R350" t="s">
        <v>1139</v>
      </c>
      <c r="S350" t="s">
        <v>1157</v>
      </c>
      <c r="T350" t="s">
        <v>1122</v>
      </c>
      <c r="U350" t="s">
        <v>1247</v>
      </c>
      <c r="V350" t="s">
        <v>1141</v>
      </c>
      <c r="W350" t="s">
        <v>1125</v>
      </c>
      <c r="X350">
        <v>20</v>
      </c>
      <c r="Y350" t="s">
        <v>1142</v>
      </c>
      <c r="Z350" t="s">
        <v>1134</v>
      </c>
      <c r="AA350">
        <v>9</v>
      </c>
    </row>
    <row r="351" spans="1:27" x14ac:dyDescent="0.3">
      <c r="A351" t="s">
        <v>164</v>
      </c>
      <c r="B351" t="s">
        <v>1412</v>
      </c>
      <c r="C351" t="s">
        <v>1080</v>
      </c>
      <c r="D351" t="s">
        <v>1116</v>
      </c>
      <c r="E351" t="s">
        <v>1227</v>
      </c>
      <c r="F351" s="1">
        <v>46283.90625</v>
      </c>
      <c r="G351" s="1">
        <v>46283.912499999999</v>
      </c>
      <c r="H351">
        <v>7</v>
      </c>
      <c r="I351">
        <v>9</v>
      </c>
      <c r="J351" t="b">
        <v>0</v>
      </c>
      <c r="K351" t="b">
        <v>0</v>
      </c>
      <c r="L351" t="b">
        <v>0</v>
      </c>
      <c r="M351">
        <v>6</v>
      </c>
      <c r="N351" t="s">
        <v>1130</v>
      </c>
      <c r="O351" s="1">
        <v>46283.841666666667</v>
      </c>
      <c r="P351" t="b">
        <v>0</v>
      </c>
      <c r="Q351" t="s">
        <v>1145</v>
      </c>
      <c r="R351" t="s">
        <v>1131</v>
      </c>
      <c r="S351" t="s">
        <v>1121</v>
      </c>
      <c r="T351" t="s">
        <v>1122</v>
      </c>
      <c r="U351" t="s">
        <v>1247</v>
      </c>
      <c r="V351" t="s">
        <v>1124</v>
      </c>
      <c r="W351" t="s">
        <v>1125</v>
      </c>
      <c r="X351">
        <v>20</v>
      </c>
      <c r="Y351" t="s">
        <v>1142</v>
      </c>
      <c r="Z351" t="s">
        <v>1134</v>
      </c>
      <c r="AA351">
        <v>1.285714285714286</v>
      </c>
    </row>
    <row r="352" spans="1:27" x14ac:dyDescent="0.3">
      <c r="A352" t="s">
        <v>165</v>
      </c>
      <c r="B352" t="s">
        <v>1412</v>
      </c>
      <c r="C352" t="s">
        <v>1086</v>
      </c>
      <c r="D352" t="s">
        <v>1116</v>
      </c>
      <c r="E352" t="s">
        <v>1159</v>
      </c>
      <c r="F352" s="1">
        <v>46283.936805555553</v>
      </c>
      <c r="G352" s="1">
        <v>46283.943055555559</v>
      </c>
      <c r="H352">
        <v>6</v>
      </c>
      <c r="I352">
        <v>9</v>
      </c>
      <c r="J352" t="b">
        <v>0</v>
      </c>
      <c r="K352" t="b">
        <v>0</v>
      </c>
      <c r="L352" t="b">
        <v>0</v>
      </c>
      <c r="M352">
        <v>6</v>
      </c>
      <c r="N352" t="s">
        <v>1130</v>
      </c>
      <c r="O352" s="1">
        <v>46283.841666666667</v>
      </c>
      <c r="P352" t="b">
        <v>0</v>
      </c>
      <c r="Q352" t="s">
        <v>1138</v>
      </c>
      <c r="R352" t="s">
        <v>1120</v>
      </c>
      <c r="S352" t="s">
        <v>1132</v>
      </c>
      <c r="T352" t="s">
        <v>1122</v>
      </c>
      <c r="U352" t="s">
        <v>1145</v>
      </c>
      <c r="V352" t="s">
        <v>1124</v>
      </c>
      <c r="W352" t="s">
        <v>1125</v>
      </c>
      <c r="X352">
        <v>20</v>
      </c>
      <c r="Y352" t="s">
        <v>1142</v>
      </c>
      <c r="Z352" t="s">
        <v>1134</v>
      </c>
      <c r="AA352">
        <v>1.5</v>
      </c>
    </row>
    <row r="353" spans="1:27" x14ac:dyDescent="0.3">
      <c r="A353" t="s">
        <v>140</v>
      </c>
      <c r="B353" t="s">
        <v>1319</v>
      </c>
      <c r="C353" t="s">
        <v>1057</v>
      </c>
      <c r="D353" t="s">
        <v>1255</v>
      </c>
      <c r="E353" t="s">
        <v>1221</v>
      </c>
      <c r="F353" s="1">
        <v>46276.25</v>
      </c>
      <c r="G353" s="1">
        <v>46276.256249999999</v>
      </c>
      <c r="H353">
        <v>1</v>
      </c>
      <c r="I353">
        <v>9</v>
      </c>
      <c r="J353" t="b">
        <v>0</v>
      </c>
      <c r="K353" t="b">
        <v>0</v>
      </c>
      <c r="L353" t="b">
        <v>0</v>
      </c>
      <c r="M353">
        <v>15</v>
      </c>
      <c r="N353" t="s">
        <v>1130</v>
      </c>
      <c r="O353" s="1">
        <v>46276.186111111107</v>
      </c>
      <c r="P353" t="b">
        <v>0</v>
      </c>
      <c r="Q353" t="s">
        <v>1151</v>
      </c>
      <c r="R353" t="s">
        <v>1131</v>
      </c>
      <c r="S353" t="s">
        <v>1121</v>
      </c>
      <c r="T353" t="s">
        <v>1122</v>
      </c>
      <c r="U353" t="s">
        <v>1172</v>
      </c>
      <c r="V353" t="s">
        <v>1141</v>
      </c>
      <c r="W353" t="s">
        <v>1257</v>
      </c>
      <c r="X353">
        <v>4</v>
      </c>
      <c r="Y353" t="s">
        <v>1142</v>
      </c>
      <c r="Z353" t="s">
        <v>1127</v>
      </c>
      <c r="AA353">
        <v>9</v>
      </c>
    </row>
    <row r="354" spans="1:27" x14ac:dyDescent="0.3">
      <c r="A354" t="s">
        <v>141</v>
      </c>
      <c r="B354" t="s">
        <v>1319</v>
      </c>
      <c r="C354" t="s">
        <v>1068</v>
      </c>
      <c r="D354" t="s">
        <v>1238</v>
      </c>
      <c r="E354" t="s">
        <v>1317</v>
      </c>
      <c r="F354" s="1">
        <v>46276.238194444442</v>
      </c>
      <c r="G354" s="1">
        <v>46276.244444444441</v>
      </c>
      <c r="H354">
        <v>3</v>
      </c>
      <c r="I354">
        <v>9</v>
      </c>
      <c r="J354" t="b">
        <v>0</v>
      </c>
      <c r="K354" t="b">
        <v>0</v>
      </c>
      <c r="L354" t="b">
        <v>0</v>
      </c>
      <c r="M354">
        <v>15</v>
      </c>
      <c r="N354" t="s">
        <v>1130</v>
      </c>
      <c r="O354" s="1">
        <v>46276.186111111107</v>
      </c>
      <c r="P354" t="b">
        <v>0</v>
      </c>
      <c r="Q354" t="s">
        <v>1156</v>
      </c>
      <c r="R354" t="s">
        <v>1120</v>
      </c>
      <c r="S354" t="s">
        <v>1152</v>
      </c>
      <c r="T354" t="s">
        <v>1122</v>
      </c>
      <c r="U354" t="s">
        <v>1123</v>
      </c>
      <c r="V354" t="s">
        <v>1151</v>
      </c>
      <c r="W354" t="s">
        <v>1131</v>
      </c>
      <c r="X354">
        <v>4</v>
      </c>
      <c r="Y354" t="s">
        <v>1142</v>
      </c>
      <c r="Z354" t="s">
        <v>1127</v>
      </c>
      <c r="AA354">
        <v>3</v>
      </c>
    </row>
    <row r="355" spans="1:27" x14ac:dyDescent="0.3">
      <c r="A355" t="s">
        <v>145</v>
      </c>
      <c r="B355" t="s">
        <v>1188</v>
      </c>
      <c r="C355" t="s">
        <v>1070</v>
      </c>
      <c r="D355" t="s">
        <v>1238</v>
      </c>
      <c r="E355" t="s">
        <v>1398</v>
      </c>
      <c r="F355" s="1">
        <v>46273.155555555553</v>
      </c>
      <c r="G355" s="1">
        <v>46273.161805555559</v>
      </c>
      <c r="H355">
        <v>7</v>
      </c>
      <c r="I355">
        <v>9</v>
      </c>
      <c r="J355" t="b">
        <v>0</v>
      </c>
      <c r="K355" t="b">
        <v>0</v>
      </c>
      <c r="L355" t="b">
        <v>0</v>
      </c>
      <c r="M355">
        <v>6</v>
      </c>
      <c r="N355" t="s">
        <v>1118</v>
      </c>
      <c r="O355" s="1">
        <v>46273.138194444437</v>
      </c>
      <c r="P355" t="b">
        <v>0</v>
      </c>
      <c r="Q355" t="s">
        <v>1169</v>
      </c>
      <c r="R355" t="s">
        <v>1120</v>
      </c>
      <c r="S355" t="s">
        <v>1132</v>
      </c>
      <c r="T355" t="s">
        <v>1180</v>
      </c>
      <c r="U355" t="s">
        <v>1145</v>
      </c>
      <c r="V355" t="s">
        <v>1151</v>
      </c>
      <c r="W355" t="s">
        <v>1131</v>
      </c>
      <c r="X355">
        <v>3</v>
      </c>
      <c r="Y355" t="s">
        <v>1126</v>
      </c>
      <c r="Z355" t="s">
        <v>1134</v>
      </c>
      <c r="AA355">
        <v>1.285714285714286</v>
      </c>
    </row>
    <row r="356" spans="1:27" x14ac:dyDescent="0.3">
      <c r="A356" t="s">
        <v>146</v>
      </c>
      <c r="B356" t="s">
        <v>1188</v>
      </c>
      <c r="C356" t="s">
        <v>1088</v>
      </c>
      <c r="D356" t="s">
        <v>1283</v>
      </c>
      <c r="E356" t="s">
        <v>1253</v>
      </c>
      <c r="F356" s="1">
        <v>46273.164583333331</v>
      </c>
      <c r="G356" s="1">
        <v>46273.17083333333</v>
      </c>
      <c r="H356">
        <v>6</v>
      </c>
      <c r="I356">
        <v>9</v>
      </c>
      <c r="J356" t="b">
        <v>0</v>
      </c>
      <c r="K356" t="b">
        <v>0</v>
      </c>
      <c r="L356" t="b">
        <v>0</v>
      </c>
      <c r="M356">
        <v>6</v>
      </c>
      <c r="N356" t="s">
        <v>1118</v>
      </c>
      <c r="O356" s="1">
        <v>46273.138194444437</v>
      </c>
      <c r="P356" t="b">
        <v>0</v>
      </c>
      <c r="Q356" t="s">
        <v>1156</v>
      </c>
      <c r="R356" t="s">
        <v>1139</v>
      </c>
      <c r="S356" t="s">
        <v>1121</v>
      </c>
      <c r="T356" t="s">
        <v>1140</v>
      </c>
      <c r="U356" t="s">
        <v>1123</v>
      </c>
      <c r="V356" t="s">
        <v>1284</v>
      </c>
      <c r="W356" t="s">
        <v>1131</v>
      </c>
      <c r="X356">
        <v>3</v>
      </c>
      <c r="Y356" t="s">
        <v>1126</v>
      </c>
      <c r="Z356" t="s">
        <v>1134</v>
      </c>
      <c r="AA356">
        <v>1.5</v>
      </c>
    </row>
    <row r="357" spans="1:27" x14ac:dyDescent="0.3">
      <c r="A357" t="s">
        <v>115</v>
      </c>
      <c r="B357" t="s">
        <v>1320</v>
      </c>
      <c r="C357" t="s">
        <v>1060</v>
      </c>
      <c r="D357" t="s">
        <v>1255</v>
      </c>
      <c r="E357" t="s">
        <v>1371</v>
      </c>
      <c r="F357" s="1">
        <v>46270.695833333331</v>
      </c>
      <c r="G357" s="1">
        <v>46270.70208333333</v>
      </c>
      <c r="H357">
        <v>3</v>
      </c>
      <c r="I357">
        <v>9</v>
      </c>
      <c r="J357" t="b">
        <v>0</v>
      </c>
      <c r="K357" t="b">
        <v>0</v>
      </c>
      <c r="L357" t="b">
        <v>0</v>
      </c>
      <c r="M357">
        <v>6</v>
      </c>
      <c r="N357" t="s">
        <v>1155</v>
      </c>
      <c r="O357" s="1">
        <v>46270.611111111109</v>
      </c>
      <c r="P357" t="b">
        <v>0</v>
      </c>
      <c r="Q357" t="s">
        <v>1138</v>
      </c>
      <c r="R357" t="s">
        <v>1131</v>
      </c>
      <c r="S357" t="s">
        <v>1157</v>
      </c>
      <c r="T357" t="s">
        <v>1140</v>
      </c>
      <c r="U357" t="s">
        <v>1145</v>
      </c>
      <c r="V357" t="s">
        <v>1141</v>
      </c>
      <c r="W357" t="s">
        <v>1257</v>
      </c>
      <c r="X357">
        <v>14</v>
      </c>
      <c r="Y357" t="s">
        <v>1173</v>
      </c>
      <c r="Z357" t="s">
        <v>1134</v>
      </c>
      <c r="AA357">
        <v>3</v>
      </c>
    </row>
    <row r="358" spans="1:27" x14ac:dyDescent="0.3">
      <c r="A358" t="s">
        <v>912</v>
      </c>
      <c r="B358" t="s">
        <v>1413</v>
      </c>
      <c r="C358" t="s">
        <v>1075</v>
      </c>
      <c r="D358" t="s">
        <v>1136</v>
      </c>
      <c r="E358" t="s">
        <v>1163</v>
      </c>
      <c r="F358" s="1">
        <v>46275.65</v>
      </c>
      <c r="G358" s="1">
        <v>46275.65625</v>
      </c>
      <c r="H358">
        <v>5</v>
      </c>
      <c r="I358">
        <v>9</v>
      </c>
      <c r="J358" t="b">
        <v>0</v>
      </c>
      <c r="K358" t="b">
        <v>0</v>
      </c>
      <c r="L358" t="b">
        <v>0</v>
      </c>
      <c r="M358">
        <v>6</v>
      </c>
      <c r="N358" t="s">
        <v>1118</v>
      </c>
      <c r="O358" s="1">
        <v>46275.626388888893</v>
      </c>
      <c r="P358" t="b">
        <v>0</v>
      </c>
      <c r="Q358" t="s">
        <v>1119</v>
      </c>
      <c r="R358" t="s">
        <v>1131</v>
      </c>
      <c r="S358" t="s">
        <v>1132</v>
      </c>
      <c r="T358" t="s">
        <v>1122</v>
      </c>
      <c r="U358" t="s">
        <v>1172</v>
      </c>
      <c r="V358" t="s">
        <v>1141</v>
      </c>
      <c r="W358" t="s">
        <v>1125</v>
      </c>
      <c r="X358">
        <v>15</v>
      </c>
      <c r="Y358" t="s">
        <v>1146</v>
      </c>
      <c r="Z358" t="s">
        <v>1134</v>
      </c>
      <c r="AA358">
        <v>1.8</v>
      </c>
    </row>
    <row r="359" spans="1:27" x14ac:dyDescent="0.3">
      <c r="A359" t="s">
        <v>914</v>
      </c>
      <c r="B359" t="s">
        <v>1414</v>
      </c>
      <c r="C359" t="s">
        <v>1076</v>
      </c>
      <c r="D359" t="s">
        <v>1136</v>
      </c>
      <c r="E359" t="s">
        <v>1129</v>
      </c>
      <c r="F359" s="1">
        <v>46288.438194444447</v>
      </c>
      <c r="G359" s="1">
        <v>46288.444444444453</v>
      </c>
      <c r="H359">
        <v>1</v>
      </c>
      <c r="I359">
        <v>9</v>
      </c>
      <c r="J359" t="b">
        <v>0</v>
      </c>
      <c r="K359" t="b">
        <v>0</v>
      </c>
      <c r="L359" t="b">
        <v>0</v>
      </c>
      <c r="M359">
        <v>5</v>
      </c>
      <c r="N359" t="s">
        <v>1118</v>
      </c>
      <c r="O359" s="1">
        <v>46288.396527777782</v>
      </c>
      <c r="P359" t="b">
        <v>0</v>
      </c>
      <c r="Q359" t="s">
        <v>1119</v>
      </c>
      <c r="R359" t="s">
        <v>1131</v>
      </c>
      <c r="S359" t="s">
        <v>1132</v>
      </c>
      <c r="T359" t="s">
        <v>1122</v>
      </c>
      <c r="U359" t="s">
        <v>1172</v>
      </c>
      <c r="V359" t="s">
        <v>1141</v>
      </c>
      <c r="W359" t="s">
        <v>1125</v>
      </c>
      <c r="X359">
        <v>9</v>
      </c>
      <c r="Y359" t="s">
        <v>1161</v>
      </c>
      <c r="Z359" t="s">
        <v>1147</v>
      </c>
      <c r="AA359">
        <v>9</v>
      </c>
    </row>
    <row r="360" spans="1:27" x14ac:dyDescent="0.3">
      <c r="A360" t="s">
        <v>915</v>
      </c>
      <c r="B360" t="s">
        <v>1415</v>
      </c>
      <c r="C360" t="s">
        <v>1088</v>
      </c>
      <c r="D360" t="s">
        <v>1255</v>
      </c>
      <c r="E360" t="s">
        <v>1344</v>
      </c>
      <c r="F360" s="1">
        <v>46290.052777777782</v>
      </c>
      <c r="G360" s="1">
        <v>46290.059027777781</v>
      </c>
      <c r="H360">
        <v>6</v>
      </c>
      <c r="I360">
        <v>9</v>
      </c>
      <c r="J360" t="b">
        <v>0</v>
      </c>
      <c r="K360" t="b">
        <v>0</v>
      </c>
      <c r="L360" t="b">
        <v>0</v>
      </c>
      <c r="M360">
        <v>5</v>
      </c>
      <c r="N360" t="s">
        <v>1118</v>
      </c>
      <c r="O360" s="1">
        <v>46289.939583333333</v>
      </c>
      <c r="P360" t="b">
        <v>0</v>
      </c>
      <c r="Q360" t="s">
        <v>1156</v>
      </c>
      <c r="R360" t="s">
        <v>1131</v>
      </c>
      <c r="S360" t="s">
        <v>1132</v>
      </c>
      <c r="T360" t="s">
        <v>1140</v>
      </c>
      <c r="U360" t="s">
        <v>1123</v>
      </c>
      <c r="V360" t="s">
        <v>1141</v>
      </c>
      <c r="W360" t="s">
        <v>1257</v>
      </c>
      <c r="X360">
        <v>22</v>
      </c>
      <c r="Y360" t="s">
        <v>1146</v>
      </c>
      <c r="Z360" t="s">
        <v>1147</v>
      </c>
      <c r="AA360">
        <v>1.5</v>
      </c>
    </row>
    <row r="361" spans="1:27" x14ac:dyDescent="0.3">
      <c r="A361" t="s">
        <v>916</v>
      </c>
      <c r="B361" t="s">
        <v>1415</v>
      </c>
      <c r="C361" t="s">
        <v>1081</v>
      </c>
      <c r="D361" t="s">
        <v>1149</v>
      </c>
      <c r="E361" t="s">
        <v>1216</v>
      </c>
      <c r="F361" s="1">
        <v>46289.972916666673</v>
      </c>
      <c r="G361" s="1">
        <v>46289.979166666657</v>
      </c>
      <c r="H361">
        <v>6</v>
      </c>
      <c r="I361">
        <v>9</v>
      </c>
      <c r="J361" t="b">
        <v>0</v>
      </c>
      <c r="K361" t="b">
        <v>0</v>
      </c>
      <c r="L361" t="b">
        <v>0</v>
      </c>
      <c r="M361">
        <v>5</v>
      </c>
      <c r="N361" t="s">
        <v>1118</v>
      </c>
      <c r="O361" s="1">
        <v>46289.939583333333</v>
      </c>
      <c r="P361" t="b">
        <v>0</v>
      </c>
      <c r="Q361" t="s">
        <v>1119</v>
      </c>
      <c r="R361" t="s">
        <v>1131</v>
      </c>
      <c r="S361" t="s">
        <v>1157</v>
      </c>
      <c r="T361" t="s">
        <v>1180</v>
      </c>
      <c r="U361" t="s">
        <v>1247</v>
      </c>
      <c r="V361" t="s">
        <v>1152</v>
      </c>
      <c r="W361" t="s">
        <v>1145</v>
      </c>
      <c r="X361">
        <v>22</v>
      </c>
      <c r="Y361" t="s">
        <v>1146</v>
      </c>
      <c r="Z361" t="s">
        <v>1147</v>
      </c>
      <c r="AA361">
        <v>1.5</v>
      </c>
    </row>
    <row r="362" spans="1:27" x14ac:dyDescent="0.3">
      <c r="A362" t="s">
        <v>917</v>
      </c>
      <c r="B362" t="s">
        <v>1316</v>
      </c>
      <c r="C362" t="s">
        <v>1067</v>
      </c>
      <c r="D362" t="s">
        <v>1149</v>
      </c>
      <c r="E362" t="s">
        <v>1192</v>
      </c>
      <c r="F362" s="1">
        <v>46288.897222222222</v>
      </c>
      <c r="G362" s="1">
        <v>46288.90347222222</v>
      </c>
      <c r="H362">
        <v>3</v>
      </c>
      <c r="I362">
        <v>9</v>
      </c>
      <c r="J362" t="b">
        <v>0</v>
      </c>
      <c r="K362" t="b">
        <v>0</v>
      </c>
      <c r="L362" t="b">
        <v>0</v>
      </c>
      <c r="M362">
        <v>6</v>
      </c>
      <c r="N362" t="s">
        <v>1118</v>
      </c>
      <c r="O362" s="1">
        <v>46288.84097222222</v>
      </c>
      <c r="P362" t="b">
        <v>0</v>
      </c>
      <c r="Q362" t="s">
        <v>1151</v>
      </c>
      <c r="R362" t="s">
        <v>1139</v>
      </c>
      <c r="S362" t="s">
        <v>1132</v>
      </c>
      <c r="T362" t="s">
        <v>1180</v>
      </c>
      <c r="U362" t="s">
        <v>1247</v>
      </c>
      <c r="V362" t="s">
        <v>1152</v>
      </c>
      <c r="W362" t="s">
        <v>1145</v>
      </c>
      <c r="X362">
        <v>20</v>
      </c>
      <c r="Y362" t="s">
        <v>1161</v>
      </c>
      <c r="Z362" t="s">
        <v>1134</v>
      </c>
      <c r="AA362">
        <v>3</v>
      </c>
    </row>
    <row r="363" spans="1:27" x14ac:dyDescent="0.3">
      <c r="A363" t="s">
        <v>961</v>
      </c>
      <c r="B363" t="s">
        <v>1416</v>
      </c>
      <c r="C363" t="s">
        <v>1059</v>
      </c>
      <c r="D363" t="s">
        <v>1255</v>
      </c>
      <c r="E363" t="s">
        <v>1295</v>
      </c>
      <c r="F363" s="1">
        <v>46273.31527777778</v>
      </c>
      <c r="G363" s="1">
        <v>46273.321527777778</v>
      </c>
      <c r="H363">
        <v>4</v>
      </c>
      <c r="I363">
        <v>9</v>
      </c>
      <c r="J363" t="b">
        <v>0</v>
      </c>
      <c r="K363" t="b">
        <v>0</v>
      </c>
      <c r="L363" t="b">
        <v>0</v>
      </c>
      <c r="M363">
        <v>2</v>
      </c>
      <c r="N363" t="s">
        <v>1118</v>
      </c>
      <c r="O363" s="1">
        <v>46273.2</v>
      </c>
      <c r="P363" t="b">
        <v>0</v>
      </c>
      <c r="Q363" t="s">
        <v>1151</v>
      </c>
      <c r="R363" t="s">
        <v>1120</v>
      </c>
      <c r="S363" t="s">
        <v>1145</v>
      </c>
      <c r="T363" t="s">
        <v>1122</v>
      </c>
      <c r="U363" t="s">
        <v>1172</v>
      </c>
      <c r="V363" t="s">
        <v>1141</v>
      </c>
      <c r="W363" t="s">
        <v>1257</v>
      </c>
      <c r="X363">
        <v>4</v>
      </c>
      <c r="Y363" t="s">
        <v>1126</v>
      </c>
      <c r="Z363" t="s">
        <v>1147</v>
      </c>
      <c r="AA363">
        <v>2.25</v>
      </c>
    </row>
    <row r="364" spans="1:27" x14ac:dyDescent="0.3">
      <c r="A364" t="s">
        <v>932</v>
      </c>
      <c r="B364" t="s">
        <v>1417</v>
      </c>
      <c r="C364" t="s">
        <v>1082</v>
      </c>
      <c r="D364" t="s">
        <v>1149</v>
      </c>
      <c r="E364" t="s">
        <v>1150</v>
      </c>
      <c r="F364" s="1">
        <v>46290.068055555559</v>
      </c>
      <c r="G364" s="1">
        <v>46290.074305555558</v>
      </c>
      <c r="H364">
        <v>2</v>
      </c>
      <c r="I364">
        <v>9</v>
      </c>
      <c r="J364" t="b">
        <v>0</v>
      </c>
      <c r="K364" t="b">
        <v>0</v>
      </c>
      <c r="L364" t="b">
        <v>0</v>
      </c>
      <c r="M364">
        <v>20</v>
      </c>
      <c r="N364" t="s">
        <v>1118</v>
      </c>
      <c r="O364" s="1">
        <v>46289.963888888888</v>
      </c>
      <c r="P364" t="b">
        <v>0</v>
      </c>
      <c r="Q364" t="s">
        <v>1151</v>
      </c>
      <c r="R364" t="s">
        <v>1131</v>
      </c>
      <c r="S364" t="s">
        <v>1121</v>
      </c>
      <c r="T364" t="s">
        <v>1122</v>
      </c>
      <c r="U364" t="s">
        <v>1145</v>
      </c>
      <c r="V364" t="s">
        <v>1152</v>
      </c>
      <c r="W364" t="s">
        <v>1145</v>
      </c>
      <c r="X364">
        <v>23</v>
      </c>
      <c r="Y364" t="s">
        <v>1146</v>
      </c>
      <c r="Z364" t="s">
        <v>1127</v>
      </c>
      <c r="AA364">
        <v>4.5</v>
      </c>
    </row>
    <row r="365" spans="1:27" x14ac:dyDescent="0.3">
      <c r="A365" t="s">
        <v>936</v>
      </c>
      <c r="B365" t="s">
        <v>1162</v>
      </c>
      <c r="C365" t="s">
        <v>1081</v>
      </c>
      <c r="D365" t="s">
        <v>1136</v>
      </c>
      <c r="E365" t="s">
        <v>1344</v>
      </c>
      <c r="F365" s="1">
        <v>46267.948611111111</v>
      </c>
      <c r="G365" s="1">
        <v>46267.954861111109</v>
      </c>
      <c r="H365">
        <v>4</v>
      </c>
      <c r="I365">
        <v>9</v>
      </c>
      <c r="J365" t="b">
        <v>0</v>
      </c>
      <c r="K365" t="b">
        <v>0</v>
      </c>
      <c r="L365" t="b">
        <v>0</v>
      </c>
      <c r="M365">
        <v>15</v>
      </c>
      <c r="N365" t="s">
        <v>1130</v>
      </c>
      <c r="O365" s="1">
        <v>46267.895833333343</v>
      </c>
      <c r="P365" t="b">
        <v>0</v>
      </c>
      <c r="Q365" t="s">
        <v>1156</v>
      </c>
      <c r="R365" t="s">
        <v>1131</v>
      </c>
      <c r="S365" t="s">
        <v>1132</v>
      </c>
      <c r="T365" t="s">
        <v>1180</v>
      </c>
      <c r="U365" t="s">
        <v>1247</v>
      </c>
      <c r="V365" t="s">
        <v>1141</v>
      </c>
      <c r="W365" t="s">
        <v>1125</v>
      </c>
      <c r="X365">
        <v>21</v>
      </c>
      <c r="Y365" t="s">
        <v>1161</v>
      </c>
      <c r="Z365" t="s">
        <v>1127</v>
      </c>
      <c r="AA365">
        <v>2.25</v>
      </c>
    </row>
    <row r="366" spans="1:27" x14ac:dyDescent="0.3">
      <c r="A366" t="s">
        <v>942</v>
      </c>
      <c r="B366" t="s">
        <v>1315</v>
      </c>
      <c r="C366" t="s">
        <v>1088</v>
      </c>
      <c r="D366" t="s">
        <v>1280</v>
      </c>
      <c r="E366" t="s">
        <v>1192</v>
      </c>
      <c r="F366" s="1">
        <v>46278.397222222222</v>
      </c>
      <c r="G366" s="1">
        <v>46278.40347222222</v>
      </c>
      <c r="H366">
        <v>5</v>
      </c>
      <c r="I366">
        <v>9</v>
      </c>
      <c r="J366" t="b">
        <v>0</v>
      </c>
      <c r="K366" t="b">
        <v>0</v>
      </c>
      <c r="L366" t="b">
        <v>0</v>
      </c>
      <c r="N366" t="s">
        <v>1118</v>
      </c>
      <c r="O366" s="1">
        <v>46278.355555555558</v>
      </c>
      <c r="P366" t="b">
        <v>1</v>
      </c>
      <c r="Q366" t="s">
        <v>1151</v>
      </c>
      <c r="R366" t="s">
        <v>1139</v>
      </c>
      <c r="S366" t="s">
        <v>1132</v>
      </c>
      <c r="T366" t="s">
        <v>1140</v>
      </c>
      <c r="U366" t="s">
        <v>1123</v>
      </c>
      <c r="V366" t="s">
        <v>1151</v>
      </c>
      <c r="W366" t="s">
        <v>1257</v>
      </c>
      <c r="X366">
        <v>8</v>
      </c>
      <c r="Y366" t="s">
        <v>1133</v>
      </c>
      <c r="AA366">
        <v>1.8</v>
      </c>
    </row>
    <row r="367" spans="1:27" x14ac:dyDescent="0.3">
      <c r="A367" t="s">
        <v>509</v>
      </c>
      <c r="B367" t="s">
        <v>1273</v>
      </c>
      <c r="C367" t="s">
        <v>1065</v>
      </c>
      <c r="D367" t="s">
        <v>1116</v>
      </c>
      <c r="E367" t="s">
        <v>1259</v>
      </c>
      <c r="F367" s="1">
        <v>46284.707638888889</v>
      </c>
      <c r="G367" s="1">
        <v>46284.713888888888</v>
      </c>
      <c r="H367">
        <v>6</v>
      </c>
      <c r="I367">
        <v>9</v>
      </c>
      <c r="J367" t="b">
        <v>0</v>
      </c>
      <c r="K367" t="b">
        <v>0</v>
      </c>
      <c r="L367" t="b">
        <v>0</v>
      </c>
      <c r="M367">
        <v>20</v>
      </c>
      <c r="N367" t="s">
        <v>1168</v>
      </c>
      <c r="O367" s="1">
        <v>46284.599305555559</v>
      </c>
      <c r="P367" t="b">
        <v>0</v>
      </c>
      <c r="Q367" t="s">
        <v>1179</v>
      </c>
      <c r="R367" t="s">
        <v>1120</v>
      </c>
      <c r="S367" t="s">
        <v>1132</v>
      </c>
      <c r="T367" t="s">
        <v>1180</v>
      </c>
      <c r="U367" t="s">
        <v>1247</v>
      </c>
      <c r="V367" t="s">
        <v>1124</v>
      </c>
      <c r="W367" t="s">
        <v>1125</v>
      </c>
      <c r="X367">
        <v>14</v>
      </c>
      <c r="Y367" t="s">
        <v>1173</v>
      </c>
      <c r="Z367" t="s">
        <v>1127</v>
      </c>
      <c r="AA367">
        <v>1.5</v>
      </c>
    </row>
    <row r="368" spans="1:27" x14ac:dyDescent="0.3">
      <c r="A368" t="s">
        <v>87</v>
      </c>
      <c r="B368" t="s">
        <v>1385</v>
      </c>
      <c r="C368" t="s">
        <v>1075</v>
      </c>
      <c r="D368" t="s">
        <v>1136</v>
      </c>
      <c r="E368" t="s">
        <v>1358</v>
      </c>
      <c r="F368" s="1">
        <v>46287.563888888893</v>
      </c>
      <c r="G368" s="1">
        <v>46287.570138888892</v>
      </c>
      <c r="H368">
        <v>1</v>
      </c>
      <c r="I368">
        <v>9</v>
      </c>
      <c r="J368" t="b">
        <v>0</v>
      </c>
      <c r="K368" t="b">
        <v>0</v>
      </c>
      <c r="L368" t="b">
        <v>0</v>
      </c>
      <c r="M368">
        <v>12</v>
      </c>
      <c r="N368" t="s">
        <v>1118</v>
      </c>
      <c r="O368" s="1">
        <v>46287.443749999999</v>
      </c>
      <c r="P368" t="b">
        <v>0</v>
      </c>
      <c r="Q368" t="s">
        <v>1145</v>
      </c>
      <c r="R368" t="s">
        <v>1131</v>
      </c>
      <c r="S368" t="s">
        <v>1152</v>
      </c>
      <c r="T368" t="s">
        <v>1122</v>
      </c>
      <c r="U368" t="s">
        <v>1172</v>
      </c>
      <c r="V368" t="s">
        <v>1141</v>
      </c>
      <c r="W368" t="s">
        <v>1125</v>
      </c>
      <c r="X368">
        <v>10</v>
      </c>
      <c r="Y368" t="s">
        <v>1126</v>
      </c>
      <c r="Z368" t="s">
        <v>1127</v>
      </c>
      <c r="AA368">
        <v>9</v>
      </c>
    </row>
    <row r="369" spans="1:27" x14ac:dyDescent="0.3">
      <c r="A369" t="s">
        <v>92</v>
      </c>
      <c r="B369" t="s">
        <v>1387</v>
      </c>
      <c r="C369" t="s">
        <v>1069</v>
      </c>
      <c r="D369" t="s">
        <v>1149</v>
      </c>
      <c r="E369" t="s">
        <v>1187</v>
      </c>
      <c r="F369" s="1">
        <v>46288.832638888889</v>
      </c>
      <c r="G369" s="1">
        <v>46288.838888888888</v>
      </c>
      <c r="H369">
        <v>3</v>
      </c>
      <c r="I369">
        <v>9</v>
      </c>
      <c r="J369" t="b">
        <v>0</v>
      </c>
      <c r="K369" t="b">
        <v>0</v>
      </c>
      <c r="L369" t="b">
        <v>0</v>
      </c>
      <c r="M369">
        <v>5</v>
      </c>
      <c r="N369" t="s">
        <v>1118</v>
      </c>
      <c r="O369" s="1">
        <v>46288.832638888889</v>
      </c>
      <c r="P369" t="b">
        <v>0</v>
      </c>
      <c r="Q369" t="s">
        <v>1156</v>
      </c>
      <c r="R369" t="s">
        <v>1131</v>
      </c>
      <c r="S369" t="s">
        <v>1132</v>
      </c>
      <c r="T369" t="s">
        <v>1140</v>
      </c>
      <c r="U369" t="s">
        <v>1172</v>
      </c>
      <c r="V369" t="s">
        <v>1152</v>
      </c>
      <c r="W369" t="s">
        <v>1145</v>
      </c>
      <c r="X369">
        <v>19</v>
      </c>
      <c r="Y369" t="s">
        <v>1161</v>
      </c>
      <c r="Z369" t="s">
        <v>1147</v>
      </c>
      <c r="AA369">
        <v>3</v>
      </c>
    </row>
    <row r="370" spans="1:27" x14ac:dyDescent="0.3">
      <c r="A370" t="s">
        <v>946</v>
      </c>
      <c r="B370" t="s">
        <v>1262</v>
      </c>
      <c r="C370" t="s">
        <v>1071</v>
      </c>
      <c r="D370" t="s">
        <v>1280</v>
      </c>
      <c r="E370" t="s">
        <v>1398</v>
      </c>
      <c r="F370" s="1">
        <v>46285.586111111108</v>
      </c>
      <c r="G370" s="1">
        <v>46285.592361111107</v>
      </c>
      <c r="H370">
        <v>7</v>
      </c>
      <c r="I370">
        <v>9</v>
      </c>
      <c r="J370" t="b">
        <v>0</v>
      </c>
      <c r="K370" t="b">
        <v>0</v>
      </c>
      <c r="L370" t="b">
        <v>0</v>
      </c>
      <c r="M370">
        <v>8</v>
      </c>
      <c r="N370" t="s">
        <v>1168</v>
      </c>
      <c r="O370" s="1">
        <v>46285.46875</v>
      </c>
      <c r="P370" t="b">
        <v>0</v>
      </c>
      <c r="Q370" t="s">
        <v>1169</v>
      </c>
      <c r="R370" t="s">
        <v>1120</v>
      </c>
      <c r="S370" t="s">
        <v>1132</v>
      </c>
      <c r="T370" t="s">
        <v>1122</v>
      </c>
      <c r="U370" t="s">
        <v>1145</v>
      </c>
      <c r="V370" t="s">
        <v>1151</v>
      </c>
      <c r="W370" t="s">
        <v>1257</v>
      </c>
      <c r="X370">
        <v>11</v>
      </c>
      <c r="Y370" t="s">
        <v>1133</v>
      </c>
      <c r="Z370" t="s">
        <v>1134</v>
      </c>
      <c r="AA370">
        <v>1.285714285714286</v>
      </c>
    </row>
    <row r="371" spans="1:27" x14ac:dyDescent="0.3">
      <c r="A371" t="s">
        <v>947</v>
      </c>
      <c r="B371" t="s">
        <v>1262</v>
      </c>
      <c r="C371" t="s">
        <v>1062</v>
      </c>
      <c r="D371" t="s">
        <v>1116</v>
      </c>
      <c r="E371" t="s">
        <v>1418</v>
      </c>
      <c r="F371" s="1">
        <v>46285.49722222222</v>
      </c>
      <c r="G371" s="1">
        <v>46285.503472222219</v>
      </c>
      <c r="H371">
        <v>1</v>
      </c>
      <c r="I371">
        <v>9</v>
      </c>
      <c r="J371" t="b">
        <v>0</v>
      </c>
      <c r="K371" t="b">
        <v>0</v>
      </c>
      <c r="L371" t="b">
        <v>0</v>
      </c>
      <c r="M371">
        <v>8</v>
      </c>
      <c r="N371" t="s">
        <v>1168</v>
      </c>
      <c r="O371" s="1">
        <v>46285.46875</v>
      </c>
      <c r="P371" t="b">
        <v>0</v>
      </c>
      <c r="Q371" t="s">
        <v>1179</v>
      </c>
      <c r="R371" t="s">
        <v>1120</v>
      </c>
      <c r="S371" t="s">
        <v>1157</v>
      </c>
      <c r="T371" t="s">
        <v>1122</v>
      </c>
      <c r="U371" t="s">
        <v>1123</v>
      </c>
      <c r="V371" t="s">
        <v>1124</v>
      </c>
      <c r="W371" t="s">
        <v>1125</v>
      </c>
      <c r="X371">
        <v>11</v>
      </c>
      <c r="Y371" t="s">
        <v>1133</v>
      </c>
      <c r="Z371" t="s">
        <v>1134</v>
      </c>
      <c r="AA371">
        <v>9</v>
      </c>
    </row>
    <row r="372" spans="1:27" x14ac:dyDescent="0.3">
      <c r="A372" t="s">
        <v>956</v>
      </c>
      <c r="B372" t="s">
        <v>1252</v>
      </c>
      <c r="C372" t="s">
        <v>1084</v>
      </c>
      <c r="D372" t="s">
        <v>1149</v>
      </c>
      <c r="E372" t="s">
        <v>1154</v>
      </c>
      <c r="F372" s="1">
        <v>46282.331944444442</v>
      </c>
      <c r="G372" s="1">
        <v>46282.338194444441</v>
      </c>
      <c r="H372">
        <v>6</v>
      </c>
      <c r="I372">
        <v>9</v>
      </c>
      <c r="J372" t="b">
        <v>0</v>
      </c>
      <c r="K372" t="b">
        <v>0</v>
      </c>
      <c r="L372" t="b">
        <v>0</v>
      </c>
      <c r="M372">
        <v>20</v>
      </c>
      <c r="N372" t="s">
        <v>1168</v>
      </c>
      <c r="O372" s="1">
        <v>46282.218055555553</v>
      </c>
      <c r="P372" t="b">
        <v>0</v>
      </c>
      <c r="Q372" t="s">
        <v>1156</v>
      </c>
      <c r="R372" t="s">
        <v>1131</v>
      </c>
      <c r="S372" t="s">
        <v>1157</v>
      </c>
      <c r="T372" t="s">
        <v>1122</v>
      </c>
      <c r="U372" t="s">
        <v>1247</v>
      </c>
      <c r="V372" t="s">
        <v>1152</v>
      </c>
      <c r="W372" t="s">
        <v>1145</v>
      </c>
      <c r="X372">
        <v>5</v>
      </c>
      <c r="Y372" t="s">
        <v>1146</v>
      </c>
      <c r="Z372" t="s">
        <v>1127</v>
      </c>
      <c r="AA372">
        <v>1.5</v>
      </c>
    </row>
    <row r="373" spans="1:27" x14ac:dyDescent="0.3">
      <c r="A373" t="s">
        <v>94</v>
      </c>
      <c r="B373" t="s">
        <v>1387</v>
      </c>
      <c r="C373" t="s">
        <v>1087</v>
      </c>
      <c r="D373" t="s">
        <v>1136</v>
      </c>
      <c r="E373" t="s">
        <v>1150</v>
      </c>
      <c r="F373" s="1">
        <v>46288.873611111107</v>
      </c>
      <c r="G373" s="1">
        <v>46288.879861111112</v>
      </c>
      <c r="H373">
        <v>4</v>
      </c>
      <c r="I373">
        <v>9</v>
      </c>
      <c r="J373" t="b">
        <v>0</v>
      </c>
      <c r="K373" t="b">
        <v>0</v>
      </c>
      <c r="L373" t="b">
        <v>0</v>
      </c>
      <c r="M373">
        <v>5</v>
      </c>
      <c r="N373" t="s">
        <v>1118</v>
      </c>
      <c r="O373" s="1">
        <v>46288.832638888889</v>
      </c>
      <c r="P373" t="b">
        <v>0</v>
      </c>
      <c r="Q373" t="s">
        <v>1151</v>
      </c>
      <c r="R373" t="s">
        <v>1131</v>
      </c>
      <c r="S373" t="s">
        <v>1121</v>
      </c>
      <c r="T373" t="s">
        <v>1145</v>
      </c>
      <c r="U373" t="s">
        <v>1247</v>
      </c>
      <c r="V373" t="s">
        <v>1141</v>
      </c>
      <c r="W373" t="s">
        <v>1125</v>
      </c>
      <c r="X373">
        <v>19</v>
      </c>
      <c r="Y373" t="s">
        <v>1161</v>
      </c>
      <c r="Z373" t="s">
        <v>1147</v>
      </c>
      <c r="AA373">
        <v>2.25</v>
      </c>
    </row>
    <row r="374" spans="1:27" x14ac:dyDescent="0.3">
      <c r="A374" t="s">
        <v>98</v>
      </c>
      <c r="B374" t="s">
        <v>1419</v>
      </c>
      <c r="C374" t="s">
        <v>1063</v>
      </c>
      <c r="D374" t="s">
        <v>1136</v>
      </c>
      <c r="E374" t="s">
        <v>1253</v>
      </c>
      <c r="F374" s="1">
        <v>46280.738194444442</v>
      </c>
      <c r="G374" s="1">
        <v>46280.744444444441</v>
      </c>
      <c r="H374">
        <v>4</v>
      </c>
      <c r="I374">
        <v>9</v>
      </c>
      <c r="J374" t="b">
        <v>0</v>
      </c>
      <c r="K374" t="b">
        <v>0</v>
      </c>
      <c r="L374" t="b">
        <v>0</v>
      </c>
      <c r="N374" t="s">
        <v>1118</v>
      </c>
      <c r="O374" s="1">
        <v>46280.645138888889</v>
      </c>
      <c r="P374" t="b">
        <v>1</v>
      </c>
      <c r="Q374" t="s">
        <v>1156</v>
      </c>
      <c r="R374" t="s">
        <v>1139</v>
      </c>
      <c r="S374" t="s">
        <v>1121</v>
      </c>
      <c r="T374" t="s">
        <v>1122</v>
      </c>
      <c r="U374" t="s">
        <v>1172</v>
      </c>
      <c r="V374" t="s">
        <v>1141</v>
      </c>
      <c r="W374" t="s">
        <v>1125</v>
      </c>
      <c r="X374">
        <v>15</v>
      </c>
      <c r="Y374" t="s">
        <v>1126</v>
      </c>
      <c r="AA374">
        <v>2.25</v>
      </c>
    </row>
    <row r="375" spans="1:27" x14ac:dyDescent="0.3">
      <c r="A375" t="s">
        <v>424</v>
      </c>
      <c r="B375" t="s">
        <v>1420</v>
      </c>
      <c r="C375" t="s">
        <v>1060</v>
      </c>
      <c r="D375" t="s">
        <v>1238</v>
      </c>
      <c r="E375" t="s">
        <v>1358</v>
      </c>
      <c r="F375" s="1">
        <v>46272.779861111107</v>
      </c>
      <c r="G375" s="1">
        <v>46272.786111111112</v>
      </c>
      <c r="H375">
        <v>7</v>
      </c>
      <c r="I375">
        <v>9</v>
      </c>
      <c r="J375" t="b">
        <v>0</v>
      </c>
      <c r="K375" t="b">
        <v>0</v>
      </c>
      <c r="L375" t="b">
        <v>0</v>
      </c>
      <c r="M375">
        <v>2</v>
      </c>
      <c r="N375" t="s">
        <v>1130</v>
      </c>
      <c r="O375" s="1">
        <v>46272.760416666657</v>
      </c>
      <c r="P375" t="b">
        <v>0</v>
      </c>
      <c r="Q375" t="s">
        <v>1145</v>
      </c>
      <c r="R375" t="s">
        <v>1131</v>
      </c>
      <c r="S375" t="s">
        <v>1152</v>
      </c>
      <c r="T375" t="s">
        <v>1140</v>
      </c>
      <c r="U375" t="s">
        <v>1145</v>
      </c>
      <c r="V375" t="s">
        <v>1151</v>
      </c>
      <c r="W375" t="s">
        <v>1131</v>
      </c>
      <c r="X375">
        <v>18</v>
      </c>
      <c r="Y375" t="s">
        <v>1185</v>
      </c>
      <c r="Z375" t="s">
        <v>1147</v>
      </c>
      <c r="AA375">
        <v>1.285714285714286</v>
      </c>
    </row>
    <row r="376" spans="1:27" x14ac:dyDescent="0.3">
      <c r="A376" t="s">
        <v>425</v>
      </c>
      <c r="B376" t="s">
        <v>1143</v>
      </c>
      <c r="C376" t="s">
        <v>1063</v>
      </c>
      <c r="D376" t="s">
        <v>1255</v>
      </c>
      <c r="E376" t="s">
        <v>1358</v>
      </c>
      <c r="F376" s="1">
        <v>46289.192361111112</v>
      </c>
      <c r="G376" s="1">
        <v>46289.198611111111</v>
      </c>
      <c r="H376">
        <v>6</v>
      </c>
      <c r="I376">
        <v>9</v>
      </c>
      <c r="J376" t="b">
        <v>0</v>
      </c>
      <c r="K376" t="b">
        <v>0</v>
      </c>
      <c r="L376" t="b">
        <v>0</v>
      </c>
      <c r="M376">
        <v>3</v>
      </c>
      <c r="N376" t="s">
        <v>1130</v>
      </c>
      <c r="O376" s="1">
        <v>46289.17083333333</v>
      </c>
      <c r="P376" t="b">
        <v>0</v>
      </c>
      <c r="Q376" t="s">
        <v>1145</v>
      </c>
      <c r="R376" t="s">
        <v>1131</v>
      </c>
      <c r="S376" t="s">
        <v>1152</v>
      </c>
      <c r="T376" t="s">
        <v>1122</v>
      </c>
      <c r="U376" t="s">
        <v>1172</v>
      </c>
      <c r="V376" t="s">
        <v>1141</v>
      </c>
      <c r="W376" t="s">
        <v>1257</v>
      </c>
      <c r="X376">
        <v>4</v>
      </c>
      <c r="Y376" t="s">
        <v>1146</v>
      </c>
      <c r="Z376" t="s">
        <v>1147</v>
      </c>
      <c r="AA376">
        <v>1.5</v>
      </c>
    </row>
    <row r="377" spans="1:27" x14ac:dyDescent="0.3">
      <c r="A377" t="s">
        <v>963</v>
      </c>
      <c r="B377" t="s">
        <v>1421</v>
      </c>
      <c r="C377" t="s">
        <v>1076</v>
      </c>
      <c r="D377" t="s">
        <v>1339</v>
      </c>
      <c r="E377" t="s">
        <v>1383</v>
      </c>
      <c r="F377" s="1">
        <v>46270.345138888893</v>
      </c>
      <c r="G377" s="1">
        <v>46270.351388888892</v>
      </c>
      <c r="H377">
        <v>6</v>
      </c>
      <c r="I377">
        <v>9</v>
      </c>
      <c r="J377" t="b">
        <v>0</v>
      </c>
      <c r="K377" t="b">
        <v>0</v>
      </c>
      <c r="L377" t="b">
        <v>0</v>
      </c>
      <c r="M377">
        <v>10</v>
      </c>
      <c r="N377" t="s">
        <v>1118</v>
      </c>
      <c r="O377" s="1">
        <v>46270.323611111111</v>
      </c>
      <c r="P377" t="b">
        <v>0</v>
      </c>
      <c r="Q377" t="s">
        <v>1119</v>
      </c>
      <c r="R377" t="s">
        <v>1131</v>
      </c>
      <c r="S377" t="s">
        <v>1132</v>
      </c>
      <c r="T377" t="s">
        <v>1122</v>
      </c>
      <c r="U377" t="s">
        <v>1172</v>
      </c>
      <c r="V377" t="s">
        <v>1284</v>
      </c>
      <c r="W377" t="s">
        <v>1257</v>
      </c>
      <c r="X377">
        <v>7</v>
      </c>
      <c r="Y377" t="s">
        <v>1173</v>
      </c>
      <c r="Z377" t="s">
        <v>1134</v>
      </c>
      <c r="AA377">
        <v>1.5</v>
      </c>
    </row>
    <row r="378" spans="1:27" x14ac:dyDescent="0.3">
      <c r="A378" t="s">
        <v>964</v>
      </c>
      <c r="B378" t="s">
        <v>1421</v>
      </c>
      <c r="C378" t="s">
        <v>1082</v>
      </c>
      <c r="D378" t="s">
        <v>1238</v>
      </c>
      <c r="E378" t="s">
        <v>1233</v>
      </c>
      <c r="F378" s="1">
        <v>46270.381944444453</v>
      </c>
      <c r="G378" s="1">
        <v>46270.388194444437</v>
      </c>
      <c r="H378">
        <v>4</v>
      </c>
      <c r="I378">
        <v>9</v>
      </c>
      <c r="J378" t="b">
        <v>0</v>
      </c>
      <c r="K378" t="b">
        <v>0</v>
      </c>
      <c r="L378" t="b">
        <v>0</v>
      </c>
      <c r="M378">
        <v>10</v>
      </c>
      <c r="N378" t="s">
        <v>1118</v>
      </c>
      <c r="O378" s="1">
        <v>46270.323611111111</v>
      </c>
      <c r="P378" t="b">
        <v>0</v>
      </c>
      <c r="Q378" t="s">
        <v>1179</v>
      </c>
      <c r="R378" t="s">
        <v>1120</v>
      </c>
      <c r="S378" t="s">
        <v>1132</v>
      </c>
      <c r="T378" t="s">
        <v>1122</v>
      </c>
      <c r="U378" t="s">
        <v>1145</v>
      </c>
      <c r="V378" t="s">
        <v>1151</v>
      </c>
      <c r="W378" t="s">
        <v>1131</v>
      </c>
      <c r="X378">
        <v>7</v>
      </c>
      <c r="Y378" t="s">
        <v>1173</v>
      </c>
      <c r="Z378" t="s">
        <v>1134</v>
      </c>
      <c r="AA378">
        <v>2.25</v>
      </c>
    </row>
    <row r="379" spans="1:27" x14ac:dyDescent="0.3">
      <c r="A379" t="s">
        <v>968</v>
      </c>
      <c r="B379" t="s">
        <v>1421</v>
      </c>
      <c r="C379" t="s">
        <v>1059</v>
      </c>
      <c r="D379" t="s">
        <v>1255</v>
      </c>
      <c r="E379" t="s">
        <v>1178</v>
      </c>
      <c r="F379" s="1">
        <v>46270.365277777782</v>
      </c>
      <c r="G379" s="1">
        <v>46270.371527777781</v>
      </c>
      <c r="H379">
        <v>7</v>
      </c>
      <c r="I379">
        <v>9</v>
      </c>
      <c r="J379" t="b">
        <v>0</v>
      </c>
      <c r="K379" t="b">
        <v>0</v>
      </c>
      <c r="L379" t="b">
        <v>0</v>
      </c>
      <c r="M379">
        <v>10</v>
      </c>
      <c r="N379" t="s">
        <v>1118</v>
      </c>
      <c r="O379" s="1">
        <v>46270.323611111111</v>
      </c>
      <c r="P379" t="b">
        <v>0</v>
      </c>
      <c r="Q379" t="s">
        <v>1179</v>
      </c>
      <c r="R379" t="s">
        <v>1139</v>
      </c>
      <c r="S379" t="s">
        <v>1157</v>
      </c>
      <c r="T379" t="s">
        <v>1122</v>
      </c>
      <c r="U379" t="s">
        <v>1172</v>
      </c>
      <c r="V379" t="s">
        <v>1141</v>
      </c>
      <c r="W379" t="s">
        <v>1257</v>
      </c>
      <c r="X379">
        <v>7</v>
      </c>
      <c r="Y379" t="s">
        <v>1173</v>
      </c>
      <c r="Z379" t="s">
        <v>1134</v>
      </c>
      <c r="AA379">
        <v>1.285714285714286</v>
      </c>
    </row>
    <row r="380" spans="1:27" x14ac:dyDescent="0.3">
      <c r="A380" t="s">
        <v>973</v>
      </c>
      <c r="B380" t="s">
        <v>1422</v>
      </c>
      <c r="C380" t="s">
        <v>1083</v>
      </c>
      <c r="D380" t="s">
        <v>1136</v>
      </c>
      <c r="E380" t="s">
        <v>1213</v>
      </c>
      <c r="F380" s="1">
        <v>46277.645138888889</v>
      </c>
      <c r="G380" s="1">
        <v>46277.651388888888</v>
      </c>
      <c r="H380">
        <v>4</v>
      </c>
      <c r="I380">
        <v>9</v>
      </c>
      <c r="J380" t="b">
        <v>0</v>
      </c>
      <c r="K380" t="b">
        <v>0</v>
      </c>
      <c r="L380" t="b">
        <v>0</v>
      </c>
      <c r="M380">
        <v>6</v>
      </c>
      <c r="N380" t="s">
        <v>1168</v>
      </c>
      <c r="O380" s="1">
        <v>46277.585416666669</v>
      </c>
      <c r="P380" t="b">
        <v>0</v>
      </c>
      <c r="Q380" t="s">
        <v>1151</v>
      </c>
      <c r="R380" t="s">
        <v>1131</v>
      </c>
      <c r="S380" t="s">
        <v>1152</v>
      </c>
      <c r="T380" t="s">
        <v>1180</v>
      </c>
      <c r="U380" t="s">
        <v>1123</v>
      </c>
      <c r="V380" t="s">
        <v>1141</v>
      </c>
      <c r="W380" t="s">
        <v>1125</v>
      </c>
      <c r="X380">
        <v>14</v>
      </c>
      <c r="Y380" t="s">
        <v>1173</v>
      </c>
      <c r="Z380" t="s">
        <v>1134</v>
      </c>
      <c r="AA380">
        <v>2.25</v>
      </c>
    </row>
    <row r="381" spans="1:27" x14ac:dyDescent="0.3">
      <c r="A381" t="s">
        <v>975</v>
      </c>
      <c r="B381" t="s">
        <v>1422</v>
      </c>
      <c r="C381" t="s">
        <v>1083</v>
      </c>
      <c r="D381" t="s">
        <v>1339</v>
      </c>
      <c r="E381" t="s">
        <v>1292</v>
      </c>
      <c r="F381" s="1">
        <v>46277.677083333343</v>
      </c>
      <c r="G381" s="1">
        <v>46277.683333333327</v>
      </c>
      <c r="H381">
        <v>6</v>
      </c>
      <c r="I381">
        <v>9</v>
      </c>
      <c r="J381" t="b">
        <v>0</v>
      </c>
      <c r="K381" t="b">
        <v>0</v>
      </c>
      <c r="L381" t="b">
        <v>0</v>
      </c>
      <c r="M381">
        <v>6</v>
      </c>
      <c r="N381" t="s">
        <v>1168</v>
      </c>
      <c r="O381" s="1">
        <v>46277.585416666669</v>
      </c>
      <c r="P381" t="b">
        <v>0</v>
      </c>
      <c r="Q381" t="s">
        <v>1179</v>
      </c>
      <c r="R381" t="s">
        <v>1131</v>
      </c>
      <c r="S381" t="s">
        <v>1152</v>
      </c>
      <c r="T381" t="s">
        <v>1180</v>
      </c>
      <c r="U381" t="s">
        <v>1123</v>
      </c>
      <c r="V381" t="s">
        <v>1284</v>
      </c>
      <c r="W381" t="s">
        <v>1257</v>
      </c>
      <c r="X381">
        <v>14</v>
      </c>
      <c r="Y381" t="s">
        <v>1173</v>
      </c>
      <c r="Z381" t="s">
        <v>1134</v>
      </c>
      <c r="AA381">
        <v>1.5</v>
      </c>
    </row>
    <row r="382" spans="1:27" x14ac:dyDescent="0.3">
      <c r="A382" t="s">
        <v>980</v>
      </c>
      <c r="B382" t="s">
        <v>1329</v>
      </c>
      <c r="C382" t="s">
        <v>1066</v>
      </c>
      <c r="D382" t="s">
        <v>1255</v>
      </c>
      <c r="E382" t="s">
        <v>1178</v>
      </c>
      <c r="F382" s="1">
        <v>46284.961111111108</v>
      </c>
      <c r="G382" s="1">
        <v>46284.967361111107</v>
      </c>
      <c r="H382">
        <v>7</v>
      </c>
      <c r="I382">
        <v>9</v>
      </c>
      <c r="J382" t="b">
        <v>0</v>
      </c>
      <c r="K382" t="b">
        <v>0</v>
      </c>
      <c r="L382" t="b">
        <v>0</v>
      </c>
      <c r="M382">
        <v>10</v>
      </c>
      <c r="N382" t="s">
        <v>1118</v>
      </c>
      <c r="O382" s="1">
        <v>46284.945833333331</v>
      </c>
      <c r="P382" t="b">
        <v>0</v>
      </c>
      <c r="Q382" t="s">
        <v>1179</v>
      </c>
      <c r="R382" t="s">
        <v>1139</v>
      </c>
      <c r="S382" t="s">
        <v>1157</v>
      </c>
      <c r="T382" t="s">
        <v>1122</v>
      </c>
      <c r="U382" t="s">
        <v>1247</v>
      </c>
      <c r="V382" t="s">
        <v>1141</v>
      </c>
      <c r="W382" t="s">
        <v>1257</v>
      </c>
      <c r="X382">
        <v>22</v>
      </c>
      <c r="Y382" t="s">
        <v>1173</v>
      </c>
      <c r="Z382" t="s">
        <v>1134</v>
      </c>
      <c r="AA382">
        <v>1.285714285714286</v>
      </c>
    </row>
    <row r="383" spans="1:27" x14ac:dyDescent="0.3">
      <c r="A383" t="s">
        <v>987</v>
      </c>
      <c r="B383" t="s">
        <v>1290</v>
      </c>
      <c r="C383" t="s">
        <v>1072</v>
      </c>
      <c r="D383" t="s">
        <v>1116</v>
      </c>
      <c r="E383" t="s">
        <v>1200</v>
      </c>
      <c r="F383" s="1">
        <v>46266.967361111107</v>
      </c>
      <c r="G383" s="1">
        <v>46266.973611111112</v>
      </c>
      <c r="H383">
        <v>1</v>
      </c>
      <c r="I383">
        <v>9</v>
      </c>
      <c r="J383" t="b">
        <v>0</v>
      </c>
      <c r="K383" t="b">
        <v>0</v>
      </c>
      <c r="L383" t="b">
        <v>0</v>
      </c>
      <c r="M383">
        <v>20</v>
      </c>
      <c r="N383" t="s">
        <v>1168</v>
      </c>
      <c r="O383" s="1">
        <v>46266.9</v>
      </c>
      <c r="P383" t="b">
        <v>0</v>
      </c>
      <c r="Q383" t="s">
        <v>1156</v>
      </c>
      <c r="R383" t="s">
        <v>1139</v>
      </c>
      <c r="S383" t="s">
        <v>1132</v>
      </c>
      <c r="T383" t="s">
        <v>1180</v>
      </c>
      <c r="U383" t="s">
        <v>1172</v>
      </c>
      <c r="V383" t="s">
        <v>1124</v>
      </c>
      <c r="W383" t="s">
        <v>1125</v>
      </c>
      <c r="X383">
        <v>21</v>
      </c>
      <c r="Y383" t="s">
        <v>1126</v>
      </c>
      <c r="Z383" t="s">
        <v>1127</v>
      </c>
      <c r="AA383">
        <v>9</v>
      </c>
    </row>
    <row r="384" spans="1:27" x14ac:dyDescent="0.3">
      <c r="A384" t="s">
        <v>404</v>
      </c>
      <c r="B384" t="s">
        <v>1279</v>
      </c>
      <c r="C384" t="s">
        <v>1067</v>
      </c>
      <c r="D384" t="s">
        <v>1116</v>
      </c>
      <c r="E384" t="s">
        <v>1364</v>
      </c>
      <c r="F384" s="1">
        <v>46268.702777777777</v>
      </c>
      <c r="G384" s="1">
        <v>46268.709027777782</v>
      </c>
      <c r="H384">
        <v>6</v>
      </c>
      <c r="I384">
        <v>9</v>
      </c>
      <c r="J384" t="b">
        <v>0</v>
      </c>
      <c r="K384" t="b">
        <v>0</v>
      </c>
      <c r="L384" t="b">
        <v>0</v>
      </c>
      <c r="M384">
        <v>20</v>
      </c>
      <c r="N384" t="s">
        <v>1118</v>
      </c>
      <c r="O384" s="1">
        <v>46268.624305555553</v>
      </c>
      <c r="P384" t="b">
        <v>0</v>
      </c>
      <c r="Q384" t="s">
        <v>1179</v>
      </c>
      <c r="R384" t="s">
        <v>1139</v>
      </c>
      <c r="S384" t="s">
        <v>1121</v>
      </c>
      <c r="T384" t="s">
        <v>1180</v>
      </c>
      <c r="U384" t="s">
        <v>1247</v>
      </c>
      <c r="V384" t="s">
        <v>1124</v>
      </c>
      <c r="W384" t="s">
        <v>1125</v>
      </c>
      <c r="X384">
        <v>14</v>
      </c>
      <c r="Y384" t="s">
        <v>1146</v>
      </c>
      <c r="Z384" t="s">
        <v>1127</v>
      </c>
      <c r="AA384">
        <v>1.5</v>
      </c>
    </row>
    <row r="385" spans="1:27" x14ac:dyDescent="0.3">
      <c r="A385" t="s">
        <v>46</v>
      </c>
      <c r="B385" t="s">
        <v>1215</v>
      </c>
      <c r="C385" t="s">
        <v>1057</v>
      </c>
      <c r="D385" t="s">
        <v>1136</v>
      </c>
      <c r="E385" t="s">
        <v>1228</v>
      </c>
      <c r="F385" s="1">
        <v>46270.412499999999</v>
      </c>
      <c r="G385" s="1">
        <v>46270.418749999997</v>
      </c>
      <c r="H385">
        <v>2</v>
      </c>
      <c r="I385">
        <v>9</v>
      </c>
      <c r="J385" t="b">
        <v>0</v>
      </c>
      <c r="K385" t="b">
        <v>0</v>
      </c>
      <c r="L385" t="b">
        <v>0</v>
      </c>
      <c r="M385">
        <v>5</v>
      </c>
      <c r="N385" t="s">
        <v>1118</v>
      </c>
      <c r="O385" s="1">
        <v>46270.368055555547</v>
      </c>
      <c r="P385" t="b">
        <v>0</v>
      </c>
      <c r="Q385" t="s">
        <v>1179</v>
      </c>
      <c r="R385" t="s">
        <v>1145</v>
      </c>
      <c r="S385" t="s">
        <v>1157</v>
      </c>
      <c r="T385" t="s">
        <v>1122</v>
      </c>
      <c r="U385" t="s">
        <v>1172</v>
      </c>
      <c r="V385" t="s">
        <v>1141</v>
      </c>
      <c r="W385" t="s">
        <v>1125</v>
      </c>
      <c r="X385">
        <v>8</v>
      </c>
      <c r="Y385" t="s">
        <v>1173</v>
      </c>
      <c r="Z385" t="s">
        <v>1147</v>
      </c>
      <c r="AA385">
        <v>4.5</v>
      </c>
    </row>
    <row r="386" spans="1:27" x14ac:dyDescent="0.3">
      <c r="A386" t="s">
        <v>75</v>
      </c>
      <c r="B386" t="s">
        <v>1423</v>
      </c>
      <c r="C386" t="s">
        <v>1065</v>
      </c>
      <c r="D386" t="s">
        <v>1255</v>
      </c>
      <c r="E386" t="s">
        <v>1267</v>
      </c>
      <c r="F386" s="1">
        <v>46275.890972222223</v>
      </c>
      <c r="G386" s="1">
        <v>46275.897222222222</v>
      </c>
      <c r="H386">
        <v>5</v>
      </c>
      <c r="I386">
        <v>9</v>
      </c>
      <c r="J386" t="b">
        <v>0</v>
      </c>
      <c r="K386" t="b">
        <v>0</v>
      </c>
      <c r="L386" t="b">
        <v>0</v>
      </c>
      <c r="M386">
        <v>2</v>
      </c>
      <c r="N386" t="s">
        <v>1168</v>
      </c>
      <c r="O386" s="1">
        <v>46275.820833333331</v>
      </c>
      <c r="P386" t="b">
        <v>0</v>
      </c>
      <c r="Q386" t="s">
        <v>1151</v>
      </c>
      <c r="R386" t="s">
        <v>1145</v>
      </c>
      <c r="S386" t="s">
        <v>1121</v>
      </c>
      <c r="T386" t="s">
        <v>1180</v>
      </c>
      <c r="U386" t="s">
        <v>1247</v>
      </c>
      <c r="V386" t="s">
        <v>1141</v>
      </c>
      <c r="W386" t="s">
        <v>1257</v>
      </c>
      <c r="X386">
        <v>19</v>
      </c>
      <c r="Y386" t="s">
        <v>1146</v>
      </c>
      <c r="Z386" t="s">
        <v>1147</v>
      </c>
      <c r="AA386">
        <v>1.8</v>
      </c>
    </row>
    <row r="387" spans="1:27" x14ac:dyDescent="0.3">
      <c r="A387" t="s">
        <v>1054</v>
      </c>
      <c r="B387" t="s">
        <v>1197</v>
      </c>
      <c r="C387" t="s">
        <v>1083</v>
      </c>
      <c r="D387" t="s">
        <v>1280</v>
      </c>
      <c r="E387" t="s">
        <v>1340</v>
      </c>
      <c r="F387" s="1">
        <v>46287.998611111107</v>
      </c>
      <c r="G387" s="1">
        <v>46288.004861111112</v>
      </c>
      <c r="H387">
        <v>4</v>
      </c>
      <c r="I387">
        <v>9</v>
      </c>
      <c r="J387" t="b">
        <v>0</v>
      </c>
      <c r="K387" t="b">
        <v>0</v>
      </c>
      <c r="L387" t="b">
        <v>0</v>
      </c>
      <c r="M387">
        <v>20</v>
      </c>
      <c r="N387" t="s">
        <v>1130</v>
      </c>
      <c r="O387" s="1">
        <v>46287.886805555558</v>
      </c>
      <c r="P387" t="b">
        <v>0</v>
      </c>
      <c r="Q387" t="s">
        <v>1145</v>
      </c>
      <c r="R387" t="s">
        <v>1131</v>
      </c>
      <c r="S387" t="s">
        <v>1121</v>
      </c>
      <c r="T387" t="s">
        <v>1180</v>
      </c>
      <c r="U387" t="s">
        <v>1123</v>
      </c>
      <c r="V387" t="s">
        <v>1151</v>
      </c>
      <c r="W387" t="s">
        <v>1257</v>
      </c>
      <c r="X387">
        <v>21</v>
      </c>
      <c r="Y387" t="s">
        <v>1126</v>
      </c>
      <c r="Z387" t="s">
        <v>1127</v>
      </c>
      <c r="AA387">
        <v>2.25</v>
      </c>
    </row>
    <row r="388" spans="1:27" x14ac:dyDescent="0.3">
      <c r="A388" t="s">
        <v>43</v>
      </c>
      <c r="B388" t="s">
        <v>1424</v>
      </c>
      <c r="C388" t="s">
        <v>1085</v>
      </c>
      <c r="D388" t="s">
        <v>1136</v>
      </c>
      <c r="E388" t="s">
        <v>1218</v>
      </c>
      <c r="F388" s="1">
        <v>46280.041666666657</v>
      </c>
      <c r="G388" s="1">
        <v>46280.04791666667</v>
      </c>
      <c r="H388">
        <v>7</v>
      </c>
      <c r="I388">
        <v>9</v>
      </c>
      <c r="J388" t="b">
        <v>0</v>
      </c>
      <c r="K388" t="b">
        <v>0</v>
      </c>
      <c r="L388" t="b">
        <v>0</v>
      </c>
      <c r="M388">
        <v>2</v>
      </c>
      <c r="N388" t="s">
        <v>1168</v>
      </c>
      <c r="O388" s="1">
        <v>46279.97152777778</v>
      </c>
      <c r="P388" t="b">
        <v>0</v>
      </c>
      <c r="Q388" t="s">
        <v>1169</v>
      </c>
      <c r="R388" t="s">
        <v>1120</v>
      </c>
      <c r="S388" t="s">
        <v>1152</v>
      </c>
      <c r="T388" t="s">
        <v>1122</v>
      </c>
      <c r="U388" t="s">
        <v>1247</v>
      </c>
      <c r="V388" t="s">
        <v>1141</v>
      </c>
      <c r="W388" t="s">
        <v>1125</v>
      </c>
      <c r="X388">
        <v>23</v>
      </c>
      <c r="Y388" t="s">
        <v>1185</v>
      </c>
      <c r="Z388" t="s">
        <v>1147</v>
      </c>
      <c r="AA388">
        <v>1.285714285714286</v>
      </c>
    </row>
    <row r="389" spans="1:27" x14ac:dyDescent="0.3">
      <c r="A389" t="s">
        <v>50</v>
      </c>
      <c r="B389" t="s">
        <v>1176</v>
      </c>
      <c r="C389" t="s">
        <v>1075</v>
      </c>
      <c r="D389" t="s">
        <v>1255</v>
      </c>
      <c r="E389" t="s">
        <v>1207</v>
      </c>
      <c r="F389" s="1">
        <v>46275.31527777778</v>
      </c>
      <c r="G389" s="1">
        <v>46275.321527777778</v>
      </c>
      <c r="H389">
        <v>5</v>
      </c>
      <c r="I389">
        <v>9</v>
      </c>
      <c r="J389" t="b">
        <v>0</v>
      </c>
      <c r="K389" t="b">
        <v>0</v>
      </c>
      <c r="L389" t="b">
        <v>0</v>
      </c>
      <c r="M389">
        <v>4</v>
      </c>
      <c r="N389" t="s">
        <v>1118</v>
      </c>
      <c r="O389" s="1">
        <v>46275.222916666673</v>
      </c>
      <c r="P389" t="b">
        <v>0</v>
      </c>
      <c r="Q389" t="s">
        <v>1179</v>
      </c>
      <c r="R389" t="s">
        <v>1131</v>
      </c>
      <c r="S389" t="s">
        <v>1157</v>
      </c>
      <c r="T389" t="s">
        <v>1122</v>
      </c>
      <c r="U389" t="s">
        <v>1172</v>
      </c>
      <c r="V389" t="s">
        <v>1141</v>
      </c>
      <c r="W389" t="s">
        <v>1257</v>
      </c>
      <c r="X389">
        <v>5</v>
      </c>
      <c r="Y389" t="s">
        <v>1146</v>
      </c>
      <c r="Z389" t="s">
        <v>1147</v>
      </c>
      <c r="AA389">
        <v>1.8</v>
      </c>
    </row>
    <row r="390" spans="1:27" x14ac:dyDescent="0.3">
      <c r="A390" t="s">
        <v>60</v>
      </c>
      <c r="B390" t="s">
        <v>1153</v>
      </c>
      <c r="C390" t="s">
        <v>1062</v>
      </c>
      <c r="D390" t="s">
        <v>1283</v>
      </c>
      <c r="E390" t="s">
        <v>1366</v>
      </c>
      <c r="F390" s="1">
        <v>46280.345833333333</v>
      </c>
      <c r="G390" s="1">
        <v>46280.351388888892</v>
      </c>
      <c r="H390">
        <v>5</v>
      </c>
      <c r="I390">
        <v>8</v>
      </c>
      <c r="J390" t="b">
        <v>0</v>
      </c>
      <c r="K390" t="b">
        <v>0</v>
      </c>
      <c r="L390" t="b">
        <v>0</v>
      </c>
      <c r="M390">
        <v>10</v>
      </c>
      <c r="N390" t="s">
        <v>1155</v>
      </c>
      <c r="O390" s="1">
        <v>46280.222916666673</v>
      </c>
      <c r="P390" t="b">
        <v>0</v>
      </c>
      <c r="Q390" t="s">
        <v>1151</v>
      </c>
      <c r="R390" t="s">
        <v>1120</v>
      </c>
      <c r="S390" t="s">
        <v>1145</v>
      </c>
      <c r="T390" t="s">
        <v>1122</v>
      </c>
      <c r="U390" t="s">
        <v>1123</v>
      </c>
      <c r="V390" t="s">
        <v>1284</v>
      </c>
      <c r="W390" t="s">
        <v>1131</v>
      </c>
      <c r="X390">
        <v>5</v>
      </c>
      <c r="Y390" t="s">
        <v>1126</v>
      </c>
      <c r="Z390" t="s">
        <v>1134</v>
      </c>
      <c r="AA390">
        <v>1.6</v>
      </c>
    </row>
    <row r="391" spans="1:27" x14ac:dyDescent="0.3">
      <c r="A391" t="s">
        <v>44</v>
      </c>
      <c r="B391" t="s">
        <v>1215</v>
      </c>
      <c r="C391" t="s">
        <v>1085</v>
      </c>
      <c r="D391" t="s">
        <v>1238</v>
      </c>
      <c r="E391" t="s">
        <v>1159</v>
      </c>
      <c r="F391" s="1">
        <v>46270.448611111111</v>
      </c>
      <c r="G391" s="1">
        <v>46270.45416666667</v>
      </c>
      <c r="H391">
        <v>6</v>
      </c>
      <c r="I391">
        <v>8</v>
      </c>
      <c r="J391" t="b">
        <v>0</v>
      </c>
      <c r="K391" t="b">
        <v>0</v>
      </c>
      <c r="L391" t="b">
        <v>0</v>
      </c>
      <c r="M391">
        <v>5</v>
      </c>
      <c r="N391" t="s">
        <v>1118</v>
      </c>
      <c r="O391" s="1">
        <v>46270.368055555547</v>
      </c>
      <c r="P391" t="b">
        <v>0</v>
      </c>
      <c r="Q391" t="s">
        <v>1138</v>
      </c>
      <c r="R391" t="s">
        <v>1120</v>
      </c>
      <c r="S391" t="s">
        <v>1132</v>
      </c>
      <c r="T391" t="s">
        <v>1122</v>
      </c>
      <c r="U391" t="s">
        <v>1247</v>
      </c>
      <c r="V391" t="s">
        <v>1151</v>
      </c>
      <c r="W391" t="s">
        <v>1131</v>
      </c>
      <c r="X391">
        <v>8</v>
      </c>
      <c r="Y391" t="s">
        <v>1173</v>
      </c>
      <c r="Z391" t="s">
        <v>1147</v>
      </c>
      <c r="AA391">
        <v>1.333333333333333</v>
      </c>
    </row>
    <row r="392" spans="1:27" x14ac:dyDescent="0.3">
      <c r="A392" t="s">
        <v>710</v>
      </c>
      <c r="B392" t="s">
        <v>1220</v>
      </c>
      <c r="C392" t="s">
        <v>1086</v>
      </c>
      <c r="D392" t="s">
        <v>1149</v>
      </c>
      <c r="E392" t="s">
        <v>1210</v>
      </c>
      <c r="F392" s="1">
        <v>46273.448611111111</v>
      </c>
      <c r="G392" s="1">
        <v>46273.45416666667</v>
      </c>
      <c r="H392">
        <v>5</v>
      </c>
      <c r="I392">
        <v>8</v>
      </c>
      <c r="J392" t="b">
        <v>0</v>
      </c>
      <c r="K392" t="b">
        <v>0</v>
      </c>
      <c r="L392" t="b">
        <v>0</v>
      </c>
      <c r="M392">
        <v>8</v>
      </c>
      <c r="N392" t="s">
        <v>1118</v>
      </c>
      <c r="O392" s="1">
        <v>46273.438194444447</v>
      </c>
      <c r="P392" t="b">
        <v>0</v>
      </c>
      <c r="Q392" t="s">
        <v>1151</v>
      </c>
      <c r="R392" t="s">
        <v>1131</v>
      </c>
      <c r="S392" t="s">
        <v>1157</v>
      </c>
      <c r="T392" t="s">
        <v>1122</v>
      </c>
      <c r="U392" t="s">
        <v>1145</v>
      </c>
      <c r="V392" t="s">
        <v>1152</v>
      </c>
      <c r="W392" t="s">
        <v>1145</v>
      </c>
      <c r="X392">
        <v>10</v>
      </c>
      <c r="Y392" t="s">
        <v>1126</v>
      </c>
      <c r="Z392" t="s">
        <v>1134</v>
      </c>
      <c r="AA392">
        <v>1.6</v>
      </c>
    </row>
    <row r="393" spans="1:27" x14ac:dyDescent="0.3">
      <c r="A393" t="s">
        <v>703</v>
      </c>
      <c r="B393" t="s">
        <v>1425</v>
      </c>
      <c r="C393" t="s">
        <v>1074</v>
      </c>
      <c r="D393" t="s">
        <v>1280</v>
      </c>
      <c r="E393" t="s">
        <v>1150</v>
      </c>
      <c r="F393" s="1">
        <v>46270.959722222222</v>
      </c>
      <c r="G393" s="1">
        <v>46270.965277777781</v>
      </c>
      <c r="H393">
        <v>5</v>
      </c>
      <c r="I393">
        <v>8</v>
      </c>
      <c r="J393" t="b">
        <v>0</v>
      </c>
      <c r="K393" t="b">
        <v>0</v>
      </c>
      <c r="L393" t="b">
        <v>0</v>
      </c>
      <c r="M393">
        <v>6</v>
      </c>
      <c r="N393" t="s">
        <v>1130</v>
      </c>
      <c r="O393" s="1">
        <v>46270.959722222222</v>
      </c>
      <c r="P393" t="b">
        <v>0</v>
      </c>
      <c r="Q393" t="s">
        <v>1151</v>
      </c>
      <c r="R393" t="s">
        <v>1131</v>
      </c>
      <c r="S393" t="s">
        <v>1121</v>
      </c>
      <c r="T393" t="s">
        <v>1145</v>
      </c>
      <c r="U393" t="s">
        <v>1145</v>
      </c>
      <c r="V393" t="s">
        <v>1151</v>
      </c>
      <c r="W393" t="s">
        <v>1257</v>
      </c>
      <c r="X393">
        <v>23</v>
      </c>
      <c r="Y393" t="s">
        <v>1173</v>
      </c>
      <c r="Z393" t="s">
        <v>1134</v>
      </c>
      <c r="AA393">
        <v>1.6</v>
      </c>
    </row>
    <row r="394" spans="1:27" x14ac:dyDescent="0.3">
      <c r="A394" t="s">
        <v>1052</v>
      </c>
      <c r="B394" t="s">
        <v>1197</v>
      </c>
      <c r="C394" t="s">
        <v>1060</v>
      </c>
      <c r="D394" t="s">
        <v>1149</v>
      </c>
      <c r="E394" t="s">
        <v>1383</v>
      </c>
      <c r="F394" s="1">
        <v>46287.945833333331</v>
      </c>
      <c r="G394" s="1">
        <v>46287.951388888891</v>
      </c>
      <c r="H394">
        <v>2</v>
      </c>
      <c r="I394">
        <v>8</v>
      </c>
      <c r="J394" t="b">
        <v>0</v>
      </c>
      <c r="K394" t="b">
        <v>0</v>
      </c>
      <c r="L394" t="b">
        <v>0</v>
      </c>
      <c r="M394">
        <v>20</v>
      </c>
      <c r="N394" t="s">
        <v>1130</v>
      </c>
      <c r="O394" s="1">
        <v>46287.886805555558</v>
      </c>
      <c r="P394" t="b">
        <v>0</v>
      </c>
      <c r="Q394" t="s">
        <v>1119</v>
      </c>
      <c r="R394" t="s">
        <v>1131</v>
      </c>
      <c r="S394" t="s">
        <v>1132</v>
      </c>
      <c r="T394" t="s">
        <v>1140</v>
      </c>
      <c r="U394" t="s">
        <v>1145</v>
      </c>
      <c r="V394" t="s">
        <v>1152</v>
      </c>
      <c r="W394" t="s">
        <v>1145</v>
      </c>
      <c r="X394">
        <v>21</v>
      </c>
      <c r="Y394" t="s">
        <v>1126</v>
      </c>
      <c r="Z394" t="s">
        <v>1127</v>
      </c>
      <c r="AA394">
        <v>4</v>
      </c>
    </row>
    <row r="395" spans="1:27" x14ac:dyDescent="0.3">
      <c r="A395" t="s">
        <v>1029</v>
      </c>
      <c r="B395" t="s">
        <v>1224</v>
      </c>
      <c r="C395" t="s">
        <v>1078</v>
      </c>
      <c r="D395" t="s">
        <v>1339</v>
      </c>
      <c r="E395" t="s">
        <v>1144</v>
      </c>
      <c r="F395" s="1">
        <v>46274.740972222222</v>
      </c>
      <c r="G395" s="1">
        <v>46274.746527777781</v>
      </c>
      <c r="H395">
        <v>7</v>
      </c>
      <c r="I395">
        <v>8</v>
      </c>
      <c r="J395" t="b">
        <v>0</v>
      </c>
      <c r="K395" t="b">
        <v>0</v>
      </c>
      <c r="L395" t="b">
        <v>0</v>
      </c>
      <c r="M395">
        <v>10</v>
      </c>
      <c r="N395" t="s">
        <v>1130</v>
      </c>
      <c r="O395" s="1">
        <v>46274.694444444453</v>
      </c>
      <c r="P395" t="b">
        <v>0</v>
      </c>
      <c r="Q395" t="s">
        <v>1138</v>
      </c>
      <c r="R395" t="s">
        <v>1120</v>
      </c>
      <c r="S395" t="s">
        <v>1145</v>
      </c>
      <c r="T395" t="s">
        <v>1145</v>
      </c>
      <c r="U395" t="s">
        <v>1172</v>
      </c>
      <c r="V395" t="s">
        <v>1284</v>
      </c>
      <c r="W395" t="s">
        <v>1257</v>
      </c>
      <c r="X395">
        <v>16</v>
      </c>
      <c r="Y395" t="s">
        <v>1161</v>
      </c>
      <c r="Z395" t="s">
        <v>1134</v>
      </c>
      <c r="AA395">
        <v>1.142857142857143</v>
      </c>
    </row>
    <row r="396" spans="1:27" x14ac:dyDescent="0.3">
      <c r="A396" t="s">
        <v>1045</v>
      </c>
      <c r="B396" t="s">
        <v>1426</v>
      </c>
      <c r="C396" t="s">
        <v>1085</v>
      </c>
      <c r="D396" t="s">
        <v>1255</v>
      </c>
      <c r="E396" t="s">
        <v>1301</v>
      </c>
      <c r="F396" s="1">
        <v>46281.573611111111</v>
      </c>
      <c r="G396" s="1">
        <v>46281.57916666667</v>
      </c>
      <c r="H396">
        <v>7</v>
      </c>
      <c r="I396">
        <v>8</v>
      </c>
      <c r="J396" t="b">
        <v>0</v>
      </c>
      <c r="K396" t="b">
        <v>0</v>
      </c>
      <c r="L396" t="b">
        <v>0</v>
      </c>
      <c r="M396">
        <v>6</v>
      </c>
      <c r="N396" t="s">
        <v>1130</v>
      </c>
      <c r="P396" t="b">
        <v>0</v>
      </c>
      <c r="Q396" t="s">
        <v>1169</v>
      </c>
      <c r="R396" t="s">
        <v>1131</v>
      </c>
      <c r="S396" t="s">
        <v>1145</v>
      </c>
      <c r="T396" t="s">
        <v>1122</v>
      </c>
      <c r="U396" t="s">
        <v>1247</v>
      </c>
      <c r="V396" t="s">
        <v>1141</v>
      </c>
      <c r="W396" t="s">
        <v>1257</v>
      </c>
      <c r="Z396" t="s">
        <v>1134</v>
      </c>
      <c r="AA396">
        <v>1.142857142857143</v>
      </c>
    </row>
    <row r="397" spans="1:27" x14ac:dyDescent="0.3">
      <c r="A397" t="s">
        <v>88</v>
      </c>
      <c r="B397" t="s">
        <v>1385</v>
      </c>
      <c r="C397" t="s">
        <v>1057</v>
      </c>
      <c r="D397" t="s">
        <v>1255</v>
      </c>
      <c r="E397" t="s">
        <v>1272</v>
      </c>
      <c r="F397" s="1">
        <v>46287.489583333343</v>
      </c>
      <c r="G397" s="1">
        <v>46287.495138888888</v>
      </c>
      <c r="H397">
        <v>4</v>
      </c>
      <c r="I397">
        <v>8</v>
      </c>
      <c r="J397" t="b">
        <v>0</v>
      </c>
      <c r="K397" t="b">
        <v>0</v>
      </c>
      <c r="L397" t="b">
        <v>0</v>
      </c>
      <c r="M397">
        <v>12</v>
      </c>
      <c r="N397" t="s">
        <v>1118</v>
      </c>
      <c r="O397" s="1">
        <v>46287.443749999999</v>
      </c>
      <c r="P397" t="b">
        <v>0</v>
      </c>
      <c r="Q397" t="s">
        <v>1179</v>
      </c>
      <c r="R397" t="s">
        <v>1120</v>
      </c>
      <c r="S397" t="s">
        <v>1157</v>
      </c>
      <c r="T397" t="s">
        <v>1122</v>
      </c>
      <c r="U397" t="s">
        <v>1172</v>
      </c>
      <c r="V397" t="s">
        <v>1141</v>
      </c>
      <c r="W397" t="s">
        <v>1257</v>
      </c>
      <c r="X397">
        <v>10</v>
      </c>
      <c r="Y397" t="s">
        <v>1126</v>
      </c>
      <c r="Z397" t="s">
        <v>1127</v>
      </c>
      <c r="AA397">
        <v>2</v>
      </c>
    </row>
    <row r="398" spans="1:27" x14ac:dyDescent="0.3">
      <c r="A398" t="s">
        <v>84</v>
      </c>
      <c r="B398" t="s">
        <v>1385</v>
      </c>
      <c r="C398" t="s">
        <v>1072</v>
      </c>
      <c r="D398" t="s">
        <v>1283</v>
      </c>
      <c r="E398" t="s">
        <v>1274</v>
      </c>
      <c r="F398" s="1">
        <v>46287.466666666667</v>
      </c>
      <c r="G398" s="1">
        <v>46287.472222222219</v>
      </c>
      <c r="H398">
        <v>5</v>
      </c>
      <c r="I398">
        <v>8</v>
      </c>
      <c r="J398" t="b">
        <v>0</v>
      </c>
      <c r="K398" t="b">
        <v>0</v>
      </c>
      <c r="L398" t="b">
        <v>0</v>
      </c>
      <c r="M398">
        <v>12</v>
      </c>
      <c r="N398" t="s">
        <v>1118</v>
      </c>
      <c r="O398" s="1">
        <v>46287.443749999999</v>
      </c>
      <c r="P398" t="b">
        <v>0</v>
      </c>
      <c r="Q398" t="s">
        <v>1138</v>
      </c>
      <c r="R398" t="s">
        <v>1120</v>
      </c>
      <c r="S398" t="s">
        <v>1157</v>
      </c>
      <c r="T398" t="s">
        <v>1180</v>
      </c>
      <c r="U398" t="s">
        <v>1172</v>
      </c>
      <c r="V398" t="s">
        <v>1284</v>
      </c>
      <c r="W398" t="s">
        <v>1131</v>
      </c>
      <c r="X398">
        <v>10</v>
      </c>
      <c r="Y398" t="s">
        <v>1126</v>
      </c>
      <c r="Z398" t="s">
        <v>1127</v>
      </c>
      <c r="AA398">
        <v>1.6</v>
      </c>
    </row>
    <row r="399" spans="1:27" x14ac:dyDescent="0.3">
      <c r="A399" t="s">
        <v>79</v>
      </c>
      <c r="B399" t="s">
        <v>1293</v>
      </c>
      <c r="C399" t="s">
        <v>1081</v>
      </c>
      <c r="D399" t="s">
        <v>1116</v>
      </c>
      <c r="E399" t="s">
        <v>1312</v>
      </c>
      <c r="F399" s="1">
        <v>46276.921527777777</v>
      </c>
      <c r="G399" s="1">
        <v>46276.927083333343</v>
      </c>
      <c r="H399">
        <v>3</v>
      </c>
      <c r="I399">
        <v>8</v>
      </c>
      <c r="J399" t="b">
        <v>0</v>
      </c>
      <c r="K399" t="b">
        <v>0</v>
      </c>
      <c r="L399" t="b">
        <v>0</v>
      </c>
      <c r="M399">
        <v>4</v>
      </c>
      <c r="N399" t="s">
        <v>1130</v>
      </c>
      <c r="O399" s="1">
        <v>46276.865972222222</v>
      </c>
      <c r="P399" t="b">
        <v>0</v>
      </c>
      <c r="Q399" t="s">
        <v>1119</v>
      </c>
      <c r="R399" t="s">
        <v>1120</v>
      </c>
      <c r="S399" t="s">
        <v>1157</v>
      </c>
      <c r="T399" t="s">
        <v>1180</v>
      </c>
      <c r="U399" t="s">
        <v>1247</v>
      </c>
      <c r="V399" t="s">
        <v>1124</v>
      </c>
      <c r="W399" t="s">
        <v>1125</v>
      </c>
      <c r="X399">
        <v>20</v>
      </c>
      <c r="Y399" t="s">
        <v>1142</v>
      </c>
      <c r="Z399" t="s">
        <v>1147</v>
      </c>
      <c r="AA399">
        <v>2.666666666666667</v>
      </c>
    </row>
    <row r="400" spans="1:27" x14ac:dyDescent="0.3">
      <c r="A400" t="s">
        <v>451</v>
      </c>
      <c r="B400" t="s">
        <v>1288</v>
      </c>
      <c r="C400" t="s">
        <v>1070</v>
      </c>
      <c r="D400" t="s">
        <v>1136</v>
      </c>
      <c r="E400" t="s">
        <v>1198</v>
      </c>
      <c r="F400" s="1">
        <v>46282.851388888892</v>
      </c>
      <c r="G400" s="1">
        <v>46282.856944444437</v>
      </c>
      <c r="H400">
        <v>3</v>
      </c>
      <c r="I400">
        <v>8</v>
      </c>
      <c r="J400" t="b">
        <v>0</v>
      </c>
      <c r="K400" t="b">
        <v>0</v>
      </c>
      <c r="L400" t="b">
        <v>0</v>
      </c>
      <c r="M400">
        <v>12</v>
      </c>
      <c r="N400" t="s">
        <v>1168</v>
      </c>
      <c r="O400" s="1">
        <v>46282.832638888889</v>
      </c>
      <c r="P400" t="b">
        <v>0</v>
      </c>
      <c r="Q400" t="s">
        <v>1169</v>
      </c>
      <c r="R400" t="s">
        <v>1131</v>
      </c>
      <c r="S400" t="s">
        <v>1145</v>
      </c>
      <c r="T400" t="s">
        <v>1180</v>
      </c>
      <c r="U400" t="s">
        <v>1145</v>
      </c>
      <c r="V400" t="s">
        <v>1141</v>
      </c>
      <c r="W400" t="s">
        <v>1125</v>
      </c>
      <c r="X400">
        <v>19</v>
      </c>
      <c r="Y400" t="s">
        <v>1146</v>
      </c>
      <c r="Z400" t="s">
        <v>1127</v>
      </c>
      <c r="AA400">
        <v>2.666666666666667</v>
      </c>
    </row>
    <row r="401" spans="1:27" x14ac:dyDescent="0.3">
      <c r="A401" t="s">
        <v>450</v>
      </c>
      <c r="B401" t="s">
        <v>1288</v>
      </c>
      <c r="C401" t="s">
        <v>1074</v>
      </c>
      <c r="D401" t="s">
        <v>1136</v>
      </c>
      <c r="E401" t="s">
        <v>1117</v>
      </c>
      <c r="F401" s="1">
        <v>46282.897916666669</v>
      </c>
      <c r="G401" s="1">
        <v>46282.90347222222</v>
      </c>
      <c r="H401">
        <v>7</v>
      </c>
      <c r="I401">
        <v>8</v>
      </c>
      <c r="J401" t="b">
        <v>0</v>
      </c>
      <c r="K401" t="b">
        <v>0</v>
      </c>
      <c r="L401" t="b">
        <v>0</v>
      </c>
      <c r="M401">
        <v>12</v>
      </c>
      <c r="N401" t="s">
        <v>1168</v>
      </c>
      <c r="O401" s="1">
        <v>46282.832638888889</v>
      </c>
      <c r="P401" t="b">
        <v>0</v>
      </c>
      <c r="Q401" t="s">
        <v>1119</v>
      </c>
      <c r="R401" t="s">
        <v>1120</v>
      </c>
      <c r="S401" t="s">
        <v>1121</v>
      </c>
      <c r="T401" t="s">
        <v>1145</v>
      </c>
      <c r="U401" t="s">
        <v>1145</v>
      </c>
      <c r="V401" t="s">
        <v>1141</v>
      </c>
      <c r="W401" t="s">
        <v>1125</v>
      </c>
      <c r="X401">
        <v>19</v>
      </c>
      <c r="Y401" t="s">
        <v>1146</v>
      </c>
      <c r="Z401" t="s">
        <v>1127</v>
      </c>
      <c r="AA401">
        <v>1.142857142857143</v>
      </c>
    </row>
    <row r="402" spans="1:27" x14ac:dyDescent="0.3">
      <c r="A402" t="s">
        <v>447</v>
      </c>
      <c r="B402" t="s">
        <v>1288</v>
      </c>
      <c r="C402" t="s">
        <v>1080</v>
      </c>
      <c r="D402" t="s">
        <v>1136</v>
      </c>
      <c r="E402" t="s">
        <v>1301</v>
      </c>
      <c r="F402" s="1">
        <v>46282.944444444453</v>
      </c>
      <c r="G402" s="1">
        <v>46282.95</v>
      </c>
      <c r="H402">
        <v>5</v>
      </c>
      <c r="I402">
        <v>8</v>
      </c>
      <c r="J402" t="b">
        <v>0</v>
      </c>
      <c r="K402" t="b">
        <v>0</v>
      </c>
      <c r="L402" t="b">
        <v>0</v>
      </c>
      <c r="M402">
        <v>12</v>
      </c>
      <c r="N402" t="s">
        <v>1168</v>
      </c>
      <c r="O402" s="1">
        <v>46282.832638888889</v>
      </c>
      <c r="P402" t="b">
        <v>0</v>
      </c>
      <c r="Q402" t="s">
        <v>1169</v>
      </c>
      <c r="R402" t="s">
        <v>1131</v>
      </c>
      <c r="S402" t="s">
        <v>1145</v>
      </c>
      <c r="T402" t="s">
        <v>1122</v>
      </c>
      <c r="U402" t="s">
        <v>1247</v>
      </c>
      <c r="V402" t="s">
        <v>1141</v>
      </c>
      <c r="W402" t="s">
        <v>1125</v>
      </c>
      <c r="X402">
        <v>19</v>
      </c>
      <c r="Y402" t="s">
        <v>1146</v>
      </c>
      <c r="Z402" t="s">
        <v>1127</v>
      </c>
      <c r="AA402">
        <v>1.6</v>
      </c>
    </row>
    <row r="403" spans="1:27" x14ac:dyDescent="0.3">
      <c r="A403" t="s">
        <v>446</v>
      </c>
      <c r="B403" t="s">
        <v>1291</v>
      </c>
      <c r="C403" t="s">
        <v>1068</v>
      </c>
      <c r="D403" t="s">
        <v>1136</v>
      </c>
      <c r="E403" t="s">
        <v>1267</v>
      </c>
      <c r="F403" s="1">
        <v>46290.455555555563</v>
      </c>
      <c r="G403" s="1">
        <v>46290.461111111108</v>
      </c>
      <c r="H403">
        <v>6</v>
      </c>
      <c r="I403">
        <v>8</v>
      </c>
      <c r="J403" t="b">
        <v>0</v>
      </c>
      <c r="K403" t="b">
        <v>0</v>
      </c>
      <c r="L403" t="b">
        <v>0</v>
      </c>
      <c r="M403">
        <v>10</v>
      </c>
      <c r="N403" t="s">
        <v>1118</v>
      </c>
      <c r="O403" s="1">
        <v>46290.342361111107</v>
      </c>
      <c r="P403" t="b">
        <v>0</v>
      </c>
      <c r="Q403" t="s">
        <v>1151</v>
      </c>
      <c r="R403" t="s">
        <v>1145</v>
      </c>
      <c r="S403" t="s">
        <v>1121</v>
      </c>
      <c r="T403" t="s">
        <v>1122</v>
      </c>
      <c r="U403" t="s">
        <v>1123</v>
      </c>
      <c r="V403" t="s">
        <v>1141</v>
      </c>
      <c r="W403" t="s">
        <v>1125</v>
      </c>
      <c r="X403">
        <v>8</v>
      </c>
      <c r="Y403" t="s">
        <v>1142</v>
      </c>
      <c r="Z403" t="s">
        <v>1134</v>
      </c>
      <c r="AA403">
        <v>1.333333333333333</v>
      </c>
    </row>
    <row r="404" spans="1:27" x14ac:dyDescent="0.3">
      <c r="A404" t="s">
        <v>981</v>
      </c>
      <c r="B404" t="s">
        <v>1329</v>
      </c>
      <c r="C404" t="s">
        <v>1074</v>
      </c>
      <c r="D404" t="s">
        <v>1255</v>
      </c>
      <c r="E404" t="s">
        <v>1165</v>
      </c>
      <c r="F404" s="1">
        <v>46284.961111111108</v>
      </c>
      <c r="G404" s="1">
        <v>46284.966666666667</v>
      </c>
      <c r="H404">
        <v>4</v>
      </c>
      <c r="I404">
        <v>8</v>
      </c>
      <c r="J404" t="b">
        <v>0</v>
      </c>
      <c r="K404" t="b">
        <v>0</v>
      </c>
      <c r="L404" t="b">
        <v>0</v>
      </c>
      <c r="M404">
        <v>10</v>
      </c>
      <c r="N404" t="s">
        <v>1118</v>
      </c>
      <c r="O404" s="1">
        <v>46284.945833333331</v>
      </c>
      <c r="P404" t="b">
        <v>0</v>
      </c>
      <c r="Q404" t="s">
        <v>1138</v>
      </c>
      <c r="R404" t="s">
        <v>1120</v>
      </c>
      <c r="S404" t="s">
        <v>1152</v>
      </c>
      <c r="T404" t="s">
        <v>1145</v>
      </c>
      <c r="U404" t="s">
        <v>1145</v>
      </c>
      <c r="V404" t="s">
        <v>1141</v>
      </c>
      <c r="W404" t="s">
        <v>1257</v>
      </c>
      <c r="X404">
        <v>22</v>
      </c>
      <c r="Y404" t="s">
        <v>1173</v>
      </c>
      <c r="Z404" t="s">
        <v>1134</v>
      </c>
      <c r="AA404">
        <v>2</v>
      </c>
    </row>
    <row r="405" spans="1:27" x14ac:dyDescent="0.3">
      <c r="A405" t="s">
        <v>688</v>
      </c>
      <c r="B405" t="s">
        <v>1427</v>
      </c>
      <c r="C405" t="s">
        <v>1065</v>
      </c>
      <c r="D405" t="s">
        <v>1283</v>
      </c>
      <c r="E405" t="s">
        <v>1336</v>
      </c>
      <c r="F405" s="1">
        <v>46281.293055555558</v>
      </c>
      <c r="G405" s="1">
        <v>46281.298611111109</v>
      </c>
      <c r="H405">
        <v>7</v>
      </c>
      <c r="I405">
        <v>8</v>
      </c>
      <c r="J405" t="b">
        <v>0</v>
      </c>
      <c r="K405" t="b">
        <v>0</v>
      </c>
      <c r="L405" t="b">
        <v>0</v>
      </c>
      <c r="M405">
        <v>5</v>
      </c>
      <c r="N405" t="s">
        <v>1130</v>
      </c>
      <c r="O405" s="1">
        <v>46281.169444444437</v>
      </c>
      <c r="P405" t="b">
        <v>0</v>
      </c>
      <c r="Q405" t="s">
        <v>1179</v>
      </c>
      <c r="R405" t="s">
        <v>1120</v>
      </c>
      <c r="S405" t="s">
        <v>1152</v>
      </c>
      <c r="T405" t="s">
        <v>1180</v>
      </c>
      <c r="U405" t="s">
        <v>1247</v>
      </c>
      <c r="V405" t="s">
        <v>1284</v>
      </c>
      <c r="W405" t="s">
        <v>1131</v>
      </c>
      <c r="X405">
        <v>4</v>
      </c>
      <c r="Y405" t="s">
        <v>1161</v>
      </c>
      <c r="Z405" t="s">
        <v>1147</v>
      </c>
      <c r="AA405">
        <v>1.142857142857143</v>
      </c>
    </row>
    <row r="406" spans="1:27" x14ac:dyDescent="0.3">
      <c r="A406" t="s">
        <v>682</v>
      </c>
      <c r="B406" t="s">
        <v>1386</v>
      </c>
      <c r="C406" t="s">
        <v>1076</v>
      </c>
      <c r="D406" t="s">
        <v>1280</v>
      </c>
      <c r="E406" t="s">
        <v>1144</v>
      </c>
      <c r="F406" s="1">
        <v>46282.372916666667</v>
      </c>
      <c r="G406" s="1">
        <v>46282.378472222219</v>
      </c>
      <c r="H406">
        <v>3</v>
      </c>
      <c r="I406">
        <v>8</v>
      </c>
      <c r="J406" t="b">
        <v>0</v>
      </c>
      <c r="K406" t="b">
        <v>0</v>
      </c>
      <c r="L406" t="b">
        <v>0</v>
      </c>
      <c r="M406">
        <v>6</v>
      </c>
      <c r="N406" t="s">
        <v>1155</v>
      </c>
      <c r="O406" s="1">
        <v>46282.35</v>
      </c>
      <c r="P406" t="b">
        <v>0</v>
      </c>
      <c r="Q406" t="s">
        <v>1138</v>
      </c>
      <c r="R406" t="s">
        <v>1120</v>
      </c>
      <c r="S406" t="s">
        <v>1145</v>
      </c>
      <c r="T406" t="s">
        <v>1122</v>
      </c>
      <c r="U406" t="s">
        <v>1172</v>
      </c>
      <c r="V406" t="s">
        <v>1151</v>
      </c>
      <c r="W406" t="s">
        <v>1257</v>
      </c>
      <c r="X406">
        <v>8</v>
      </c>
      <c r="Y406" t="s">
        <v>1146</v>
      </c>
      <c r="Z406" t="s">
        <v>1134</v>
      </c>
      <c r="AA406">
        <v>2.666666666666667</v>
      </c>
    </row>
    <row r="407" spans="1:27" x14ac:dyDescent="0.3">
      <c r="A407" t="s">
        <v>675</v>
      </c>
      <c r="B407" t="s">
        <v>1242</v>
      </c>
      <c r="C407" t="s">
        <v>1063</v>
      </c>
      <c r="D407" t="s">
        <v>1149</v>
      </c>
      <c r="E407" t="s">
        <v>1184</v>
      </c>
      <c r="F407" s="1">
        <v>46273.054861111108</v>
      </c>
      <c r="G407" s="1">
        <v>46273.060416666667</v>
      </c>
      <c r="H407">
        <v>5</v>
      </c>
      <c r="I407">
        <v>8</v>
      </c>
      <c r="J407" t="b">
        <v>0</v>
      </c>
      <c r="K407" t="b">
        <v>0</v>
      </c>
      <c r="L407" t="b">
        <v>0</v>
      </c>
      <c r="M407">
        <v>10</v>
      </c>
      <c r="N407" t="s">
        <v>1168</v>
      </c>
      <c r="O407" s="1">
        <v>46273.044444444437</v>
      </c>
      <c r="P407" t="b">
        <v>0</v>
      </c>
      <c r="Q407" t="s">
        <v>1156</v>
      </c>
      <c r="R407" t="s">
        <v>1131</v>
      </c>
      <c r="S407" t="s">
        <v>1132</v>
      </c>
      <c r="T407" t="s">
        <v>1122</v>
      </c>
      <c r="U407" t="s">
        <v>1172</v>
      </c>
      <c r="V407" t="s">
        <v>1152</v>
      </c>
      <c r="W407" t="s">
        <v>1145</v>
      </c>
      <c r="X407">
        <v>1</v>
      </c>
      <c r="Y407" t="s">
        <v>1126</v>
      </c>
      <c r="Z407" t="s">
        <v>1134</v>
      </c>
      <c r="AA407">
        <v>1.6</v>
      </c>
    </row>
    <row r="408" spans="1:27" x14ac:dyDescent="0.3">
      <c r="A408" t="s">
        <v>673</v>
      </c>
      <c r="B408" t="s">
        <v>1242</v>
      </c>
      <c r="C408" t="s">
        <v>1085</v>
      </c>
      <c r="D408" t="s">
        <v>1238</v>
      </c>
      <c r="E408" t="s">
        <v>1261</v>
      </c>
      <c r="F408" s="1">
        <v>46273.088888888888</v>
      </c>
      <c r="G408" s="1">
        <v>46273.094444444447</v>
      </c>
      <c r="H408">
        <v>6</v>
      </c>
      <c r="I408">
        <v>8</v>
      </c>
      <c r="J408" t="b">
        <v>0</v>
      </c>
      <c r="K408" t="b">
        <v>0</v>
      </c>
      <c r="L408" t="b">
        <v>0</v>
      </c>
      <c r="M408">
        <v>10</v>
      </c>
      <c r="N408" t="s">
        <v>1168</v>
      </c>
      <c r="O408" s="1">
        <v>46273.044444444437</v>
      </c>
      <c r="P408" t="b">
        <v>0</v>
      </c>
      <c r="Q408" t="s">
        <v>1151</v>
      </c>
      <c r="R408" t="s">
        <v>1120</v>
      </c>
      <c r="S408" t="s">
        <v>1157</v>
      </c>
      <c r="T408" t="s">
        <v>1122</v>
      </c>
      <c r="U408" t="s">
        <v>1247</v>
      </c>
      <c r="V408" t="s">
        <v>1151</v>
      </c>
      <c r="W408" t="s">
        <v>1131</v>
      </c>
      <c r="X408">
        <v>1</v>
      </c>
      <c r="Y408" t="s">
        <v>1126</v>
      </c>
      <c r="Z408" t="s">
        <v>1134</v>
      </c>
      <c r="AA408">
        <v>1.333333333333333</v>
      </c>
    </row>
    <row r="409" spans="1:27" x14ac:dyDescent="0.3">
      <c r="A409" t="s">
        <v>243</v>
      </c>
      <c r="B409" t="s">
        <v>1428</v>
      </c>
      <c r="C409" t="s">
        <v>1081</v>
      </c>
      <c r="D409" t="s">
        <v>1116</v>
      </c>
      <c r="E409" t="s">
        <v>1332</v>
      </c>
      <c r="F409" s="1">
        <v>46283.310416666667</v>
      </c>
      <c r="G409" s="1">
        <v>46283.315972222219</v>
      </c>
      <c r="H409">
        <v>3</v>
      </c>
      <c r="I409">
        <v>8</v>
      </c>
      <c r="J409" t="b">
        <v>0</v>
      </c>
      <c r="K409" t="b">
        <v>0</v>
      </c>
      <c r="L409" t="b">
        <v>0</v>
      </c>
      <c r="M409">
        <v>20</v>
      </c>
      <c r="N409" t="s">
        <v>1130</v>
      </c>
      <c r="O409" s="1">
        <v>46283.30972222222</v>
      </c>
      <c r="P409" t="b">
        <v>0</v>
      </c>
      <c r="Q409" t="s">
        <v>1179</v>
      </c>
      <c r="R409" t="s">
        <v>1120</v>
      </c>
      <c r="S409" t="s">
        <v>1132</v>
      </c>
      <c r="T409" t="s">
        <v>1180</v>
      </c>
      <c r="U409" t="s">
        <v>1247</v>
      </c>
      <c r="V409" t="s">
        <v>1124</v>
      </c>
      <c r="W409" t="s">
        <v>1125</v>
      </c>
      <c r="X409">
        <v>7</v>
      </c>
      <c r="Y409" t="s">
        <v>1142</v>
      </c>
      <c r="Z409" t="s">
        <v>1127</v>
      </c>
      <c r="AA409">
        <v>2.666666666666667</v>
      </c>
    </row>
    <row r="410" spans="1:27" x14ac:dyDescent="0.3">
      <c r="A410" t="s">
        <v>740</v>
      </c>
      <c r="B410" t="s">
        <v>1352</v>
      </c>
      <c r="C410" t="s">
        <v>1080</v>
      </c>
      <c r="D410" t="s">
        <v>1255</v>
      </c>
      <c r="E410" t="s">
        <v>1129</v>
      </c>
      <c r="F410" s="1">
        <v>46277.4</v>
      </c>
      <c r="G410" s="1">
        <v>46277.405555555553</v>
      </c>
      <c r="H410">
        <v>6</v>
      </c>
      <c r="I410">
        <v>8</v>
      </c>
      <c r="J410" t="b">
        <v>0</v>
      </c>
      <c r="K410" t="b">
        <v>0</v>
      </c>
      <c r="L410" t="b">
        <v>0</v>
      </c>
      <c r="M410">
        <v>6</v>
      </c>
      <c r="N410" t="s">
        <v>1130</v>
      </c>
      <c r="O410" s="1">
        <v>46277.380555555559</v>
      </c>
      <c r="P410" t="b">
        <v>0</v>
      </c>
      <c r="Q410" t="s">
        <v>1119</v>
      </c>
      <c r="R410" t="s">
        <v>1131</v>
      </c>
      <c r="S410" t="s">
        <v>1132</v>
      </c>
      <c r="T410" t="s">
        <v>1122</v>
      </c>
      <c r="U410" t="s">
        <v>1247</v>
      </c>
      <c r="V410" t="s">
        <v>1141</v>
      </c>
      <c r="W410" t="s">
        <v>1257</v>
      </c>
      <c r="X410">
        <v>9</v>
      </c>
      <c r="Y410" t="s">
        <v>1173</v>
      </c>
      <c r="Z410" t="s">
        <v>1134</v>
      </c>
      <c r="AA410">
        <v>1.333333333333333</v>
      </c>
    </row>
    <row r="411" spans="1:27" x14ac:dyDescent="0.3">
      <c r="A411" t="s">
        <v>738</v>
      </c>
      <c r="B411" t="s">
        <v>1268</v>
      </c>
      <c r="C411" t="s">
        <v>1058</v>
      </c>
      <c r="D411" t="s">
        <v>1149</v>
      </c>
      <c r="E411" t="s">
        <v>1371</v>
      </c>
      <c r="F411" s="1">
        <v>46270.084027777782</v>
      </c>
      <c r="G411" s="1">
        <v>46270.089583333327</v>
      </c>
      <c r="H411">
        <v>1</v>
      </c>
      <c r="I411">
        <v>8</v>
      </c>
      <c r="J411" t="b">
        <v>0</v>
      </c>
      <c r="K411" t="b">
        <v>0</v>
      </c>
      <c r="L411" t="b">
        <v>0</v>
      </c>
      <c r="M411">
        <v>4</v>
      </c>
      <c r="N411" t="s">
        <v>1130</v>
      </c>
      <c r="O411" s="1">
        <v>46269.984722222223</v>
      </c>
      <c r="P411" t="b">
        <v>0</v>
      </c>
      <c r="Q411" t="s">
        <v>1138</v>
      </c>
      <c r="R411" t="s">
        <v>1131</v>
      </c>
      <c r="S411" t="s">
        <v>1157</v>
      </c>
      <c r="T411" t="s">
        <v>1122</v>
      </c>
      <c r="U411" t="s">
        <v>1145</v>
      </c>
      <c r="V411" t="s">
        <v>1152</v>
      </c>
      <c r="W411" t="s">
        <v>1145</v>
      </c>
      <c r="X411">
        <v>23</v>
      </c>
      <c r="Y411" t="s">
        <v>1142</v>
      </c>
      <c r="Z411" t="s">
        <v>1147</v>
      </c>
      <c r="AA411">
        <v>8</v>
      </c>
    </row>
    <row r="412" spans="1:27" x14ac:dyDescent="0.3">
      <c r="A412" t="s">
        <v>269</v>
      </c>
      <c r="B412" t="s">
        <v>1201</v>
      </c>
      <c r="C412" t="s">
        <v>1060</v>
      </c>
      <c r="D412" t="s">
        <v>1255</v>
      </c>
      <c r="E412" t="s">
        <v>1305</v>
      </c>
      <c r="F412" s="1">
        <v>46286.86041666667</v>
      </c>
      <c r="G412" s="1">
        <v>46286.865972222222</v>
      </c>
      <c r="H412">
        <v>3</v>
      </c>
      <c r="I412">
        <v>8</v>
      </c>
      <c r="J412" t="b">
        <v>0</v>
      </c>
      <c r="K412" t="b">
        <v>0</v>
      </c>
      <c r="L412" t="b">
        <v>0</v>
      </c>
      <c r="M412">
        <v>10</v>
      </c>
      <c r="N412" t="s">
        <v>1130</v>
      </c>
      <c r="O412" s="1">
        <v>46286.793055555558</v>
      </c>
      <c r="P412" t="b">
        <v>0</v>
      </c>
      <c r="Q412" t="s">
        <v>1156</v>
      </c>
      <c r="R412" t="s">
        <v>1131</v>
      </c>
      <c r="S412" t="s">
        <v>1157</v>
      </c>
      <c r="T412" t="s">
        <v>1140</v>
      </c>
      <c r="U412" t="s">
        <v>1145</v>
      </c>
      <c r="V412" t="s">
        <v>1141</v>
      </c>
      <c r="W412" t="s">
        <v>1257</v>
      </c>
      <c r="X412">
        <v>19</v>
      </c>
      <c r="Y412" t="s">
        <v>1185</v>
      </c>
      <c r="Z412" t="s">
        <v>1134</v>
      </c>
      <c r="AA412">
        <v>2.666666666666667</v>
      </c>
    </row>
    <row r="413" spans="1:27" x14ac:dyDescent="0.3">
      <c r="A413" t="s">
        <v>477</v>
      </c>
      <c r="B413" t="s">
        <v>1183</v>
      </c>
      <c r="C413" t="s">
        <v>1063</v>
      </c>
      <c r="D413" t="s">
        <v>1136</v>
      </c>
      <c r="E413" t="s">
        <v>1261</v>
      </c>
      <c r="F413" s="1">
        <v>46293.447222222218</v>
      </c>
      <c r="G413" s="1">
        <v>46293.452777777777</v>
      </c>
      <c r="H413">
        <v>1</v>
      </c>
      <c r="I413">
        <v>8</v>
      </c>
      <c r="J413" t="b">
        <v>0</v>
      </c>
      <c r="K413" t="b">
        <v>0</v>
      </c>
      <c r="L413" t="b">
        <v>0</v>
      </c>
      <c r="M413">
        <v>4</v>
      </c>
      <c r="N413" t="s">
        <v>1155</v>
      </c>
      <c r="O413" s="1">
        <v>46293.443749999999</v>
      </c>
      <c r="P413" t="b">
        <v>0</v>
      </c>
      <c r="Q413" t="s">
        <v>1151</v>
      </c>
      <c r="R413" t="s">
        <v>1120</v>
      </c>
      <c r="S413" t="s">
        <v>1157</v>
      </c>
      <c r="T413" t="s">
        <v>1122</v>
      </c>
      <c r="U413" t="s">
        <v>1172</v>
      </c>
      <c r="V413" t="s">
        <v>1141</v>
      </c>
      <c r="W413" t="s">
        <v>1125</v>
      </c>
      <c r="X413">
        <v>10</v>
      </c>
      <c r="Y413" t="s">
        <v>1185</v>
      </c>
      <c r="Z413" t="s">
        <v>1147</v>
      </c>
      <c r="AA413">
        <v>8</v>
      </c>
    </row>
    <row r="414" spans="1:27" x14ac:dyDescent="0.3">
      <c r="A414" t="s">
        <v>470</v>
      </c>
      <c r="B414" t="s">
        <v>1429</v>
      </c>
      <c r="C414" t="s">
        <v>1073</v>
      </c>
      <c r="D414" t="s">
        <v>1280</v>
      </c>
      <c r="E414" t="s">
        <v>1198</v>
      </c>
      <c r="F414" s="1">
        <v>46292.220138888893</v>
      </c>
      <c r="G414" s="1">
        <v>46292.225694444453</v>
      </c>
      <c r="H414">
        <v>5</v>
      </c>
      <c r="I414">
        <v>8</v>
      </c>
      <c r="J414" t="b">
        <v>0</v>
      </c>
      <c r="K414" t="b">
        <v>0</v>
      </c>
      <c r="L414" t="b">
        <v>0</v>
      </c>
      <c r="M414">
        <v>2</v>
      </c>
      <c r="N414" t="s">
        <v>1130</v>
      </c>
      <c r="O414" s="1">
        <v>46292.209027777782</v>
      </c>
      <c r="P414" t="b">
        <v>0</v>
      </c>
      <c r="Q414" t="s">
        <v>1169</v>
      </c>
      <c r="R414" t="s">
        <v>1131</v>
      </c>
      <c r="S414" t="s">
        <v>1145</v>
      </c>
      <c r="T414" t="s">
        <v>1122</v>
      </c>
      <c r="U414" t="s">
        <v>1247</v>
      </c>
      <c r="V414" t="s">
        <v>1151</v>
      </c>
      <c r="W414" t="s">
        <v>1257</v>
      </c>
      <c r="X414">
        <v>5</v>
      </c>
      <c r="Y414" t="s">
        <v>1133</v>
      </c>
      <c r="Z414" t="s">
        <v>1147</v>
      </c>
      <c r="AA414">
        <v>1.6</v>
      </c>
    </row>
    <row r="415" spans="1:27" x14ac:dyDescent="0.3">
      <c r="A415" t="s">
        <v>467</v>
      </c>
      <c r="B415" t="s">
        <v>1430</v>
      </c>
      <c r="C415" t="s">
        <v>1069</v>
      </c>
      <c r="D415" t="s">
        <v>1149</v>
      </c>
      <c r="E415" t="s">
        <v>1129</v>
      </c>
      <c r="F415" s="1">
        <v>46289.599999999999</v>
      </c>
      <c r="G415" s="1">
        <v>46289.605555555558</v>
      </c>
      <c r="H415">
        <v>2</v>
      </c>
      <c r="I415">
        <v>8</v>
      </c>
      <c r="J415" t="b">
        <v>0</v>
      </c>
      <c r="K415" t="b">
        <v>0</v>
      </c>
      <c r="L415" t="b">
        <v>0</v>
      </c>
      <c r="M415">
        <v>3</v>
      </c>
      <c r="N415" t="s">
        <v>1130</v>
      </c>
      <c r="O415" s="1">
        <v>46289.537499999999</v>
      </c>
      <c r="P415" t="b">
        <v>0</v>
      </c>
      <c r="Q415" t="s">
        <v>1119</v>
      </c>
      <c r="R415" t="s">
        <v>1131</v>
      </c>
      <c r="S415" t="s">
        <v>1132</v>
      </c>
      <c r="T415" t="s">
        <v>1140</v>
      </c>
      <c r="U415" t="s">
        <v>1172</v>
      </c>
      <c r="V415" t="s">
        <v>1152</v>
      </c>
      <c r="W415" t="s">
        <v>1145</v>
      </c>
      <c r="X415">
        <v>12</v>
      </c>
      <c r="Y415" t="s">
        <v>1146</v>
      </c>
      <c r="Z415" t="s">
        <v>1147</v>
      </c>
      <c r="AA415">
        <v>4</v>
      </c>
    </row>
    <row r="416" spans="1:27" x14ac:dyDescent="0.3">
      <c r="A416" t="s">
        <v>99</v>
      </c>
      <c r="B416" t="s">
        <v>1419</v>
      </c>
      <c r="C416" t="s">
        <v>1062</v>
      </c>
      <c r="D416" t="s">
        <v>1283</v>
      </c>
      <c r="E416" t="s">
        <v>1287</v>
      </c>
      <c r="F416" s="1">
        <v>46280.67083333333</v>
      </c>
      <c r="G416" s="1">
        <v>46280.676388888889</v>
      </c>
      <c r="H416">
        <v>3</v>
      </c>
      <c r="I416">
        <v>8</v>
      </c>
      <c r="J416" t="b">
        <v>0</v>
      </c>
      <c r="K416" t="b">
        <v>0</v>
      </c>
      <c r="L416" t="b">
        <v>0</v>
      </c>
      <c r="N416" t="s">
        <v>1118</v>
      </c>
      <c r="O416" s="1">
        <v>46280.645138888889</v>
      </c>
      <c r="P416" t="b">
        <v>1</v>
      </c>
      <c r="Q416" t="s">
        <v>1179</v>
      </c>
      <c r="R416" t="s">
        <v>1120</v>
      </c>
      <c r="S416" t="s">
        <v>1145</v>
      </c>
      <c r="T416" t="s">
        <v>1122</v>
      </c>
      <c r="U416" t="s">
        <v>1123</v>
      </c>
      <c r="V416" t="s">
        <v>1284</v>
      </c>
      <c r="W416" t="s">
        <v>1131</v>
      </c>
      <c r="X416">
        <v>15</v>
      </c>
      <c r="Y416" t="s">
        <v>1126</v>
      </c>
      <c r="AA416">
        <v>2.666666666666667</v>
      </c>
    </row>
    <row r="417" spans="1:27" x14ac:dyDescent="0.3">
      <c r="A417" t="s">
        <v>254</v>
      </c>
      <c r="B417" t="s">
        <v>1431</v>
      </c>
      <c r="C417" t="s">
        <v>1061</v>
      </c>
      <c r="D417" t="s">
        <v>1280</v>
      </c>
      <c r="E417" t="s">
        <v>1237</v>
      </c>
      <c r="F417" s="1">
        <v>46276.813194444447</v>
      </c>
      <c r="G417" s="1">
        <v>46276.818749999999</v>
      </c>
      <c r="H417">
        <v>6</v>
      </c>
      <c r="I417">
        <v>8</v>
      </c>
      <c r="J417" t="b">
        <v>0</v>
      </c>
      <c r="K417" t="b">
        <v>0</v>
      </c>
      <c r="L417" t="b">
        <v>0</v>
      </c>
      <c r="M417">
        <v>6</v>
      </c>
      <c r="N417" t="s">
        <v>1118</v>
      </c>
      <c r="O417" s="1">
        <v>46276.694444444453</v>
      </c>
      <c r="P417" t="b">
        <v>0</v>
      </c>
      <c r="Q417" t="s">
        <v>1151</v>
      </c>
      <c r="R417" t="s">
        <v>1120</v>
      </c>
      <c r="S417" t="s">
        <v>1152</v>
      </c>
      <c r="T417" t="s">
        <v>1145</v>
      </c>
      <c r="U417" t="s">
        <v>1172</v>
      </c>
      <c r="V417" t="s">
        <v>1151</v>
      </c>
      <c r="W417" t="s">
        <v>1257</v>
      </c>
      <c r="X417">
        <v>16</v>
      </c>
      <c r="Y417" t="s">
        <v>1142</v>
      </c>
      <c r="Z417" t="s">
        <v>1134</v>
      </c>
      <c r="AA417">
        <v>1.333333333333333</v>
      </c>
    </row>
    <row r="418" spans="1:27" x14ac:dyDescent="0.3">
      <c r="A418" t="s">
        <v>249</v>
      </c>
      <c r="B418" t="s">
        <v>1432</v>
      </c>
      <c r="C418" t="s">
        <v>1064</v>
      </c>
      <c r="D418" t="s">
        <v>1339</v>
      </c>
      <c r="E418" t="s">
        <v>1192</v>
      </c>
      <c r="F418" s="1">
        <v>46276.066666666673</v>
      </c>
      <c r="G418" s="1">
        <v>46276.072222222218</v>
      </c>
      <c r="H418">
        <v>7</v>
      </c>
      <c r="I418">
        <v>8</v>
      </c>
      <c r="J418" t="b">
        <v>0</v>
      </c>
      <c r="K418" t="b">
        <v>0</v>
      </c>
      <c r="L418" t="b">
        <v>0</v>
      </c>
      <c r="M418">
        <v>10</v>
      </c>
      <c r="N418" t="s">
        <v>1118</v>
      </c>
      <c r="O418" s="1">
        <v>46276.001388888893</v>
      </c>
      <c r="P418" t="b">
        <v>0</v>
      </c>
      <c r="Q418" t="s">
        <v>1151</v>
      </c>
      <c r="R418" t="s">
        <v>1139</v>
      </c>
      <c r="S418" t="s">
        <v>1132</v>
      </c>
      <c r="T418" t="s">
        <v>1122</v>
      </c>
      <c r="U418" t="s">
        <v>1123</v>
      </c>
      <c r="V418" t="s">
        <v>1284</v>
      </c>
      <c r="W418" t="s">
        <v>1257</v>
      </c>
      <c r="X418">
        <v>0</v>
      </c>
      <c r="Y418" t="s">
        <v>1142</v>
      </c>
      <c r="Z418" t="s">
        <v>1134</v>
      </c>
      <c r="AA418">
        <v>1.142857142857143</v>
      </c>
    </row>
    <row r="419" spans="1:27" x14ac:dyDescent="0.3">
      <c r="A419" t="s">
        <v>671</v>
      </c>
      <c r="B419" t="s">
        <v>1242</v>
      </c>
      <c r="C419" t="s">
        <v>1081</v>
      </c>
      <c r="D419" t="s">
        <v>1136</v>
      </c>
      <c r="E419" t="s">
        <v>1210</v>
      </c>
      <c r="F419" s="1">
        <v>46273.057638888888</v>
      </c>
      <c r="G419" s="1">
        <v>46273.063194444447</v>
      </c>
      <c r="H419">
        <v>1</v>
      </c>
      <c r="I419">
        <v>8</v>
      </c>
      <c r="J419" t="b">
        <v>0</v>
      </c>
      <c r="K419" t="b">
        <v>0</v>
      </c>
      <c r="L419" t="b">
        <v>0</v>
      </c>
      <c r="M419">
        <v>10</v>
      </c>
      <c r="N419" t="s">
        <v>1168</v>
      </c>
      <c r="O419" s="1">
        <v>46273.044444444437</v>
      </c>
      <c r="P419" t="b">
        <v>0</v>
      </c>
      <c r="Q419" t="s">
        <v>1151</v>
      </c>
      <c r="R419" t="s">
        <v>1131</v>
      </c>
      <c r="S419" t="s">
        <v>1157</v>
      </c>
      <c r="T419" t="s">
        <v>1180</v>
      </c>
      <c r="U419" t="s">
        <v>1247</v>
      </c>
      <c r="V419" t="s">
        <v>1141</v>
      </c>
      <c r="W419" t="s">
        <v>1125</v>
      </c>
      <c r="X419">
        <v>1</v>
      </c>
      <c r="Y419" t="s">
        <v>1126</v>
      </c>
      <c r="Z419" t="s">
        <v>1134</v>
      </c>
      <c r="AA419">
        <v>8</v>
      </c>
    </row>
    <row r="420" spans="1:27" x14ac:dyDescent="0.3">
      <c r="A420" t="s">
        <v>669</v>
      </c>
      <c r="B420" t="s">
        <v>1400</v>
      </c>
      <c r="C420" t="s">
        <v>1078</v>
      </c>
      <c r="D420" t="s">
        <v>1255</v>
      </c>
      <c r="E420" t="s">
        <v>1237</v>
      </c>
      <c r="F420" s="1">
        <v>46272.768750000003</v>
      </c>
      <c r="G420" s="1">
        <v>46272.774305555547</v>
      </c>
      <c r="H420">
        <v>1</v>
      </c>
      <c r="I420">
        <v>8</v>
      </c>
      <c r="J420" t="b">
        <v>0</v>
      </c>
      <c r="K420" t="b">
        <v>0</v>
      </c>
      <c r="L420" t="b">
        <v>0</v>
      </c>
      <c r="M420">
        <v>8</v>
      </c>
      <c r="N420" t="s">
        <v>1155</v>
      </c>
      <c r="O420" s="1">
        <v>46272.688888888893</v>
      </c>
      <c r="P420" t="b">
        <v>0</v>
      </c>
      <c r="Q420" t="s">
        <v>1151</v>
      </c>
      <c r="R420" t="s">
        <v>1120</v>
      </c>
      <c r="S420" t="s">
        <v>1152</v>
      </c>
      <c r="T420" t="s">
        <v>1145</v>
      </c>
      <c r="U420" t="s">
        <v>1172</v>
      </c>
      <c r="V420" t="s">
        <v>1141</v>
      </c>
      <c r="W420" t="s">
        <v>1257</v>
      </c>
      <c r="X420">
        <v>16</v>
      </c>
      <c r="Y420" t="s">
        <v>1185</v>
      </c>
      <c r="Z420" t="s">
        <v>1134</v>
      </c>
      <c r="AA420">
        <v>8</v>
      </c>
    </row>
    <row r="421" spans="1:27" x14ac:dyDescent="0.3">
      <c r="A421" t="s">
        <v>668</v>
      </c>
      <c r="B421" t="s">
        <v>1400</v>
      </c>
      <c r="C421" t="s">
        <v>1059</v>
      </c>
      <c r="D421" t="s">
        <v>1255</v>
      </c>
      <c r="E421" t="s">
        <v>1253</v>
      </c>
      <c r="F421" s="1">
        <v>46272.799305555563</v>
      </c>
      <c r="G421" s="1">
        <v>46272.804861111108</v>
      </c>
      <c r="H421">
        <v>2</v>
      </c>
      <c r="I421">
        <v>8</v>
      </c>
      <c r="J421" t="b">
        <v>0</v>
      </c>
      <c r="K421" t="b">
        <v>0</v>
      </c>
      <c r="L421" t="b">
        <v>0</v>
      </c>
      <c r="M421">
        <v>8</v>
      </c>
      <c r="N421" t="s">
        <v>1155</v>
      </c>
      <c r="O421" s="1">
        <v>46272.688888888893</v>
      </c>
      <c r="P421" t="b">
        <v>0</v>
      </c>
      <c r="Q421" t="s">
        <v>1156</v>
      </c>
      <c r="R421" t="s">
        <v>1139</v>
      </c>
      <c r="S421" t="s">
        <v>1121</v>
      </c>
      <c r="T421" t="s">
        <v>1122</v>
      </c>
      <c r="U421" t="s">
        <v>1172</v>
      </c>
      <c r="V421" t="s">
        <v>1141</v>
      </c>
      <c r="W421" t="s">
        <v>1257</v>
      </c>
      <c r="X421">
        <v>16</v>
      </c>
      <c r="Y421" t="s">
        <v>1185</v>
      </c>
      <c r="Z421" t="s">
        <v>1134</v>
      </c>
      <c r="AA421">
        <v>4</v>
      </c>
    </row>
    <row r="422" spans="1:27" x14ac:dyDescent="0.3">
      <c r="A422" t="s">
        <v>665</v>
      </c>
      <c r="B422" t="s">
        <v>1341</v>
      </c>
      <c r="C422" t="s">
        <v>1062</v>
      </c>
      <c r="D422" t="s">
        <v>1238</v>
      </c>
      <c r="E422" t="s">
        <v>1383</v>
      </c>
      <c r="F422" s="1">
        <v>46294.084027777782</v>
      </c>
      <c r="G422" s="1">
        <v>46294.089583333327</v>
      </c>
      <c r="H422">
        <v>3</v>
      </c>
      <c r="I422">
        <v>8</v>
      </c>
      <c r="J422" t="b">
        <v>0</v>
      </c>
      <c r="K422" t="b">
        <v>0</v>
      </c>
      <c r="L422" t="b">
        <v>0</v>
      </c>
      <c r="M422">
        <v>4</v>
      </c>
      <c r="N422" t="s">
        <v>1130</v>
      </c>
      <c r="O422" s="1">
        <v>46293.981944444437</v>
      </c>
      <c r="P422" t="b">
        <v>0</v>
      </c>
      <c r="Q422" t="s">
        <v>1119</v>
      </c>
      <c r="R422" t="s">
        <v>1131</v>
      </c>
      <c r="S422" t="s">
        <v>1132</v>
      </c>
      <c r="T422" t="s">
        <v>1122</v>
      </c>
      <c r="U422" t="s">
        <v>1123</v>
      </c>
      <c r="V422" t="s">
        <v>1151</v>
      </c>
      <c r="W422" t="s">
        <v>1131</v>
      </c>
      <c r="X422">
        <v>23</v>
      </c>
      <c r="Y422" t="s">
        <v>1185</v>
      </c>
      <c r="Z422" t="s">
        <v>1147</v>
      </c>
      <c r="AA422">
        <v>2.666666666666667</v>
      </c>
    </row>
    <row r="423" spans="1:27" x14ac:dyDescent="0.3">
      <c r="A423" t="s">
        <v>657</v>
      </c>
      <c r="B423" t="s">
        <v>1353</v>
      </c>
      <c r="C423" t="s">
        <v>1063</v>
      </c>
      <c r="D423" t="s">
        <v>1283</v>
      </c>
      <c r="E423" t="s">
        <v>1332</v>
      </c>
      <c r="F423" s="1">
        <v>46291.363888888889</v>
      </c>
      <c r="G423" s="1">
        <v>46291.369444444441</v>
      </c>
      <c r="H423">
        <v>7</v>
      </c>
      <c r="I423">
        <v>8</v>
      </c>
      <c r="J423" t="b">
        <v>0</v>
      </c>
      <c r="K423" t="b">
        <v>0</v>
      </c>
      <c r="L423" t="b">
        <v>0</v>
      </c>
      <c r="M423">
        <v>8</v>
      </c>
      <c r="N423" t="s">
        <v>1118</v>
      </c>
      <c r="O423" s="1">
        <v>46291.306944444441</v>
      </c>
      <c r="P423" t="b">
        <v>0</v>
      </c>
      <c r="Q423" t="s">
        <v>1179</v>
      </c>
      <c r="R423" t="s">
        <v>1120</v>
      </c>
      <c r="S423" t="s">
        <v>1132</v>
      </c>
      <c r="T423" t="s">
        <v>1122</v>
      </c>
      <c r="U423" t="s">
        <v>1172</v>
      </c>
      <c r="V423" t="s">
        <v>1284</v>
      </c>
      <c r="W423" t="s">
        <v>1131</v>
      </c>
      <c r="X423">
        <v>7</v>
      </c>
      <c r="Y423" t="s">
        <v>1173</v>
      </c>
      <c r="Z423" t="s">
        <v>1134</v>
      </c>
      <c r="AA423">
        <v>1.142857142857143</v>
      </c>
    </row>
    <row r="424" spans="1:27" x14ac:dyDescent="0.3">
      <c r="A424" t="s">
        <v>954</v>
      </c>
      <c r="B424" t="s">
        <v>1263</v>
      </c>
      <c r="C424" t="s">
        <v>1088</v>
      </c>
      <c r="D424" t="s">
        <v>1136</v>
      </c>
      <c r="E424" t="s">
        <v>1299</v>
      </c>
      <c r="F424" s="1">
        <v>46269.317361111112</v>
      </c>
      <c r="G424" s="1">
        <v>46269.322916666657</v>
      </c>
      <c r="H424">
        <v>3</v>
      </c>
      <c r="I424">
        <v>8</v>
      </c>
      <c r="J424" t="b">
        <v>0</v>
      </c>
      <c r="K424" t="b">
        <v>0</v>
      </c>
      <c r="L424" t="b">
        <v>0</v>
      </c>
      <c r="M424">
        <v>8</v>
      </c>
      <c r="N424" t="s">
        <v>1118</v>
      </c>
      <c r="O424" s="1">
        <v>46269.193055555559</v>
      </c>
      <c r="P424" t="b">
        <v>0</v>
      </c>
      <c r="Q424" t="s">
        <v>1156</v>
      </c>
      <c r="R424" t="s">
        <v>1120</v>
      </c>
      <c r="S424" t="s">
        <v>1121</v>
      </c>
      <c r="T424" t="s">
        <v>1140</v>
      </c>
      <c r="U424" t="s">
        <v>1123</v>
      </c>
      <c r="V424" t="s">
        <v>1141</v>
      </c>
      <c r="W424" t="s">
        <v>1125</v>
      </c>
      <c r="X424">
        <v>4</v>
      </c>
      <c r="Y424" t="s">
        <v>1142</v>
      </c>
      <c r="Z424" t="s">
        <v>1134</v>
      </c>
      <c r="AA424">
        <v>2.666666666666667</v>
      </c>
    </row>
    <row r="425" spans="1:27" x14ac:dyDescent="0.3">
      <c r="A425" t="s">
        <v>949</v>
      </c>
      <c r="B425" t="s">
        <v>1262</v>
      </c>
      <c r="C425" t="s">
        <v>1064</v>
      </c>
      <c r="D425" t="s">
        <v>1280</v>
      </c>
      <c r="E425" t="s">
        <v>1346</v>
      </c>
      <c r="F425" s="1">
        <v>46285.539583333331</v>
      </c>
      <c r="G425" s="1">
        <v>46285.545138888891</v>
      </c>
      <c r="H425">
        <v>5</v>
      </c>
      <c r="I425">
        <v>8</v>
      </c>
      <c r="J425" t="b">
        <v>0</v>
      </c>
      <c r="K425" t="b">
        <v>0</v>
      </c>
      <c r="L425" t="b">
        <v>0</v>
      </c>
      <c r="M425">
        <v>8</v>
      </c>
      <c r="N425" t="s">
        <v>1168</v>
      </c>
      <c r="O425" s="1">
        <v>46285.46875</v>
      </c>
      <c r="P425" t="b">
        <v>0</v>
      </c>
      <c r="Q425" t="s">
        <v>1179</v>
      </c>
      <c r="R425" t="s">
        <v>1120</v>
      </c>
      <c r="S425" t="s">
        <v>1121</v>
      </c>
      <c r="T425" t="s">
        <v>1122</v>
      </c>
      <c r="U425" t="s">
        <v>1123</v>
      </c>
      <c r="V425" t="s">
        <v>1151</v>
      </c>
      <c r="W425" t="s">
        <v>1257</v>
      </c>
      <c r="X425">
        <v>11</v>
      </c>
      <c r="Y425" t="s">
        <v>1133</v>
      </c>
      <c r="Z425" t="s">
        <v>1134</v>
      </c>
      <c r="AA425">
        <v>1.6</v>
      </c>
    </row>
    <row r="426" spans="1:27" x14ac:dyDescent="0.3">
      <c r="A426" t="s">
        <v>945</v>
      </c>
      <c r="B426" t="s">
        <v>1262</v>
      </c>
      <c r="C426" t="s">
        <v>1074</v>
      </c>
      <c r="D426" t="s">
        <v>1238</v>
      </c>
      <c r="E426" t="s">
        <v>1233</v>
      </c>
      <c r="F426" s="1">
        <v>46285.537499999999</v>
      </c>
      <c r="G426" s="1">
        <v>46285.543055555558</v>
      </c>
      <c r="H426">
        <v>1</v>
      </c>
      <c r="I426">
        <v>8</v>
      </c>
      <c r="J426" t="b">
        <v>0</v>
      </c>
      <c r="K426" t="b">
        <v>0</v>
      </c>
      <c r="L426" t="b">
        <v>0</v>
      </c>
      <c r="M426">
        <v>8</v>
      </c>
      <c r="N426" t="s">
        <v>1168</v>
      </c>
      <c r="O426" s="1">
        <v>46285.46875</v>
      </c>
      <c r="P426" t="b">
        <v>0</v>
      </c>
      <c r="Q426" t="s">
        <v>1179</v>
      </c>
      <c r="R426" t="s">
        <v>1120</v>
      </c>
      <c r="S426" t="s">
        <v>1132</v>
      </c>
      <c r="T426" t="s">
        <v>1145</v>
      </c>
      <c r="U426" t="s">
        <v>1145</v>
      </c>
      <c r="V426" t="s">
        <v>1151</v>
      </c>
      <c r="W426" t="s">
        <v>1131</v>
      </c>
      <c r="X426">
        <v>11</v>
      </c>
      <c r="Y426" t="s">
        <v>1133</v>
      </c>
      <c r="Z426" t="s">
        <v>1134</v>
      </c>
      <c r="AA426">
        <v>8</v>
      </c>
    </row>
    <row r="427" spans="1:27" x14ac:dyDescent="0.3">
      <c r="A427" t="s">
        <v>114</v>
      </c>
      <c r="B427" t="s">
        <v>1320</v>
      </c>
      <c r="C427" t="s">
        <v>1072</v>
      </c>
      <c r="D427" t="s">
        <v>1255</v>
      </c>
      <c r="E427" t="s">
        <v>1364</v>
      </c>
      <c r="F427" s="1">
        <v>46270.72152777778</v>
      </c>
      <c r="G427" s="1">
        <v>46270.727083333331</v>
      </c>
      <c r="H427">
        <v>6</v>
      </c>
      <c r="I427">
        <v>8</v>
      </c>
      <c r="J427" t="b">
        <v>0</v>
      </c>
      <c r="K427" t="b">
        <v>0</v>
      </c>
      <c r="L427" t="b">
        <v>0</v>
      </c>
      <c r="M427">
        <v>6</v>
      </c>
      <c r="N427" t="s">
        <v>1155</v>
      </c>
      <c r="O427" s="1">
        <v>46270.611111111109</v>
      </c>
      <c r="P427" t="b">
        <v>0</v>
      </c>
      <c r="Q427" t="s">
        <v>1179</v>
      </c>
      <c r="R427" t="s">
        <v>1139</v>
      </c>
      <c r="S427" t="s">
        <v>1121</v>
      </c>
      <c r="T427" t="s">
        <v>1180</v>
      </c>
      <c r="U427" t="s">
        <v>1172</v>
      </c>
      <c r="V427" t="s">
        <v>1141</v>
      </c>
      <c r="W427" t="s">
        <v>1257</v>
      </c>
      <c r="X427">
        <v>14</v>
      </c>
      <c r="Y427" t="s">
        <v>1173</v>
      </c>
      <c r="Z427" t="s">
        <v>1134</v>
      </c>
      <c r="AA427">
        <v>1.333333333333333</v>
      </c>
    </row>
    <row r="428" spans="1:27" x14ac:dyDescent="0.3">
      <c r="A428" t="s">
        <v>767</v>
      </c>
      <c r="B428" t="s">
        <v>1375</v>
      </c>
      <c r="C428" t="s">
        <v>1076</v>
      </c>
      <c r="D428" t="s">
        <v>1339</v>
      </c>
      <c r="E428" t="s">
        <v>1364</v>
      </c>
      <c r="F428" s="1">
        <v>46267.313194444447</v>
      </c>
      <c r="G428" s="1">
        <v>46267.318749999999</v>
      </c>
      <c r="H428">
        <v>6</v>
      </c>
      <c r="I428">
        <v>8</v>
      </c>
      <c r="J428" t="b">
        <v>0</v>
      </c>
      <c r="K428" t="b">
        <v>0</v>
      </c>
      <c r="L428" t="b">
        <v>0</v>
      </c>
      <c r="M428">
        <v>8</v>
      </c>
      <c r="N428" t="s">
        <v>1130</v>
      </c>
      <c r="O428" s="1">
        <v>46267.217361111107</v>
      </c>
      <c r="P428" t="b">
        <v>0</v>
      </c>
      <c r="Q428" t="s">
        <v>1179</v>
      </c>
      <c r="R428" t="s">
        <v>1139</v>
      </c>
      <c r="S428" t="s">
        <v>1121</v>
      </c>
      <c r="T428" t="s">
        <v>1122</v>
      </c>
      <c r="U428" t="s">
        <v>1172</v>
      </c>
      <c r="V428" t="s">
        <v>1284</v>
      </c>
      <c r="W428" t="s">
        <v>1257</v>
      </c>
      <c r="X428">
        <v>5</v>
      </c>
      <c r="Y428" t="s">
        <v>1161</v>
      </c>
      <c r="Z428" t="s">
        <v>1134</v>
      </c>
      <c r="AA428">
        <v>1.333333333333333</v>
      </c>
    </row>
    <row r="429" spans="1:27" x14ac:dyDescent="0.3">
      <c r="A429" t="s">
        <v>293</v>
      </c>
      <c r="B429" t="s">
        <v>1433</v>
      </c>
      <c r="C429" t="s">
        <v>1085</v>
      </c>
      <c r="D429" t="s">
        <v>1116</v>
      </c>
      <c r="E429" t="s">
        <v>1366</v>
      </c>
      <c r="F429" s="1">
        <v>46275.470138888893</v>
      </c>
      <c r="G429" s="1">
        <v>46275.475694444453</v>
      </c>
      <c r="H429">
        <v>1</v>
      </c>
      <c r="I429">
        <v>8</v>
      </c>
      <c r="J429" t="b">
        <v>0</v>
      </c>
      <c r="K429" t="b">
        <v>0</v>
      </c>
      <c r="L429" t="b">
        <v>0</v>
      </c>
      <c r="M429">
        <v>3</v>
      </c>
      <c r="N429" t="s">
        <v>1155</v>
      </c>
      <c r="O429" s="1">
        <v>46275.42083333333</v>
      </c>
      <c r="P429" t="b">
        <v>0</v>
      </c>
      <c r="Q429" t="s">
        <v>1151</v>
      </c>
      <c r="R429" t="s">
        <v>1120</v>
      </c>
      <c r="S429" t="s">
        <v>1145</v>
      </c>
      <c r="T429" t="s">
        <v>1122</v>
      </c>
      <c r="U429" t="s">
        <v>1247</v>
      </c>
      <c r="V429" t="s">
        <v>1124</v>
      </c>
      <c r="W429" t="s">
        <v>1125</v>
      </c>
      <c r="X429">
        <v>10</v>
      </c>
      <c r="Y429" t="s">
        <v>1146</v>
      </c>
      <c r="Z429" t="s">
        <v>1147</v>
      </c>
      <c r="AA429">
        <v>8</v>
      </c>
    </row>
    <row r="430" spans="1:27" x14ac:dyDescent="0.3">
      <c r="A430" t="s">
        <v>290</v>
      </c>
      <c r="B430" t="s">
        <v>1434</v>
      </c>
      <c r="C430" t="s">
        <v>1066</v>
      </c>
      <c r="D430" t="s">
        <v>1283</v>
      </c>
      <c r="E430" t="s">
        <v>1336</v>
      </c>
      <c r="F430" s="1">
        <v>46276</v>
      </c>
      <c r="G430" s="1">
        <v>46276.005555555559</v>
      </c>
      <c r="H430">
        <v>6</v>
      </c>
      <c r="I430">
        <v>8</v>
      </c>
      <c r="J430" t="b">
        <v>0</v>
      </c>
      <c r="K430" t="b">
        <v>0</v>
      </c>
      <c r="L430" t="b">
        <v>0</v>
      </c>
      <c r="M430">
        <v>6</v>
      </c>
      <c r="N430" t="s">
        <v>1155</v>
      </c>
      <c r="O430" s="1">
        <v>46275.96597222222</v>
      </c>
      <c r="P430" t="b">
        <v>0</v>
      </c>
      <c r="Q430" t="s">
        <v>1179</v>
      </c>
      <c r="R430" t="s">
        <v>1120</v>
      </c>
      <c r="S430" t="s">
        <v>1152</v>
      </c>
      <c r="T430" t="s">
        <v>1122</v>
      </c>
      <c r="U430" t="s">
        <v>1247</v>
      </c>
      <c r="V430" t="s">
        <v>1284</v>
      </c>
      <c r="W430" t="s">
        <v>1131</v>
      </c>
      <c r="X430">
        <v>23</v>
      </c>
      <c r="Y430" t="s">
        <v>1146</v>
      </c>
      <c r="Z430" t="s">
        <v>1134</v>
      </c>
      <c r="AA430">
        <v>1.333333333333333</v>
      </c>
    </row>
    <row r="431" spans="1:27" x14ac:dyDescent="0.3">
      <c r="A431" t="s">
        <v>289</v>
      </c>
      <c r="B431" t="s">
        <v>1434</v>
      </c>
      <c r="C431" t="s">
        <v>1076</v>
      </c>
      <c r="D431" t="s">
        <v>1339</v>
      </c>
      <c r="E431" t="s">
        <v>1356</v>
      </c>
      <c r="F431" s="1">
        <v>46276.047222222223</v>
      </c>
      <c r="G431" s="1">
        <v>46276.052777777782</v>
      </c>
      <c r="H431">
        <v>4</v>
      </c>
      <c r="I431">
        <v>8</v>
      </c>
      <c r="J431" t="b">
        <v>0</v>
      </c>
      <c r="K431" t="b">
        <v>0</v>
      </c>
      <c r="L431" t="b">
        <v>0</v>
      </c>
      <c r="M431">
        <v>6</v>
      </c>
      <c r="N431" t="s">
        <v>1155</v>
      </c>
      <c r="O431" s="1">
        <v>46275.96597222222</v>
      </c>
      <c r="P431" t="b">
        <v>0</v>
      </c>
      <c r="Q431" t="s">
        <v>1145</v>
      </c>
      <c r="R431" t="s">
        <v>1120</v>
      </c>
      <c r="S431" t="s">
        <v>1132</v>
      </c>
      <c r="T431" t="s">
        <v>1122</v>
      </c>
      <c r="U431" t="s">
        <v>1172</v>
      </c>
      <c r="V431" t="s">
        <v>1284</v>
      </c>
      <c r="W431" t="s">
        <v>1257</v>
      </c>
      <c r="X431">
        <v>23</v>
      </c>
      <c r="Y431" t="s">
        <v>1146</v>
      </c>
      <c r="Z431" t="s">
        <v>1134</v>
      </c>
      <c r="AA431">
        <v>2</v>
      </c>
    </row>
    <row r="432" spans="1:27" x14ac:dyDescent="0.3">
      <c r="A432" t="s">
        <v>647</v>
      </c>
      <c r="B432" t="s">
        <v>1327</v>
      </c>
      <c r="C432" t="s">
        <v>1059</v>
      </c>
      <c r="D432" t="s">
        <v>1238</v>
      </c>
      <c r="E432" t="s">
        <v>1295</v>
      </c>
      <c r="F432" s="1">
        <v>46269.385416666657</v>
      </c>
      <c r="G432" s="1">
        <v>46269.390972222223</v>
      </c>
      <c r="H432">
        <v>7</v>
      </c>
      <c r="I432">
        <v>8</v>
      </c>
      <c r="J432" t="b">
        <v>0</v>
      </c>
      <c r="K432" t="b">
        <v>0</v>
      </c>
      <c r="L432" t="b">
        <v>0</v>
      </c>
      <c r="M432">
        <v>12</v>
      </c>
      <c r="N432" t="s">
        <v>1130</v>
      </c>
      <c r="O432" s="1">
        <v>46269.290277777778</v>
      </c>
      <c r="P432" t="b">
        <v>0</v>
      </c>
      <c r="Q432" t="s">
        <v>1151</v>
      </c>
      <c r="R432" t="s">
        <v>1120</v>
      </c>
      <c r="S432" t="s">
        <v>1145</v>
      </c>
      <c r="T432" t="s">
        <v>1122</v>
      </c>
      <c r="U432" t="s">
        <v>1172</v>
      </c>
      <c r="V432" t="s">
        <v>1151</v>
      </c>
      <c r="W432" t="s">
        <v>1131</v>
      </c>
      <c r="X432">
        <v>6</v>
      </c>
      <c r="Y432" t="s">
        <v>1142</v>
      </c>
      <c r="Z432" t="s">
        <v>1127</v>
      </c>
      <c r="AA432">
        <v>1.142857142857143</v>
      </c>
    </row>
    <row r="433" spans="1:27" x14ac:dyDescent="0.3">
      <c r="A433" t="s">
        <v>784</v>
      </c>
      <c r="B433" t="s">
        <v>1135</v>
      </c>
      <c r="C433" t="s">
        <v>1072</v>
      </c>
      <c r="D433" t="s">
        <v>1238</v>
      </c>
      <c r="E433" t="s">
        <v>1287</v>
      </c>
      <c r="F433" s="1">
        <v>46269.720833333333</v>
      </c>
      <c r="G433" s="1">
        <v>46269.726388888892</v>
      </c>
      <c r="H433">
        <v>2</v>
      </c>
      <c r="I433">
        <v>8</v>
      </c>
      <c r="J433" t="b">
        <v>0</v>
      </c>
      <c r="K433" t="b">
        <v>0</v>
      </c>
      <c r="L433" t="b">
        <v>0</v>
      </c>
      <c r="M433">
        <v>15</v>
      </c>
      <c r="N433" t="s">
        <v>1118</v>
      </c>
      <c r="O433" s="1">
        <v>46269.660416666673</v>
      </c>
      <c r="P433" t="b">
        <v>0</v>
      </c>
      <c r="Q433" t="s">
        <v>1179</v>
      </c>
      <c r="R433" t="s">
        <v>1120</v>
      </c>
      <c r="S433" t="s">
        <v>1145</v>
      </c>
      <c r="T433" t="s">
        <v>1180</v>
      </c>
      <c r="U433" t="s">
        <v>1172</v>
      </c>
      <c r="V433" t="s">
        <v>1151</v>
      </c>
      <c r="W433" t="s">
        <v>1131</v>
      </c>
      <c r="X433">
        <v>15</v>
      </c>
      <c r="Y433" t="s">
        <v>1142</v>
      </c>
      <c r="Z433" t="s">
        <v>1127</v>
      </c>
      <c r="AA433">
        <v>4</v>
      </c>
    </row>
    <row r="434" spans="1:27" x14ac:dyDescent="0.3">
      <c r="A434" t="s">
        <v>779</v>
      </c>
      <c r="B434" t="s">
        <v>1435</v>
      </c>
      <c r="C434" t="s">
        <v>1072</v>
      </c>
      <c r="D434" t="s">
        <v>1283</v>
      </c>
      <c r="E434" t="s">
        <v>1346</v>
      </c>
      <c r="F434" s="1">
        <v>46291.392361111109</v>
      </c>
      <c r="G434" s="1">
        <v>46291.397916666669</v>
      </c>
      <c r="H434">
        <v>7</v>
      </c>
      <c r="I434">
        <v>8</v>
      </c>
      <c r="J434" t="b">
        <v>0</v>
      </c>
      <c r="K434" t="b">
        <v>0</v>
      </c>
      <c r="L434" t="b">
        <v>0</v>
      </c>
      <c r="M434">
        <v>5</v>
      </c>
      <c r="N434" t="s">
        <v>1118</v>
      </c>
      <c r="O434" s="1">
        <v>46291.277083333327</v>
      </c>
      <c r="P434" t="b">
        <v>0</v>
      </c>
      <c r="Q434" t="s">
        <v>1179</v>
      </c>
      <c r="R434" t="s">
        <v>1120</v>
      </c>
      <c r="S434" t="s">
        <v>1121</v>
      </c>
      <c r="T434" t="s">
        <v>1180</v>
      </c>
      <c r="U434" t="s">
        <v>1172</v>
      </c>
      <c r="V434" t="s">
        <v>1284</v>
      </c>
      <c r="W434" t="s">
        <v>1131</v>
      </c>
      <c r="X434">
        <v>6</v>
      </c>
      <c r="Y434" t="s">
        <v>1173</v>
      </c>
      <c r="Z434" t="s">
        <v>1147</v>
      </c>
      <c r="AA434">
        <v>1.142857142857143</v>
      </c>
    </row>
    <row r="435" spans="1:27" x14ac:dyDescent="0.3">
      <c r="A435" t="s">
        <v>776</v>
      </c>
      <c r="B435" t="s">
        <v>1436</v>
      </c>
      <c r="C435" t="s">
        <v>1067</v>
      </c>
      <c r="D435" t="s">
        <v>1149</v>
      </c>
      <c r="E435" t="s">
        <v>1240</v>
      </c>
      <c r="F435" s="1">
        <v>46290.411805555559</v>
      </c>
      <c r="G435" s="1">
        <v>46290.417361111111</v>
      </c>
      <c r="H435">
        <v>3</v>
      </c>
      <c r="I435">
        <v>8</v>
      </c>
      <c r="J435" t="b">
        <v>0</v>
      </c>
      <c r="K435" t="b">
        <v>0</v>
      </c>
      <c r="L435" t="b">
        <v>0</v>
      </c>
      <c r="M435">
        <v>3</v>
      </c>
      <c r="N435" t="s">
        <v>1130</v>
      </c>
      <c r="O435" s="1">
        <v>46290.315972222219</v>
      </c>
      <c r="P435" t="b">
        <v>0</v>
      </c>
      <c r="Q435" t="s">
        <v>1156</v>
      </c>
      <c r="R435" t="s">
        <v>1120</v>
      </c>
      <c r="S435" t="s">
        <v>1145</v>
      </c>
      <c r="T435" t="s">
        <v>1180</v>
      </c>
      <c r="U435" t="s">
        <v>1247</v>
      </c>
      <c r="V435" t="s">
        <v>1152</v>
      </c>
      <c r="W435" t="s">
        <v>1145</v>
      </c>
      <c r="X435">
        <v>7</v>
      </c>
      <c r="Y435" t="s">
        <v>1142</v>
      </c>
      <c r="Z435" t="s">
        <v>1147</v>
      </c>
      <c r="AA435">
        <v>2.666666666666667</v>
      </c>
    </row>
    <row r="436" spans="1:27" x14ac:dyDescent="0.3">
      <c r="A436" t="s">
        <v>775</v>
      </c>
      <c r="B436" t="s">
        <v>1436</v>
      </c>
      <c r="C436" t="s">
        <v>1067</v>
      </c>
      <c r="D436" t="s">
        <v>1136</v>
      </c>
      <c r="E436" t="s">
        <v>1259</v>
      </c>
      <c r="F436" s="1">
        <v>46290.366666666669</v>
      </c>
      <c r="G436" s="1">
        <v>46290.37222222222</v>
      </c>
      <c r="H436">
        <v>4</v>
      </c>
      <c r="I436">
        <v>8</v>
      </c>
      <c r="J436" t="b">
        <v>0</v>
      </c>
      <c r="K436" t="b">
        <v>0</v>
      </c>
      <c r="L436" t="b">
        <v>0</v>
      </c>
      <c r="M436">
        <v>3</v>
      </c>
      <c r="N436" t="s">
        <v>1130</v>
      </c>
      <c r="O436" s="1">
        <v>46290.315972222219</v>
      </c>
      <c r="P436" t="b">
        <v>0</v>
      </c>
      <c r="Q436" t="s">
        <v>1179</v>
      </c>
      <c r="R436" t="s">
        <v>1120</v>
      </c>
      <c r="S436" t="s">
        <v>1132</v>
      </c>
      <c r="T436" t="s">
        <v>1180</v>
      </c>
      <c r="U436" t="s">
        <v>1247</v>
      </c>
      <c r="V436" t="s">
        <v>1141</v>
      </c>
      <c r="W436" t="s">
        <v>1125</v>
      </c>
      <c r="X436">
        <v>7</v>
      </c>
      <c r="Y436" t="s">
        <v>1142</v>
      </c>
      <c r="Z436" t="s">
        <v>1147</v>
      </c>
      <c r="AA436">
        <v>2</v>
      </c>
    </row>
    <row r="437" spans="1:27" x14ac:dyDescent="0.3">
      <c r="A437" t="s">
        <v>645</v>
      </c>
      <c r="B437" t="s">
        <v>1214</v>
      </c>
      <c r="C437" t="s">
        <v>1070</v>
      </c>
      <c r="D437" t="s">
        <v>1136</v>
      </c>
      <c r="E437" t="s">
        <v>1212</v>
      </c>
      <c r="F437" s="1">
        <v>46292.61041666667</v>
      </c>
      <c r="G437" s="1">
        <v>46292.615972222222</v>
      </c>
      <c r="H437">
        <v>5</v>
      </c>
      <c r="I437">
        <v>8</v>
      </c>
      <c r="J437" t="b">
        <v>0</v>
      </c>
      <c r="K437" t="b">
        <v>0</v>
      </c>
      <c r="L437" t="b">
        <v>0</v>
      </c>
      <c r="M437">
        <v>10</v>
      </c>
      <c r="N437" t="s">
        <v>1130</v>
      </c>
      <c r="O437" s="1">
        <v>46292.53125</v>
      </c>
      <c r="P437" t="b">
        <v>0</v>
      </c>
      <c r="Q437" t="s">
        <v>1145</v>
      </c>
      <c r="R437" t="s">
        <v>1139</v>
      </c>
      <c r="S437" t="s">
        <v>1157</v>
      </c>
      <c r="T437" t="s">
        <v>1180</v>
      </c>
      <c r="U437" t="s">
        <v>1145</v>
      </c>
      <c r="V437" t="s">
        <v>1141</v>
      </c>
      <c r="W437" t="s">
        <v>1125</v>
      </c>
      <c r="X437">
        <v>12</v>
      </c>
      <c r="Y437" t="s">
        <v>1133</v>
      </c>
      <c r="Z437" t="s">
        <v>1134</v>
      </c>
      <c r="AA437">
        <v>1.6</v>
      </c>
    </row>
    <row r="438" spans="1:27" x14ac:dyDescent="0.3">
      <c r="A438" t="s">
        <v>640</v>
      </c>
      <c r="B438" t="s">
        <v>1437</v>
      </c>
      <c r="C438" t="s">
        <v>1060</v>
      </c>
      <c r="D438" t="s">
        <v>1280</v>
      </c>
      <c r="E438" t="s">
        <v>1287</v>
      </c>
      <c r="F438" s="1">
        <v>46281.084027777782</v>
      </c>
      <c r="G438" s="1">
        <v>46281.089583333327</v>
      </c>
      <c r="H438">
        <v>2</v>
      </c>
      <c r="I438">
        <v>8</v>
      </c>
      <c r="J438" t="b">
        <v>0</v>
      </c>
      <c r="K438" t="b">
        <v>0</v>
      </c>
      <c r="L438" t="b">
        <v>0</v>
      </c>
      <c r="M438">
        <v>2</v>
      </c>
      <c r="N438" t="s">
        <v>1155</v>
      </c>
      <c r="O438" s="1">
        <v>46281.021527777782</v>
      </c>
      <c r="P438" t="b">
        <v>0</v>
      </c>
      <c r="Q438" t="s">
        <v>1179</v>
      </c>
      <c r="R438" t="s">
        <v>1120</v>
      </c>
      <c r="S438" t="s">
        <v>1145</v>
      </c>
      <c r="T438" t="s">
        <v>1140</v>
      </c>
      <c r="U438" t="s">
        <v>1145</v>
      </c>
      <c r="V438" t="s">
        <v>1151</v>
      </c>
      <c r="W438" t="s">
        <v>1257</v>
      </c>
      <c r="X438">
        <v>0</v>
      </c>
      <c r="Y438" t="s">
        <v>1161</v>
      </c>
      <c r="Z438" t="s">
        <v>1147</v>
      </c>
      <c r="AA438">
        <v>4</v>
      </c>
    </row>
    <row r="439" spans="1:27" x14ac:dyDescent="0.3">
      <c r="A439" t="s">
        <v>637</v>
      </c>
      <c r="B439" t="s">
        <v>1203</v>
      </c>
      <c r="C439" t="s">
        <v>1067</v>
      </c>
      <c r="D439" t="s">
        <v>1116</v>
      </c>
      <c r="E439" t="s">
        <v>1192</v>
      </c>
      <c r="F439" s="1">
        <v>46287.082638888889</v>
      </c>
      <c r="G439" s="1">
        <v>46287.088194444441</v>
      </c>
      <c r="H439">
        <v>6</v>
      </c>
      <c r="I439">
        <v>8</v>
      </c>
      <c r="J439" t="b">
        <v>0</v>
      </c>
      <c r="K439" t="b">
        <v>0</v>
      </c>
      <c r="L439" t="b">
        <v>0</v>
      </c>
      <c r="M439">
        <v>12</v>
      </c>
      <c r="N439" t="s">
        <v>1145</v>
      </c>
      <c r="O439" s="1">
        <v>46287.080555555563</v>
      </c>
      <c r="P439" t="b">
        <v>0</v>
      </c>
      <c r="Q439" t="s">
        <v>1151</v>
      </c>
      <c r="R439" t="s">
        <v>1139</v>
      </c>
      <c r="S439" t="s">
        <v>1132</v>
      </c>
      <c r="T439" t="s">
        <v>1180</v>
      </c>
      <c r="U439" t="s">
        <v>1247</v>
      </c>
      <c r="V439" t="s">
        <v>1124</v>
      </c>
      <c r="W439" t="s">
        <v>1125</v>
      </c>
      <c r="X439">
        <v>1</v>
      </c>
      <c r="Y439" t="s">
        <v>1126</v>
      </c>
      <c r="Z439" t="s">
        <v>1127</v>
      </c>
      <c r="AA439">
        <v>1.333333333333333</v>
      </c>
    </row>
    <row r="440" spans="1:27" x14ac:dyDescent="0.3">
      <c r="A440" t="s">
        <v>636</v>
      </c>
      <c r="B440" t="s">
        <v>1203</v>
      </c>
      <c r="C440" t="s">
        <v>1082</v>
      </c>
      <c r="D440" t="s">
        <v>1116</v>
      </c>
      <c r="E440" t="s">
        <v>1225</v>
      </c>
      <c r="F440" s="1">
        <v>46287.084027777782</v>
      </c>
      <c r="G440" s="1">
        <v>46287.089583333327</v>
      </c>
      <c r="H440">
        <v>2</v>
      </c>
      <c r="I440">
        <v>8</v>
      </c>
      <c r="J440" t="b">
        <v>0</v>
      </c>
      <c r="K440" t="b">
        <v>0</v>
      </c>
      <c r="L440" t="b">
        <v>0</v>
      </c>
      <c r="M440">
        <v>12</v>
      </c>
      <c r="N440" t="s">
        <v>1145</v>
      </c>
      <c r="O440" s="1">
        <v>46287.080555555563</v>
      </c>
      <c r="P440" t="b">
        <v>0</v>
      </c>
      <c r="Q440" t="s">
        <v>1151</v>
      </c>
      <c r="R440" t="s">
        <v>1120</v>
      </c>
      <c r="S440" t="s">
        <v>1152</v>
      </c>
      <c r="T440" t="s">
        <v>1122</v>
      </c>
      <c r="U440" t="s">
        <v>1145</v>
      </c>
      <c r="V440" t="s">
        <v>1124</v>
      </c>
      <c r="W440" t="s">
        <v>1125</v>
      </c>
      <c r="X440">
        <v>1</v>
      </c>
      <c r="Y440" t="s">
        <v>1126</v>
      </c>
      <c r="Z440" t="s">
        <v>1127</v>
      </c>
      <c r="AA440">
        <v>4</v>
      </c>
    </row>
    <row r="441" spans="1:27" x14ac:dyDescent="0.3">
      <c r="A441" t="s">
        <v>626</v>
      </c>
      <c r="B441" t="s">
        <v>1402</v>
      </c>
      <c r="C441" t="s">
        <v>1057</v>
      </c>
      <c r="D441" t="s">
        <v>1238</v>
      </c>
      <c r="E441" t="s">
        <v>1228</v>
      </c>
      <c r="F441" s="1">
        <v>46289.124305555553</v>
      </c>
      <c r="G441" s="1">
        <v>46289.129861111112</v>
      </c>
      <c r="H441">
        <v>1</v>
      </c>
      <c r="I441">
        <v>8</v>
      </c>
      <c r="J441" t="b">
        <v>0</v>
      </c>
      <c r="K441" t="b">
        <v>0</v>
      </c>
      <c r="L441" t="b">
        <v>0</v>
      </c>
      <c r="M441">
        <v>12</v>
      </c>
      <c r="N441" t="s">
        <v>1118</v>
      </c>
      <c r="O441" s="1">
        <v>46289.047222222223</v>
      </c>
      <c r="P441" t="b">
        <v>0</v>
      </c>
      <c r="Q441" t="s">
        <v>1179</v>
      </c>
      <c r="R441" t="s">
        <v>1145</v>
      </c>
      <c r="S441" t="s">
        <v>1157</v>
      </c>
      <c r="T441" t="s">
        <v>1122</v>
      </c>
      <c r="U441" t="s">
        <v>1172</v>
      </c>
      <c r="V441" t="s">
        <v>1151</v>
      </c>
      <c r="W441" t="s">
        <v>1131</v>
      </c>
      <c r="X441">
        <v>1</v>
      </c>
      <c r="Y441" t="s">
        <v>1146</v>
      </c>
      <c r="Z441" t="s">
        <v>1127</v>
      </c>
      <c r="AA441">
        <v>8</v>
      </c>
    </row>
    <row r="442" spans="1:27" x14ac:dyDescent="0.3">
      <c r="A442" t="s">
        <v>504</v>
      </c>
      <c r="B442" t="s">
        <v>1275</v>
      </c>
      <c r="C442" t="s">
        <v>1071</v>
      </c>
      <c r="D442" t="s">
        <v>1339</v>
      </c>
      <c r="E442" t="s">
        <v>1213</v>
      </c>
      <c r="F442" s="1">
        <v>46287.472222222219</v>
      </c>
      <c r="G442" s="1">
        <v>46287.477777777778</v>
      </c>
      <c r="H442">
        <v>6</v>
      </c>
      <c r="I442">
        <v>8</v>
      </c>
      <c r="J442" t="b">
        <v>0</v>
      </c>
      <c r="K442" t="b">
        <v>0</v>
      </c>
      <c r="L442" t="b">
        <v>0</v>
      </c>
      <c r="M442">
        <v>20</v>
      </c>
      <c r="N442" t="s">
        <v>1118</v>
      </c>
      <c r="O442" s="1">
        <v>46287.399305555547</v>
      </c>
      <c r="P442" t="b">
        <v>0</v>
      </c>
      <c r="Q442" t="s">
        <v>1151</v>
      </c>
      <c r="R442" t="s">
        <v>1131</v>
      </c>
      <c r="S442" t="s">
        <v>1152</v>
      </c>
      <c r="T442" t="s">
        <v>1122</v>
      </c>
      <c r="U442" t="s">
        <v>1145</v>
      </c>
      <c r="V442" t="s">
        <v>1284</v>
      </c>
      <c r="W442" t="s">
        <v>1257</v>
      </c>
      <c r="X442">
        <v>9</v>
      </c>
      <c r="Y442" t="s">
        <v>1126</v>
      </c>
      <c r="Z442" t="s">
        <v>1127</v>
      </c>
      <c r="AA442">
        <v>1.333333333333333</v>
      </c>
    </row>
    <row r="443" spans="1:27" x14ac:dyDescent="0.3">
      <c r="A443" t="s">
        <v>500</v>
      </c>
      <c r="B443" t="s">
        <v>1275</v>
      </c>
      <c r="C443" t="s">
        <v>1085</v>
      </c>
      <c r="D443" t="s">
        <v>1238</v>
      </c>
      <c r="E443" t="s">
        <v>1171</v>
      </c>
      <c r="F443" s="1">
        <v>46287.51666666667</v>
      </c>
      <c r="G443" s="1">
        <v>46287.522222222222</v>
      </c>
      <c r="H443">
        <v>7</v>
      </c>
      <c r="I443">
        <v>8</v>
      </c>
      <c r="J443" t="b">
        <v>0</v>
      </c>
      <c r="K443" t="b">
        <v>0</v>
      </c>
      <c r="L443" t="b">
        <v>0</v>
      </c>
      <c r="M443">
        <v>20</v>
      </c>
      <c r="N443" t="s">
        <v>1118</v>
      </c>
      <c r="O443" s="1">
        <v>46287.399305555547</v>
      </c>
      <c r="P443" t="b">
        <v>0</v>
      </c>
      <c r="Q443" t="s">
        <v>1119</v>
      </c>
      <c r="R443" t="s">
        <v>1131</v>
      </c>
      <c r="S443" t="s">
        <v>1121</v>
      </c>
      <c r="T443" t="s">
        <v>1122</v>
      </c>
      <c r="U443" t="s">
        <v>1247</v>
      </c>
      <c r="V443" t="s">
        <v>1151</v>
      </c>
      <c r="W443" t="s">
        <v>1131</v>
      </c>
      <c r="X443">
        <v>9</v>
      </c>
      <c r="Y443" t="s">
        <v>1126</v>
      </c>
      <c r="Z443" t="s">
        <v>1127</v>
      </c>
      <c r="AA443">
        <v>1.142857142857143</v>
      </c>
    </row>
    <row r="444" spans="1:27" x14ac:dyDescent="0.3">
      <c r="A444" t="s">
        <v>496</v>
      </c>
      <c r="B444" t="s">
        <v>1438</v>
      </c>
      <c r="C444" t="s">
        <v>1057</v>
      </c>
      <c r="D444" t="s">
        <v>1255</v>
      </c>
      <c r="E444" t="s">
        <v>1189</v>
      </c>
      <c r="F444" s="1">
        <v>46289.556944444441</v>
      </c>
      <c r="G444" s="1">
        <v>46289.5625</v>
      </c>
      <c r="H444">
        <v>1</v>
      </c>
      <c r="I444">
        <v>8</v>
      </c>
      <c r="J444" t="b">
        <v>0</v>
      </c>
      <c r="K444" t="b">
        <v>0</v>
      </c>
      <c r="L444" t="b">
        <v>0</v>
      </c>
      <c r="M444">
        <v>3</v>
      </c>
      <c r="N444" t="s">
        <v>1118</v>
      </c>
      <c r="O444" s="1">
        <v>46289.506944444453</v>
      </c>
      <c r="P444" t="b">
        <v>0</v>
      </c>
      <c r="Q444" t="s">
        <v>1138</v>
      </c>
      <c r="R444" t="s">
        <v>1131</v>
      </c>
      <c r="S444" t="s">
        <v>1152</v>
      </c>
      <c r="T444" t="s">
        <v>1122</v>
      </c>
      <c r="U444" t="s">
        <v>1172</v>
      </c>
      <c r="V444" t="s">
        <v>1141</v>
      </c>
      <c r="W444" t="s">
        <v>1257</v>
      </c>
      <c r="X444">
        <v>12</v>
      </c>
      <c r="Y444" t="s">
        <v>1146</v>
      </c>
      <c r="Z444" t="s">
        <v>1147</v>
      </c>
      <c r="AA444">
        <v>8</v>
      </c>
    </row>
    <row r="445" spans="1:27" x14ac:dyDescent="0.3">
      <c r="A445" t="s">
        <v>493</v>
      </c>
      <c r="B445" t="s">
        <v>1236</v>
      </c>
      <c r="C445" t="s">
        <v>1062</v>
      </c>
      <c r="D445" t="s">
        <v>1339</v>
      </c>
      <c r="E445" t="s">
        <v>1200</v>
      </c>
      <c r="F445" s="1">
        <v>46273.393750000003</v>
      </c>
      <c r="G445" s="1">
        <v>46273.399305555547</v>
      </c>
      <c r="H445">
        <v>6</v>
      </c>
      <c r="I445">
        <v>8</v>
      </c>
      <c r="J445" t="b">
        <v>0</v>
      </c>
      <c r="K445" t="b">
        <v>0</v>
      </c>
      <c r="L445" t="b">
        <v>0</v>
      </c>
      <c r="M445">
        <v>3</v>
      </c>
      <c r="N445" t="s">
        <v>1118</v>
      </c>
      <c r="O445" s="1">
        <v>46273.313194444447</v>
      </c>
      <c r="P445" t="b">
        <v>0</v>
      </c>
      <c r="Q445" t="s">
        <v>1156</v>
      </c>
      <c r="R445" t="s">
        <v>1139</v>
      </c>
      <c r="S445" t="s">
        <v>1132</v>
      </c>
      <c r="T445" t="s">
        <v>1122</v>
      </c>
      <c r="U445" t="s">
        <v>1123</v>
      </c>
      <c r="V445" t="s">
        <v>1284</v>
      </c>
      <c r="W445" t="s">
        <v>1257</v>
      </c>
      <c r="X445">
        <v>7</v>
      </c>
      <c r="Y445" t="s">
        <v>1126</v>
      </c>
      <c r="Z445" t="s">
        <v>1147</v>
      </c>
      <c r="AA445">
        <v>1.333333333333333</v>
      </c>
    </row>
    <row r="446" spans="1:27" x14ac:dyDescent="0.3">
      <c r="A446" t="s">
        <v>131</v>
      </c>
      <c r="B446" t="s">
        <v>1239</v>
      </c>
      <c r="C446" t="s">
        <v>1067</v>
      </c>
      <c r="D446" t="s">
        <v>1116</v>
      </c>
      <c r="E446" t="s">
        <v>1299</v>
      </c>
      <c r="F446" s="1">
        <v>46292.844444444447</v>
      </c>
      <c r="G446" s="1">
        <v>46292.85</v>
      </c>
      <c r="H446">
        <v>3</v>
      </c>
      <c r="I446">
        <v>8</v>
      </c>
      <c r="J446" t="b">
        <v>0</v>
      </c>
      <c r="K446" t="b">
        <v>0</v>
      </c>
      <c r="L446" t="b">
        <v>0</v>
      </c>
      <c r="M446">
        <v>12</v>
      </c>
      <c r="N446" t="s">
        <v>1130</v>
      </c>
      <c r="O446" s="1">
        <v>46292.831250000003</v>
      </c>
      <c r="P446" t="b">
        <v>0</v>
      </c>
      <c r="Q446" t="s">
        <v>1156</v>
      </c>
      <c r="R446" t="s">
        <v>1120</v>
      </c>
      <c r="S446" t="s">
        <v>1121</v>
      </c>
      <c r="T446" t="s">
        <v>1180</v>
      </c>
      <c r="U446" t="s">
        <v>1247</v>
      </c>
      <c r="V446" t="s">
        <v>1124</v>
      </c>
      <c r="W446" t="s">
        <v>1125</v>
      </c>
      <c r="X446">
        <v>19</v>
      </c>
      <c r="Y446" t="s">
        <v>1133</v>
      </c>
      <c r="Z446" t="s">
        <v>1127</v>
      </c>
      <c r="AA446">
        <v>2.666666666666667</v>
      </c>
    </row>
    <row r="447" spans="1:27" x14ac:dyDescent="0.3">
      <c r="A447" t="s">
        <v>925</v>
      </c>
      <c r="B447" t="s">
        <v>1439</v>
      </c>
      <c r="C447" t="s">
        <v>1069</v>
      </c>
      <c r="D447" t="s">
        <v>1149</v>
      </c>
      <c r="E447" t="s">
        <v>1309</v>
      </c>
      <c r="F447" s="1">
        <v>46276.4</v>
      </c>
      <c r="G447" s="1">
        <v>46276.405555555553</v>
      </c>
      <c r="H447">
        <v>1</v>
      </c>
      <c r="I447">
        <v>8</v>
      </c>
      <c r="J447" t="b">
        <v>0</v>
      </c>
      <c r="K447" t="b">
        <v>0</v>
      </c>
      <c r="L447" t="b">
        <v>0</v>
      </c>
      <c r="M447">
        <v>3</v>
      </c>
      <c r="N447" t="s">
        <v>1118</v>
      </c>
      <c r="O447" s="1">
        <v>46276.328472222223</v>
      </c>
      <c r="P447" t="b">
        <v>0</v>
      </c>
      <c r="Q447" t="s">
        <v>1119</v>
      </c>
      <c r="R447" t="s">
        <v>1120</v>
      </c>
      <c r="S447" t="s">
        <v>1157</v>
      </c>
      <c r="T447" t="s">
        <v>1140</v>
      </c>
      <c r="U447" t="s">
        <v>1172</v>
      </c>
      <c r="V447" t="s">
        <v>1152</v>
      </c>
      <c r="W447" t="s">
        <v>1145</v>
      </c>
      <c r="X447">
        <v>7</v>
      </c>
      <c r="Y447" t="s">
        <v>1142</v>
      </c>
      <c r="Z447" t="s">
        <v>1147</v>
      </c>
      <c r="AA447">
        <v>8</v>
      </c>
    </row>
    <row r="448" spans="1:27" x14ac:dyDescent="0.3">
      <c r="A448" t="s">
        <v>919</v>
      </c>
      <c r="B448" t="s">
        <v>1316</v>
      </c>
      <c r="C448" t="s">
        <v>1073</v>
      </c>
      <c r="D448" t="s">
        <v>1238</v>
      </c>
      <c r="E448" t="s">
        <v>1230</v>
      </c>
      <c r="F448" s="1">
        <v>46288.915277777778</v>
      </c>
      <c r="G448" s="1">
        <v>46288.92083333333</v>
      </c>
      <c r="H448">
        <v>4</v>
      </c>
      <c r="I448">
        <v>8</v>
      </c>
      <c r="J448" t="b">
        <v>0</v>
      </c>
      <c r="K448" t="b">
        <v>0</v>
      </c>
      <c r="L448" t="b">
        <v>0</v>
      </c>
      <c r="M448">
        <v>6</v>
      </c>
      <c r="N448" t="s">
        <v>1118</v>
      </c>
      <c r="O448" s="1">
        <v>46288.84097222222</v>
      </c>
      <c r="P448" t="b">
        <v>0</v>
      </c>
      <c r="Q448" t="s">
        <v>1145</v>
      </c>
      <c r="R448" t="s">
        <v>1120</v>
      </c>
      <c r="S448" t="s">
        <v>1157</v>
      </c>
      <c r="T448" t="s">
        <v>1122</v>
      </c>
      <c r="U448" t="s">
        <v>1247</v>
      </c>
      <c r="V448" t="s">
        <v>1151</v>
      </c>
      <c r="W448" t="s">
        <v>1131</v>
      </c>
      <c r="X448">
        <v>20</v>
      </c>
      <c r="Y448" t="s">
        <v>1161</v>
      </c>
      <c r="Z448" t="s">
        <v>1134</v>
      </c>
      <c r="AA448">
        <v>2</v>
      </c>
    </row>
    <row r="449" spans="1:27" x14ac:dyDescent="0.3">
      <c r="A449" t="s">
        <v>240</v>
      </c>
      <c r="B449" t="s">
        <v>1440</v>
      </c>
      <c r="C449" t="s">
        <v>1059</v>
      </c>
      <c r="D449" t="s">
        <v>1255</v>
      </c>
      <c r="E449" t="s">
        <v>1307</v>
      </c>
      <c r="F449" s="1">
        <v>46272.629166666673</v>
      </c>
      <c r="G449" s="1">
        <v>46272.634722222218</v>
      </c>
      <c r="H449">
        <v>4</v>
      </c>
      <c r="I449">
        <v>8</v>
      </c>
      <c r="J449" t="b">
        <v>0</v>
      </c>
      <c r="K449" t="b">
        <v>0</v>
      </c>
      <c r="L449" t="b">
        <v>0</v>
      </c>
      <c r="M449">
        <v>3</v>
      </c>
      <c r="N449" t="s">
        <v>1130</v>
      </c>
      <c r="O449" s="1">
        <v>46272.611111111109</v>
      </c>
      <c r="P449" t="b">
        <v>0</v>
      </c>
      <c r="Q449" t="s">
        <v>1151</v>
      </c>
      <c r="R449" t="s">
        <v>1139</v>
      </c>
      <c r="S449" t="s">
        <v>1121</v>
      </c>
      <c r="T449" t="s">
        <v>1122</v>
      </c>
      <c r="U449" t="s">
        <v>1172</v>
      </c>
      <c r="V449" t="s">
        <v>1141</v>
      </c>
      <c r="W449" t="s">
        <v>1257</v>
      </c>
      <c r="X449">
        <v>14</v>
      </c>
      <c r="Y449" t="s">
        <v>1185</v>
      </c>
      <c r="Z449" t="s">
        <v>1147</v>
      </c>
      <c r="AA449">
        <v>2</v>
      </c>
    </row>
    <row r="450" spans="1:27" x14ac:dyDescent="0.3">
      <c r="A450" t="s">
        <v>317</v>
      </c>
      <c r="B450" t="s">
        <v>1441</v>
      </c>
      <c r="C450" t="s">
        <v>1058</v>
      </c>
      <c r="D450" t="s">
        <v>1280</v>
      </c>
      <c r="E450" t="s">
        <v>1332</v>
      </c>
      <c r="F450" s="1">
        <v>46278.586111111108</v>
      </c>
      <c r="G450" s="1">
        <v>46278.591666666667</v>
      </c>
      <c r="H450">
        <v>2</v>
      </c>
      <c r="I450">
        <v>8</v>
      </c>
      <c r="J450" t="b">
        <v>0</v>
      </c>
      <c r="K450" t="b">
        <v>0</v>
      </c>
      <c r="L450" t="b">
        <v>0</v>
      </c>
      <c r="M450">
        <v>4</v>
      </c>
      <c r="N450" t="s">
        <v>1118</v>
      </c>
      <c r="O450" s="1">
        <v>46278.489583333343</v>
      </c>
      <c r="P450" t="b">
        <v>0</v>
      </c>
      <c r="Q450" t="s">
        <v>1179</v>
      </c>
      <c r="R450" t="s">
        <v>1120</v>
      </c>
      <c r="S450" t="s">
        <v>1132</v>
      </c>
      <c r="T450" t="s">
        <v>1122</v>
      </c>
      <c r="U450" t="s">
        <v>1145</v>
      </c>
      <c r="V450" t="s">
        <v>1151</v>
      </c>
      <c r="W450" t="s">
        <v>1257</v>
      </c>
      <c r="X450">
        <v>11</v>
      </c>
      <c r="Y450" t="s">
        <v>1133</v>
      </c>
      <c r="Z450" t="s">
        <v>1147</v>
      </c>
      <c r="AA450">
        <v>4</v>
      </c>
    </row>
    <row r="451" spans="1:27" x14ac:dyDescent="0.3">
      <c r="A451" t="s">
        <v>316</v>
      </c>
      <c r="B451" t="s">
        <v>1441</v>
      </c>
      <c r="C451" t="s">
        <v>1083</v>
      </c>
      <c r="D451" t="s">
        <v>1283</v>
      </c>
      <c r="E451" t="s">
        <v>1292</v>
      </c>
      <c r="F451" s="1">
        <v>46278.497916666667</v>
      </c>
      <c r="G451" s="1">
        <v>46278.503472222219</v>
      </c>
      <c r="H451">
        <v>3</v>
      </c>
      <c r="I451">
        <v>8</v>
      </c>
      <c r="J451" t="b">
        <v>0</v>
      </c>
      <c r="K451" t="b">
        <v>0</v>
      </c>
      <c r="L451" t="b">
        <v>0</v>
      </c>
      <c r="M451">
        <v>4</v>
      </c>
      <c r="N451" t="s">
        <v>1118</v>
      </c>
      <c r="O451" s="1">
        <v>46278.489583333343</v>
      </c>
      <c r="P451" t="b">
        <v>0</v>
      </c>
      <c r="Q451" t="s">
        <v>1179</v>
      </c>
      <c r="R451" t="s">
        <v>1131</v>
      </c>
      <c r="S451" t="s">
        <v>1152</v>
      </c>
      <c r="T451" t="s">
        <v>1180</v>
      </c>
      <c r="U451" t="s">
        <v>1123</v>
      </c>
      <c r="V451" t="s">
        <v>1284</v>
      </c>
      <c r="W451" t="s">
        <v>1131</v>
      </c>
      <c r="X451">
        <v>11</v>
      </c>
      <c r="Y451" t="s">
        <v>1133</v>
      </c>
      <c r="Z451" t="s">
        <v>1147</v>
      </c>
      <c r="AA451">
        <v>2.666666666666667</v>
      </c>
    </row>
    <row r="452" spans="1:27" x14ac:dyDescent="0.3">
      <c r="A452" t="s">
        <v>315</v>
      </c>
      <c r="B452" t="s">
        <v>1199</v>
      </c>
      <c r="C452" t="s">
        <v>1066</v>
      </c>
      <c r="D452" t="s">
        <v>1116</v>
      </c>
      <c r="E452" t="s">
        <v>1225</v>
      </c>
      <c r="F452" s="1">
        <v>46289.23541666667</v>
      </c>
      <c r="G452" s="1">
        <v>46289.240972222222</v>
      </c>
      <c r="H452">
        <v>3</v>
      </c>
      <c r="I452">
        <v>8</v>
      </c>
      <c r="J452" t="b">
        <v>0</v>
      </c>
      <c r="K452" t="b">
        <v>0</v>
      </c>
      <c r="L452" t="b">
        <v>0</v>
      </c>
      <c r="M452">
        <v>6</v>
      </c>
      <c r="N452" t="s">
        <v>1168</v>
      </c>
      <c r="O452" s="1">
        <v>46289.22152777778</v>
      </c>
      <c r="P452" t="b">
        <v>0</v>
      </c>
      <c r="Q452" t="s">
        <v>1151</v>
      </c>
      <c r="R452" t="s">
        <v>1120</v>
      </c>
      <c r="S452" t="s">
        <v>1152</v>
      </c>
      <c r="T452" t="s">
        <v>1122</v>
      </c>
      <c r="U452" t="s">
        <v>1247</v>
      </c>
      <c r="V452" t="s">
        <v>1124</v>
      </c>
      <c r="W452" t="s">
        <v>1125</v>
      </c>
      <c r="X452">
        <v>5</v>
      </c>
      <c r="Y452" t="s">
        <v>1146</v>
      </c>
      <c r="Z452" t="s">
        <v>1134</v>
      </c>
      <c r="AA452">
        <v>2.666666666666667</v>
      </c>
    </row>
    <row r="453" spans="1:27" x14ac:dyDescent="0.3">
      <c r="A453" t="s">
        <v>787</v>
      </c>
      <c r="B453" t="s">
        <v>1135</v>
      </c>
      <c r="C453" t="s">
        <v>1082</v>
      </c>
      <c r="D453" t="s">
        <v>1283</v>
      </c>
      <c r="E453" t="s">
        <v>1240</v>
      </c>
      <c r="F453" s="1">
        <v>46269.744444444441</v>
      </c>
      <c r="G453" s="1">
        <v>46269.75</v>
      </c>
      <c r="H453">
        <v>4</v>
      </c>
      <c r="I453">
        <v>8</v>
      </c>
      <c r="J453" t="b">
        <v>0</v>
      </c>
      <c r="K453" t="b">
        <v>0</v>
      </c>
      <c r="L453" t="b">
        <v>0</v>
      </c>
      <c r="M453">
        <v>15</v>
      </c>
      <c r="N453" t="s">
        <v>1118</v>
      </c>
      <c r="O453" s="1">
        <v>46269.660416666673</v>
      </c>
      <c r="P453" t="b">
        <v>0</v>
      </c>
      <c r="Q453" t="s">
        <v>1156</v>
      </c>
      <c r="R453" t="s">
        <v>1120</v>
      </c>
      <c r="S453" t="s">
        <v>1145</v>
      </c>
      <c r="T453" t="s">
        <v>1122</v>
      </c>
      <c r="U453" t="s">
        <v>1145</v>
      </c>
      <c r="V453" t="s">
        <v>1284</v>
      </c>
      <c r="W453" t="s">
        <v>1131</v>
      </c>
      <c r="X453">
        <v>15</v>
      </c>
      <c r="Y453" t="s">
        <v>1142</v>
      </c>
      <c r="Z453" t="s">
        <v>1127</v>
      </c>
      <c r="AA453">
        <v>2</v>
      </c>
    </row>
    <row r="454" spans="1:27" x14ac:dyDescent="0.3">
      <c r="A454" t="s">
        <v>900</v>
      </c>
      <c r="B454" t="s">
        <v>1298</v>
      </c>
      <c r="C454" t="s">
        <v>1079</v>
      </c>
      <c r="D454" t="s">
        <v>1238</v>
      </c>
      <c r="E454" t="s">
        <v>1233</v>
      </c>
      <c r="F454" s="1">
        <v>46271.586111111108</v>
      </c>
      <c r="G454" s="1">
        <v>46271.591666666667</v>
      </c>
      <c r="H454">
        <v>1</v>
      </c>
      <c r="I454">
        <v>8</v>
      </c>
      <c r="J454" t="b">
        <v>0</v>
      </c>
      <c r="K454" t="b">
        <v>0</v>
      </c>
      <c r="L454" t="b">
        <v>0</v>
      </c>
      <c r="M454">
        <v>8</v>
      </c>
      <c r="N454" t="s">
        <v>1155</v>
      </c>
      <c r="O454" s="1">
        <v>46271.509027777778</v>
      </c>
      <c r="P454" t="b">
        <v>0</v>
      </c>
      <c r="Q454" t="s">
        <v>1179</v>
      </c>
      <c r="R454" t="s">
        <v>1120</v>
      </c>
      <c r="S454" t="s">
        <v>1132</v>
      </c>
      <c r="T454" t="s">
        <v>1145</v>
      </c>
      <c r="U454" t="s">
        <v>1123</v>
      </c>
      <c r="V454" t="s">
        <v>1151</v>
      </c>
      <c r="W454" t="s">
        <v>1131</v>
      </c>
      <c r="X454">
        <v>12</v>
      </c>
      <c r="Y454" t="s">
        <v>1133</v>
      </c>
      <c r="Z454" t="s">
        <v>1134</v>
      </c>
      <c r="AA454">
        <v>8</v>
      </c>
    </row>
    <row r="455" spans="1:27" x14ac:dyDescent="0.3">
      <c r="A455" t="s">
        <v>150</v>
      </c>
      <c r="B455" t="s">
        <v>1286</v>
      </c>
      <c r="C455" t="s">
        <v>1079</v>
      </c>
      <c r="D455" t="s">
        <v>1283</v>
      </c>
      <c r="E455" t="s">
        <v>1309</v>
      </c>
      <c r="F455" s="1">
        <v>46290.353472222218</v>
      </c>
      <c r="G455" s="1">
        <v>46290.359027777777</v>
      </c>
      <c r="H455">
        <v>3</v>
      </c>
      <c r="I455">
        <v>8</v>
      </c>
      <c r="J455" t="b">
        <v>0</v>
      </c>
      <c r="K455" t="b">
        <v>0</v>
      </c>
      <c r="L455" t="b">
        <v>0</v>
      </c>
      <c r="M455">
        <v>15</v>
      </c>
      <c r="N455" t="s">
        <v>1118</v>
      </c>
      <c r="O455" s="1">
        <v>46290.302777777782</v>
      </c>
      <c r="P455" t="b">
        <v>0</v>
      </c>
      <c r="Q455" t="s">
        <v>1119</v>
      </c>
      <c r="R455" t="s">
        <v>1120</v>
      </c>
      <c r="S455" t="s">
        <v>1157</v>
      </c>
      <c r="T455" t="s">
        <v>1145</v>
      </c>
      <c r="U455" t="s">
        <v>1123</v>
      </c>
      <c r="V455" t="s">
        <v>1284</v>
      </c>
      <c r="W455" t="s">
        <v>1131</v>
      </c>
      <c r="X455">
        <v>7</v>
      </c>
      <c r="Y455" t="s">
        <v>1142</v>
      </c>
      <c r="Z455" t="s">
        <v>1127</v>
      </c>
      <c r="AA455">
        <v>2.666666666666667</v>
      </c>
    </row>
    <row r="456" spans="1:27" x14ac:dyDescent="0.3">
      <c r="A456" t="s">
        <v>389</v>
      </c>
      <c r="B456" t="s">
        <v>1285</v>
      </c>
      <c r="C456" t="s">
        <v>1064</v>
      </c>
      <c r="D456" t="s">
        <v>1339</v>
      </c>
      <c r="E456" t="s">
        <v>1163</v>
      </c>
      <c r="F456" s="1">
        <v>46282.586111111108</v>
      </c>
      <c r="G456" s="1">
        <v>46282.591666666667</v>
      </c>
      <c r="H456">
        <v>7</v>
      </c>
      <c r="I456">
        <v>8</v>
      </c>
      <c r="J456" t="b">
        <v>0</v>
      </c>
      <c r="K456" t="b">
        <v>0</v>
      </c>
      <c r="L456" t="b">
        <v>0</v>
      </c>
      <c r="M456">
        <v>20</v>
      </c>
      <c r="N456" t="s">
        <v>1130</v>
      </c>
      <c r="O456" s="1">
        <v>46282.532638888893</v>
      </c>
      <c r="P456" t="b">
        <v>0</v>
      </c>
      <c r="Q456" t="s">
        <v>1119</v>
      </c>
      <c r="R456" t="s">
        <v>1131</v>
      </c>
      <c r="S456" t="s">
        <v>1132</v>
      </c>
      <c r="T456" t="s">
        <v>1122</v>
      </c>
      <c r="U456" t="s">
        <v>1123</v>
      </c>
      <c r="V456" t="s">
        <v>1284</v>
      </c>
      <c r="W456" t="s">
        <v>1257</v>
      </c>
      <c r="X456">
        <v>12</v>
      </c>
      <c r="Y456" t="s">
        <v>1146</v>
      </c>
      <c r="Z456" t="s">
        <v>1127</v>
      </c>
      <c r="AA456">
        <v>1.142857142857143</v>
      </c>
    </row>
    <row r="457" spans="1:27" x14ac:dyDescent="0.3">
      <c r="A457" t="s">
        <v>383</v>
      </c>
      <c r="B457" t="s">
        <v>1334</v>
      </c>
      <c r="C457" t="s">
        <v>1079</v>
      </c>
      <c r="D457" t="s">
        <v>1280</v>
      </c>
      <c r="E457" t="s">
        <v>1159</v>
      </c>
      <c r="F457" s="1">
        <v>46288.297222222223</v>
      </c>
      <c r="G457" s="1">
        <v>46288.302777777782</v>
      </c>
      <c r="H457">
        <v>4</v>
      </c>
      <c r="I457">
        <v>8</v>
      </c>
      <c r="J457" t="b">
        <v>0</v>
      </c>
      <c r="K457" t="b">
        <v>0</v>
      </c>
      <c r="L457" t="b">
        <v>0</v>
      </c>
      <c r="M457">
        <v>5</v>
      </c>
      <c r="N457" t="s">
        <v>1118</v>
      </c>
      <c r="O457" s="1">
        <v>46288.262499999997</v>
      </c>
      <c r="P457" t="b">
        <v>0</v>
      </c>
      <c r="Q457" t="s">
        <v>1138</v>
      </c>
      <c r="R457" t="s">
        <v>1120</v>
      </c>
      <c r="S457" t="s">
        <v>1132</v>
      </c>
      <c r="T457" t="s">
        <v>1145</v>
      </c>
      <c r="U457" t="s">
        <v>1123</v>
      </c>
      <c r="V457" t="s">
        <v>1151</v>
      </c>
      <c r="W457" t="s">
        <v>1257</v>
      </c>
      <c r="X457">
        <v>6</v>
      </c>
      <c r="Y457" t="s">
        <v>1161</v>
      </c>
      <c r="Z457" t="s">
        <v>1147</v>
      </c>
      <c r="AA457">
        <v>2</v>
      </c>
    </row>
    <row r="458" spans="1:27" x14ac:dyDescent="0.3">
      <c r="A458" t="s">
        <v>814</v>
      </c>
      <c r="B458" t="s">
        <v>1322</v>
      </c>
      <c r="C458" t="s">
        <v>1073</v>
      </c>
      <c r="D458" t="s">
        <v>1149</v>
      </c>
      <c r="E458" t="s">
        <v>1204</v>
      </c>
      <c r="F458" s="1">
        <v>46292.184027777781</v>
      </c>
      <c r="G458" s="1">
        <v>46292.189583333333</v>
      </c>
      <c r="H458">
        <v>6</v>
      </c>
      <c r="I458">
        <v>8</v>
      </c>
      <c r="J458" t="b">
        <v>0</v>
      </c>
      <c r="K458" t="b">
        <v>0</v>
      </c>
      <c r="L458" t="b">
        <v>0</v>
      </c>
      <c r="M458">
        <v>6</v>
      </c>
      <c r="N458" t="s">
        <v>1130</v>
      </c>
      <c r="O458" s="1">
        <v>46292.150694444441</v>
      </c>
      <c r="P458" t="b">
        <v>0</v>
      </c>
      <c r="Q458" t="s">
        <v>1169</v>
      </c>
      <c r="R458" t="s">
        <v>1131</v>
      </c>
      <c r="S458" t="s">
        <v>1157</v>
      </c>
      <c r="T458" t="s">
        <v>1122</v>
      </c>
      <c r="U458" t="s">
        <v>1247</v>
      </c>
      <c r="V458" t="s">
        <v>1152</v>
      </c>
      <c r="W458" t="s">
        <v>1145</v>
      </c>
      <c r="X458">
        <v>3</v>
      </c>
      <c r="Y458" t="s">
        <v>1133</v>
      </c>
      <c r="Z458" t="s">
        <v>1134</v>
      </c>
      <c r="AA458">
        <v>1.333333333333333</v>
      </c>
    </row>
    <row r="459" spans="1:27" x14ac:dyDescent="0.3">
      <c r="A459" t="s">
        <v>812</v>
      </c>
      <c r="B459" t="s">
        <v>1442</v>
      </c>
      <c r="C459" t="s">
        <v>1060</v>
      </c>
      <c r="D459" t="s">
        <v>1280</v>
      </c>
      <c r="E459" t="s">
        <v>1340</v>
      </c>
      <c r="F459" s="1">
        <v>46286.418749999997</v>
      </c>
      <c r="G459" s="1">
        <v>46286.424305555563</v>
      </c>
      <c r="H459">
        <v>7</v>
      </c>
      <c r="I459">
        <v>8</v>
      </c>
      <c r="J459" t="b">
        <v>0</v>
      </c>
      <c r="K459" t="b">
        <v>0</v>
      </c>
      <c r="L459" t="b">
        <v>0</v>
      </c>
      <c r="M459">
        <v>3</v>
      </c>
      <c r="N459" t="s">
        <v>1168</v>
      </c>
      <c r="O459" s="1">
        <v>46286.327777777777</v>
      </c>
      <c r="P459" t="b">
        <v>0</v>
      </c>
      <c r="Q459" t="s">
        <v>1145</v>
      </c>
      <c r="R459" t="s">
        <v>1131</v>
      </c>
      <c r="S459" t="s">
        <v>1121</v>
      </c>
      <c r="T459" t="s">
        <v>1140</v>
      </c>
      <c r="U459" t="s">
        <v>1145</v>
      </c>
      <c r="V459" t="s">
        <v>1151</v>
      </c>
      <c r="W459" t="s">
        <v>1257</v>
      </c>
      <c r="X459">
        <v>7</v>
      </c>
      <c r="Y459" t="s">
        <v>1185</v>
      </c>
      <c r="Z459" t="s">
        <v>1147</v>
      </c>
      <c r="AA459">
        <v>1.142857142857143</v>
      </c>
    </row>
    <row r="460" spans="1:27" x14ac:dyDescent="0.3">
      <c r="A460" t="s">
        <v>617</v>
      </c>
      <c r="B460" t="s">
        <v>1443</v>
      </c>
      <c r="C460" t="s">
        <v>1067</v>
      </c>
      <c r="D460" t="s">
        <v>1255</v>
      </c>
      <c r="E460" t="s">
        <v>1309</v>
      </c>
      <c r="F460" s="1">
        <v>46288.09375</v>
      </c>
      <c r="G460" s="1">
        <v>46288.099305555559</v>
      </c>
      <c r="H460">
        <v>7</v>
      </c>
      <c r="I460">
        <v>8</v>
      </c>
      <c r="J460" t="b">
        <v>0</v>
      </c>
      <c r="K460" t="b">
        <v>0</v>
      </c>
      <c r="L460" t="b">
        <v>0</v>
      </c>
      <c r="M460">
        <v>5</v>
      </c>
      <c r="N460" t="s">
        <v>1168</v>
      </c>
      <c r="O460" s="1">
        <v>46288.077777777777</v>
      </c>
      <c r="P460" t="b">
        <v>0</v>
      </c>
      <c r="Q460" t="s">
        <v>1119</v>
      </c>
      <c r="R460" t="s">
        <v>1120</v>
      </c>
      <c r="S460" t="s">
        <v>1157</v>
      </c>
      <c r="T460" t="s">
        <v>1180</v>
      </c>
      <c r="U460" t="s">
        <v>1247</v>
      </c>
      <c r="V460" t="s">
        <v>1141</v>
      </c>
      <c r="W460" t="s">
        <v>1257</v>
      </c>
      <c r="X460">
        <v>1</v>
      </c>
      <c r="Y460" t="s">
        <v>1161</v>
      </c>
      <c r="Z460" t="s">
        <v>1147</v>
      </c>
      <c r="AA460">
        <v>1.142857142857143</v>
      </c>
    </row>
    <row r="461" spans="1:27" x14ac:dyDescent="0.3">
      <c r="A461" t="s">
        <v>614</v>
      </c>
      <c r="B461" t="s">
        <v>1381</v>
      </c>
      <c r="C461" t="s">
        <v>1075</v>
      </c>
      <c r="D461" t="s">
        <v>1255</v>
      </c>
      <c r="E461" t="s">
        <v>1340</v>
      </c>
      <c r="F461" s="1">
        <v>46291.119444444441</v>
      </c>
      <c r="G461" s="1">
        <v>46291.125</v>
      </c>
      <c r="H461">
        <v>3</v>
      </c>
      <c r="I461">
        <v>8</v>
      </c>
      <c r="J461" t="b">
        <v>0</v>
      </c>
      <c r="K461" t="b">
        <v>0</v>
      </c>
      <c r="L461" t="b">
        <v>0</v>
      </c>
      <c r="M461">
        <v>3</v>
      </c>
      <c r="N461" t="s">
        <v>1130</v>
      </c>
      <c r="O461" s="1">
        <v>46291.114583333343</v>
      </c>
      <c r="P461" t="b">
        <v>0</v>
      </c>
      <c r="Q461" t="s">
        <v>1145</v>
      </c>
      <c r="R461" t="s">
        <v>1131</v>
      </c>
      <c r="S461" t="s">
        <v>1121</v>
      </c>
      <c r="T461" t="s">
        <v>1122</v>
      </c>
      <c r="U461" t="s">
        <v>1172</v>
      </c>
      <c r="V461" t="s">
        <v>1141</v>
      </c>
      <c r="W461" t="s">
        <v>1257</v>
      </c>
      <c r="X461">
        <v>2</v>
      </c>
      <c r="Y461" t="s">
        <v>1173</v>
      </c>
      <c r="Z461" t="s">
        <v>1147</v>
      </c>
      <c r="AA461">
        <v>2.666666666666667</v>
      </c>
    </row>
    <row r="462" spans="1:27" x14ac:dyDescent="0.3">
      <c r="A462" t="s">
        <v>607</v>
      </c>
      <c r="B462" t="s">
        <v>1208</v>
      </c>
      <c r="C462" t="s">
        <v>1061</v>
      </c>
      <c r="D462" t="s">
        <v>1255</v>
      </c>
      <c r="E462" t="s">
        <v>1301</v>
      </c>
      <c r="F462" s="1">
        <v>46269.536111111112</v>
      </c>
      <c r="G462" s="1">
        <v>46269.541666666657</v>
      </c>
      <c r="H462">
        <v>5</v>
      </c>
      <c r="I462">
        <v>8</v>
      </c>
      <c r="J462" t="b">
        <v>0</v>
      </c>
      <c r="K462" t="b">
        <v>0</v>
      </c>
      <c r="L462" t="b">
        <v>0</v>
      </c>
      <c r="M462">
        <v>12</v>
      </c>
      <c r="N462" t="s">
        <v>1118</v>
      </c>
      <c r="O462" s="1">
        <v>46269.521527777782</v>
      </c>
      <c r="P462" t="b">
        <v>0</v>
      </c>
      <c r="Q462" t="s">
        <v>1169</v>
      </c>
      <c r="R462" t="s">
        <v>1131</v>
      </c>
      <c r="S462" t="s">
        <v>1145</v>
      </c>
      <c r="T462" t="s">
        <v>1145</v>
      </c>
      <c r="U462" t="s">
        <v>1172</v>
      </c>
      <c r="V462" t="s">
        <v>1141</v>
      </c>
      <c r="W462" t="s">
        <v>1257</v>
      </c>
      <c r="X462">
        <v>12</v>
      </c>
      <c r="Y462" t="s">
        <v>1142</v>
      </c>
      <c r="Z462" t="s">
        <v>1127</v>
      </c>
      <c r="AA462">
        <v>1.6</v>
      </c>
    </row>
    <row r="463" spans="1:27" x14ac:dyDescent="0.3">
      <c r="A463" t="s">
        <v>605</v>
      </c>
      <c r="B463" t="s">
        <v>1208</v>
      </c>
      <c r="C463" t="s">
        <v>1057</v>
      </c>
      <c r="D463" t="s">
        <v>1283</v>
      </c>
      <c r="E463" t="s">
        <v>1305</v>
      </c>
      <c r="F463" s="1">
        <v>46269.54791666667</v>
      </c>
      <c r="G463" s="1">
        <v>46269.553472222222</v>
      </c>
      <c r="H463">
        <v>7</v>
      </c>
      <c r="I463">
        <v>8</v>
      </c>
      <c r="J463" t="b">
        <v>0</v>
      </c>
      <c r="K463" t="b">
        <v>0</v>
      </c>
      <c r="L463" t="b">
        <v>0</v>
      </c>
      <c r="M463">
        <v>12</v>
      </c>
      <c r="N463" t="s">
        <v>1118</v>
      </c>
      <c r="O463" s="1">
        <v>46269.521527777782</v>
      </c>
      <c r="P463" t="b">
        <v>0</v>
      </c>
      <c r="Q463" t="s">
        <v>1156</v>
      </c>
      <c r="R463" t="s">
        <v>1131</v>
      </c>
      <c r="S463" t="s">
        <v>1157</v>
      </c>
      <c r="T463" t="s">
        <v>1122</v>
      </c>
      <c r="U463" t="s">
        <v>1172</v>
      </c>
      <c r="V463" t="s">
        <v>1284</v>
      </c>
      <c r="W463" t="s">
        <v>1131</v>
      </c>
      <c r="X463">
        <v>12</v>
      </c>
      <c r="Y463" t="s">
        <v>1142</v>
      </c>
      <c r="Z463" t="s">
        <v>1127</v>
      </c>
      <c r="AA463">
        <v>1.142857142857143</v>
      </c>
    </row>
    <row r="464" spans="1:27" x14ac:dyDescent="0.3">
      <c r="A464" t="s">
        <v>811</v>
      </c>
      <c r="B464" t="s">
        <v>1442</v>
      </c>
      <c r="C464" t="s">
        <v>1087</v>
      </c>
      <c r="D464" t="s">
        <v>1238</v>
      </c>
      <c r="E464" t="s">
        <v>1317</v>
      </c>
      <c r="F464" s="1">
        <v>46286.451388888891</v>
      </c>
      <c r="G464" s="1">
        <v>46286.456944444442</v>
      </c>
      <c r="H464">
        <v>3</v>
      </c>
      <c r="I464">
        <v>8</v>
      </c>
      <c r="J464" t="b">
        <v>0</v>
      </c>
      <c r="K464" t="b">
        <v>0</v>
      </c>
      <c r="L464" t="b">
        <v>0</v>
      </c>
      <c r="M464">
        <v>3</v>
      </c>
      <c r="N464" t="s">
        <v>1168</v>
      </c>
      <c r="O464" s="1">
        <v>46286.327777777777</v>
      </c>
      <c r="P464" t="b">
        <v>0</v>
      </c>
      <c r="Q464" t="s">
        <v>1156</v>
      </c>
      <c r="R464" t="s">
        <v>1120</v>
      </c>
      <c r="S464" t="s">
        <v>1152</v>
      </c>
      <c r="T464" t="s">
        <v>1145</v>
      </c>
      <c r="U464" t="s">
        <v>1247</v>
      </c>
      <c r="V464" t="s">
        <v>1151</v>
      </c>
      <c r="W464" t="s">
        <v>1131</v>
      </c>
      <c r="X464">
        <v>7</v>
      </c>
      <c r="Y464" t="s">
        <v>1185</v>
      </c>
      <c r="Z464" t="s">
        <v>1147</v>
      </c>
      <c r="AA464">
        <v>2.666666666666667</v>
      </c>
    </row>
    <row r="465" spans="1:27" x14ac:dyDescent="0.3">
      <c r="A465" t="s">
        <v>796</v>
      </c>
      <c r="B465" t="s">
        <v>1318</v>
      </c>
      <c r="C465" t="s">
        <v>1067</v>
      </c>
      <c r="D465" t="s">
        <v>1255</v>
      </c>
      <c r="E465" t="s">
        <v>1336</v>
      </c>
      <c r="F465" s="1">
        <v>46293.943055555559</v>
      </c>
      <c r="G465" s="1">
        <v>46293.948611111111</v>
      </c>
      <c r="H465">
        <v>3</v>
      </c>
      <c r="I465">
        <v>8</v>
      </c>
      <c r="J465" t="b">
        <v>0</v>
      </c>
      <c r="K465" t="b">
        <v>0</v>
      </c>
      <c r="L465" t="b">
        <v>0</v>
      </c>
      <c r="M465">
        <v>8</v>
      </c>
      <c r="N465" t="s">
        <v>1130</v>
      </c>
      <c r="O465" s="1">
        <v>46293.824999999997</v>
      </c>
      <c r="P465" t="b">
        <v>0</v>
      </c>
      <c r="Q465" t="s">
        <v>1179</v>
      </c>
      <c r="R465" t="s">
        <v>1120</v>
      </c>
      <c r="S465" t="s">
        <v>1152</v>
      </c>
      <c r="T465" t="s">
        <v>1180</v>
      </c>
      <c r="U465" t="s">
        <v>1247</v>
      </c>
      <c r="V465" t="s">
        <v>1141</v>
      </c>
      <c r="W465" t="s">
        <v>1257</v>
      </c>
      <c r="X465">
        <v>19</v>
      </c>
      <c r="Y465" t="s">
        <v>1185</v>
      </c>
      <c r="Z465" t="s">
        <v>1134</v>
      </c>
      <c r="AA465">
        <v>2.666666666666667</v>
      </c>
    </row>
    <row r="466" spans="1:27" x14ac:dyDescent="0.3">
      <c r="A466" t="s">
        <v>794</v>
      </c>
      <c r="B466" t="s">
        <v>1318</v>
      </c>
      <c r="C466" t="s">
        <v>1077</v>
      </c>
      <c r="D466" t="s">
        <v>1280</v>
      </c>
      <c r="E466" t="s">
        <v>1240</v>
      </c>
      <c r="F466" s="1">
        <v>46293.845833333333</v>
      </c>
      <c r="G466" s="1">
        <v>46293.851388888892</v>
      </c>
      <c r="H466">
        <v>3</v>
      </c>
      <c r="I466">
        <v>8</v>
      </c>
      <c r="J466" t="b">
        <v>0</v>
      </c>
      <c r="K466" t="b">
        <v>0</v>
      </c>
      <c r="L466" t="b">
        <v>0</v>
      </c>
      <c r="M466">
        <v>8</v>
      </c>
      <c r="N466" t="s">
        <v>1130</v>
      </c>
      <c r="O466" s="1">
        <v>46293.824999999997</v>
      </c>
      <c r="P466" t="b">
        <v>0</v>
      </c>
      <c r="Q466" t="s">
        <v>1156</v>
      </c>
      <c r="R466" t="s">
        <v>1120</v>
      </c>
      <c r="S466" t="s">
        <v>1145</v>
      </c>
      <c r="T466" t="s">
        <v>1122</v>
      </c>
      <c r="U466" t="s">
        <v>1172</v>
      </c>
      <c r="V466" t="s">
        <v>1151</v>
      </c>
      <c r="W466" t="s">
        <v>1257</v>
      </c>
      <c r="X466">
        <v>19</v>
      </c>
      <c r="Y466" t="s">
        <v>1185</v>
      </c>
      <c r="Z466" t="s">
        <v>1134</v>
      </c>
      <c r="AA466">
        <v>2.666666666666667</v>
      </c>
    </row>
    <row r="467" spans="1:27" x14ac:dyDescent="0.3">
      <c r="A467" t="s">
        <v>329</v>
      </c>
      <c r="B467" t="s">
        <v>1444</v>
      </c>
      <c r="C467" t="s">
        <v>1070</v>
      </c>
      <c r="D467" t="s">
        <v>1283</v>
      </c>
      <c r="E467" t="s">
        <v>1154</v>
      </c>
      <c r="F467" s="1">
        <v>46293.9</v>
      </c>
      <c r="G467" s="1">
        <v>46293.905555555553</v>
      </c>
      <c r="H467">
        <v>7</v>
      </c>
      <c r="I467">
        <v>8</v>
      </c>
      <c r="J467" t="b">
        <v>0</v>
      </c>
      <c r="K467" t="b">
        <v>0</v>
      </c>
      <c r="L467" t="b">
        <v>0</v>
      </c>
      <c r="M467">
        <v>5</v>
      </c>
      <c r="N467" t="s">
        <v>1130</v>
      </c>
      <c r="O467" s="1">
        <v>46293.813194444447</v>
      </c>
      <c r="P467" t="b">
        <v>0</v>
      </c>
      <c r="Q467" t="s">
        <v>1156</v>
      </c>
      <c r="R467" t="s">
        <v>1131</v>
      </c>
      <c r="S467" t="s">
        <v>1157</v>
      </c>
      <c r="T467" t="s">
        <v>1180</v>
      </c>
      <c r="U467" t="s">
        <v>1145</v>
      </c>
      <c r="V467" t="s">
        <v>1284</v>
      </c>
      <c r="W467" t="s">
        <v>1131</v>
      </c>
      <c r="X467">
        <v>19</v>
      </c>
      <c r="Y467" t="s">
        <v>1185</v>
      </c>
      <c r="Z467" t="s">
        <v>1147</v>
      </c>
      <c r="AA467">
        <v>1.142857142857143</v>
      </c>
    </row>
    <row r="468" spans="1:27" x14ac:dyDescent="0.3">
      <c r="A468" t="s">
        <v>589</v>
      </c>
      <c r="B468" t="s">
        <v>1445</v>
      </c>
      <c r="C468" t="s">
        <v>1057</v>
      </c>
      <c r="D468" t="s">
        <v>1136</v>
      </c>
      <c r="E468" t="s">
        <v>1383</v>
      </c>
      <c r="F468" s="1">
        <v>46266.642361111109</v>
      </c>
      <c r="G468" s="1">
        <v>46266.647916666669</v>
      </c>
      <c r="H468">
        <v>2</v>
      </c>
      <c r="I468">
        <v>8</v>
      </c>
      <c r="J468" t="b">
        <v>0</v>
      </c>
      <c r="K468" t="b">
        <v>0</v>
      </c>
      <c r="L468" t="b">
        <v>0</v>
      </c>
      <c r="M468">
        <v>4</v>
      </c>
      <c r="N468" t="s">
        <v>1168</v>
      </c>
      <c r="O468" s="1">
        <v>46266.520833333343</v>
      </c>
      <c r="P468" t="b">
        <v>0</v>
      </c>
      <c r="Q468" t="s">
        <v>1119</v>
      </c>
      <c r="R468" t="s">
        <v>1131</v>
      </c>
      <c r="S468" t="s">
        <v>1132</v>
      </c>
      <c r="T468" t="s">
        <v>1122</v>
      </c>
      <c r="U468" t="s">
        <v>1172</v>
      </c>
      <c r="V468" t="s">
        <v>1141</v>
      </c>
      <c r="W468" t="s">
        <v>1125</v>
      </c>
      <c r="X468">
        <v>12</v>
      </c>
      <c r="Y468" t="s">
        <v>1126</v>
      </c>
      <c r="Z468" t="s">
        <v>1147</v>
      </c>
      <c r="AA468">
        <v>4</v>
      </c>
    </row>
    <row r="469" spans="1:27" x14ac:dyDescent="0.3">
      <c r="A469" t="s">
        <v>588</v>
      </c>
      <c r="B469" t="s">
        <v>1445</v>
      </c>
      <c r="C469" t="s">
        <v>1087</v>
      </c>
      <c r="D469" t="s">
        <v>1149</v>
      </c>
      <c r="E469" t="s">
        <v>1287</v>
      </c>
      <c r="F469" s="1">
        <v>46266.60833333333</v>
      </c>
      <c r="G469" s="1">
        <v>46266.613888888889</v>
      </c>
      <c r="H469">
        <v>3</v>
      </c>
      <c r="I469">
        <v>8</v>
      </c>
      <c r="J469" t="b">
        <v>0</v>
      </c>
      <c r="K469" t="b">
        <v>0</v>
      </c>
      <c r="L469" t="b">
        <v>0</v>
      </c>
      <c r="M469">
        <v>4</v>
      </c>
      <c r="N469" t="s">
        <v>1168</v>
      </c>
      <c r="O469" s="1">
        <v>46266.520833333343</v>
      </c>
      <c r="P469" t="b">
        <v>0</v>
      </c>
      <c r="Q469" t="s">
        <v>1179</v>
      </c>
      <c r="R469" t="s">
        <v>1120</v>
      </c>
      <c r="S469" t="s">
        <v>1145</v>
      </c>
      <c r="T469" t="s">
        <v>1145</v>
      </c>
      <c r="U469" t="s">
        <v>1247</v>
      </c>
      <c r="V469" t="s">
        <v>1152</v>
      </c>
      <c r="W469" t="s">
        <v>1145</v>
      </c>
      <c r="X469">
        <v>12</v>
      </c>
      <c r="Y469" t="s">
        <v>1126</v>
      </c>
      <c r="Z469" t="s">
        <v>1147</v>
      </c>
      <c r="AA469">
        <v>2.666666666666667</v>
      </c>
    </row>
    <row r="470" spans="1:27" x14ac:dyDescent="0.3">
      <c r="A470" t="s">
        <v>587</v>
      </c>
      <c r="B470" t="s">
        <v>1446</v>
      </c>
      <c r="C470" t="s">
        <v>1068</v>
      </c>
      <c r="D470" t="s">
        <v>1255</v>
      </c>
      <c r="E470" t="s">
        <v>1233</v>
      </c>
      <c r="F470" s="1">
        <v>46278.435416666667</v>
      </c>
      <c r="G470" s="1">
        <v>46278.440972222219</v>
      </c>
      <c r="H470">
        <v>5</v>
      </c>
      <c r="I470">
        <v>8</v>
      </c>
      <c r="J470" t="b">
        <v>0</v>
      </c>
      <c r="K470" t="b">
        <v>0</v>
      </c>
      <c r="L470" t="b">
        <v>0</v>
      </c>
      <c r="M470">
        <v>4</v>
      </c>
      <c r="N470" t="s">
        <v>1130</v>
      </c>
      <c r="O470" s="1">
        <v>46278.368055555547</v>
      </c>
      <c r="P470" t="b">
        <v>0</v>
      </c>
      <c r="Q470" t="s">
        <v>1179</v>
      </c>
      <c r="R470" t="s">
        <v>1120</v>
      </c>
      <c r="S470" t="s">
        <v>1132</v>
      </c>
      <c r="T470" t="s">
        <v>1122</v>
      </c>
      <c r="U470" t="s">
        <v>1123</v>
      </c>
      <c r="V470" t="s">
        <v>1141</v>
      </c>
      <c r="W470" t="s">
        <v>1257</v>
      </c>
      <c r="X470">
        <v>8</v>
      </c>
      <c r="Y470" t="s">
        <v>1133</v>
      </c>
      <c r="Z470" t="s">
        <v>1147</v>
      </c>
      <c r="AA470">
        <v>1.6</v>
      </c>
    </row>
    <row r="471" spans="1:27" x14ac:dyDescent="0.3">
      <c r="A471" t="s">
        <v>210</v>
      </c>
      <c r="B471" t="s">
        <v>1407</v>
      </c>
      <c r="C471" t="s">
        <v>1058</v>
      </c>
      <c r="D471" t="s">
        <v>1339</v>
      </c>
      <c r="E471" t="s">
        <v>1346</v>
      </c>
      <c r="F471" s="1">
        <v>46280.066666666673</v>
      </c>
      <c r="G471" s="1">
        <v>46280.072222222218</v>
      </c>
      <c r="H471">
        <v>5</v>
      </c>
      <c r="I471">
        <v>8</v>
      </c>
      <c r="J471" t="b">
        <v>0</v>
      </c>
      <c r="K471" t="b">
        <v>0</v>
      </c>
      <c r="L471" t="b">
        <v>0</v>
      </c>
      <c r="M471">
        <v>15</v>
      </c>
      <c r="N471" t="s">
        <v>1130</v>
      </c>
      <c r="O471" s="1">
        <v>46279.98541666667</v>
      </c>
      <c r="P471" t="b">
        <v>0</v>
      </c>
      <c r="Q471" t="s">
        <v>1179</v>
      </c>
      <c r="R471" t="s">
        <v>1120</v>
      </c>
      <c r="S471" t="s">
        <v>1121</v>
      </c>
      <c r="T471" t="s">
        <v>1122</v>
      </c>
      <c r="U471" t="s">
        <v>1145</v>
      </c>
      <c r="V471" t="s">
        <v>1284</v>
      </c>
      <c r="W471" t="s">
        <v>1257</v>
      </c>
      <c r="X471">
        <v>23</v>
      </c>
      <c r="Y471" t="s">
        <v>1185</v>
      </c>
      <c r="Z471" t="s">
        <v>1127</v>
      </c>
      <c r="AA471">
        <v>1.6</v>
      </c>
    </row>
    <row r="472" spans="1:27" x14ac:dyDescent="0.3">
      <c r="A472" t="s">
        <v>202</v>
      </c>
      <c r="B472" t="s">
        <v>1186</v>
      </c>
      <c r="C472" t="s">
        <v>1068</v>
      </c>
      <c r="D472" t="s">
        <v>1280</v>
      </c>
      <c r="E472" t="s">
        <v>1117</v>
      </c>
      <c r="F472" s="1">
        <v>46274.709722222222</v>
      </c>
      <c r="G472" s="1">
        <v>46274.715277777781</v>
      </c>
      <c r="H472">
        <v>4</v>
      </c>
      <c r="I472">
        <v>8</v>
      </c>
      <c r="J472" t="b">
        <v>0</v>
      </c>
      <c r="K472" t="b">
        <v>0</v>
      </c>
      <c r="L472" t="b">
        <v>0</v>
      </c>
      <c r="M472">
        <v>10</v>
      </c>
      <c r="N472" t="s">
        <v>1118</v>
      </c>
      <c r="O472" s="1">
        <v>46274.652083333327</v>
      </c>
      <c r="P472" t="b">
        <v>0</v>
      </c>
      <c r="Q472" t="s">
        <v>1119</v>
      </c>
      <c r="R472" t="s">
        <v>1120</v>
      </c>
      <c r="S472" t="s">
        <v>1121</v>
      </c>
      <c r="T472" t="s">
        <v>1122</v>
      </c>
      <c r="U472" t="s">
        <v>1123</v>
      </c>
      <c r="V472" t="s">
        <v>1151</v>
      </c>
      <c r="W472" t="s">
        <v>1257</v>
      </c>
      <c r="X472">
        <v>15</v>
      </c>
      <c r="Y472" t="s">
        <v>1161</v>
      </c>
      <c r="Z472" t="s">
        <v>1134</v>
      </c>
      <c r="AA472">
        <v>2</v>
      </c>
    </row>
    <row r="473" spans="1:27" x14ac:dyDescent="0.3">
      <c r="A473" t="s">
        <v>540</v>
      </c>
      <c r="B473" t="s">
        <v>1303</v>
      </c>
      <c r="C473" t="s">
        <v>1057</v>
      </c>
      <c r="D473" t="s">
        <v>1238</v>
      </c>
      <c r="E473" t="s">
        <v>1336</v>
      </c>
      <c r="F473" s="1">
        <v>46290.76458333333</v>
      </c>
      <c r="G473" s="1">
        <v>46290.770138888889</v>
      </c>
      <c r="H473">
        <v>1</v>
      </c>
      <c r="I473">
        <v>8</v>
      </c>
      <c r="J473" t="b">
        <v>0</v>
      </c>
      <c r="K473" t="b">
        <v>0</v>
      </c>
      <c r="L473" t="b">
        <v>0</v>
      </c>
      <c r="M473">
        <v>5</v>
      </c>
      <c r="N473" t="s">
        <v>1155</v>
      </c>
      <c r="O473" s="1">
        <v>46290.7</v>
      </c>
      <c r="P473" t="b">
        <v>0</v>
      </c>
      <c r="Q473" t="s">
        <v>1179</v>
      </c>
      <c r="R473" t="s">
        <v>1120</v>
      </c>
      <c r="S473" t="s">
        <v>1152</v>
      </c>
      <c r="T473" t="s">
        <v>1122</v>
      </c>
      <c r="U473" t="s">
        <v>1172</v>
      </c>
      <c r="V473" t="s">
        <v>1151</v>
      </c>
      <c r="W473" t="s">
        <v>1131</v>
      </c>
      <c r="X473">
        <v>16</v>
      </c>
      <c r="Y473" t="s">
        <v>1142</v>
      </c>
      <c r="Z473" t="s">
        <v>1147</v>
      </c>
      <c r="AA473">
        <v>8</v>
      </c>
    </row>
    <row r="474" spans="1:27" x14ac:dyDescent="0.3">
      <c r="A474" t="s">
        <v>537</v>
      </c>
      <c r="B474" t="s">
        <v>1190</v>
      </c>
      <c r="C474" t="s">
        <v>1074</v>
      </c>
      <c r="D474" t="s">
        <v>1238</v>
      </c>
      <c r="E474" t="s">
        <v>1196</v>
      </c>
      <c r="F474" s="1">
        <v>46284.085416666669</v>
      </c>
      <c r="G474" s="1">
        <v>46284.09097222222</v>
      </c>
      <c r="H474">
        <v>5</v>
      </c>
      <c r="I474">
        <v>8</v>
      </c>
      <c r="J474" t="b">
        <v>0</v>
      </c>
      <c r="K474" t="b">
        <v>0</v>
      </c>
      <c r="L474" t="b">
        <v>0</v>
      </c>
      <c r="M474">
        <v>12</v>
      </c>
      <c r="N474" t="s">
        <v>1130</v>
      </c>
      <c r="O474" s="1">
        <v>46284.070833333331</v>
      </c>
      <c r="P474" t="b">
        <v>0</v>
      </c>
      <c r="Q474" t="s">
        <v>1138</v>
      </c>
      <c r="R474" t="s">
        <v>1120</v>
      </c>
      <c r="S474" t="s">
        <v>1121</v>
      </c>
      <c r="T474" t="s">
        <v>1145</v>
      </c>
      <c r="U474" t="s">
        <v>1145</v>
      </c>
      <c r="V474" t="s">
        <v>1151</v>
      </c>
      <c r="W474" t="s">
        <v>1131</v>
      </c>
      <c r="X474">
        <v>1</v>
      </c>
      <c r="Y474" t="s">
        <v>1173</v>
      </c>
      <c r="Z474" t="s">
        <v>1127</v>
      </c>
      <c r="AA474">
        <v>1.6</v>
      </c>
    </row>
    <row r="475" spans="1:27" x14ac:dyDescent="0.3">
      <c r="A475" t="s">
        <v>527</v>
      </c>
      <c r="B475" t="s">
        <v>1297</v>
      </c>
      <c r="C475" t="s">
        <v>1078</v>
      </c>
      <c r="D475" t="s">
        <v>1136</v>
      </c>
      <c r="E475" t="s">
        <v>1317</v>
      </c>
      <c r="F475" s="1">
        <v>46290.067361111112</v>
      </c>
      <c r="G475" s="1">
        <v>46290.072916666657</v>
      </c>
      <c r="H475">
        <v>4</v>
      </c>
      <c r="I475">
        <v>8</v>
      </c>
      <c r="J475" t="b">
        <v>0</v>
      </c>
      <c r="K475" t="b">
        <v>0</v>
      </c>
      <c r="L475" t="b">
        <v>0</v>
      </c>
      <c r="M475">
        <v>15</v>
      </c>
      <c r="N475" t="s">
        <v>1155</v>
      </c>
      <c r="O475" s="1">
        <v>46289.979861111111</v>
      </c>
      <c r="P475" t="b">
        <v>0</v>
      </c>
      <c r="Q475" t="s">
        <v>1156</v>
      </c>
      <c r="R475" t="s">
        <v>1120</v>
      </c>
      <c r="S475" t="s">
        <v>1152</v>
      </c>
      <c r="T475" t="s">
        <v>1145</v>
      </c>
      <c r="U475" t="s">
        <v>1172</v>
      </c>
      <c r="V475" t="s">
        <v>1141</v>
      </c>
      <c r="W475" t="s">
        <v>1125</v>
      </c>
      <c r="X475">
        <v>23</v>
      </c>
      <c r="Y475" t="s">
        <v>1146</v>
      </c>
      <c r="Z475" t="s">
        <v>1127</v>
      </c>
      <c r="AA475">
        <v>2</v>
      </c>
    </row>
    <row r="476" spans="1:27" x14ac:dyDescent="0.3">
      <c r="A476" t="s">
        <v>523</v>
      </c>
      <c r="B476" t="s">
        <v>1447</v>
      </c>
      <c r="C476" t="s">
        <v>1078</v>
      </c>
      <c r="D476" t="s">
        <v>1116</v>
      </c>
      <c r="E476" t="s">
        <v>1398</v>
      </c>
      <c r="F476" s="1">
        <v>46280.885416666657</v>
      </c>
      <c r="G476" s="1">
        <v>46280.890972222223</v>
      </c>
      <c r="H476">
        <v>1</v>
      </c>
      <c r="I476">
        <v>8</v>
      </c>
      <c r="J476" t="b">
        <v>0</v>
      </c>
      <c r="K476" t="b">
        <v>0</v>
      </c>
      <c r="L476" t="b">
        <v>0</v>
      </c>
      <c r="M476">
        <v>8</v>
      </c>
      <c r="N476" t="s">
        <v>1155</v>
      </c>
      <c r="O476" s="1">
        <v>46280.80972222222</v>
      </c>
      <c r="P476" t="b">
        <v>0</v>
      </c>
      <c r="Q476" t="s">
        <v>1169</v>
      </c>
      <c r="R476" t="s">
        <v>1120</v>
      </c>
      <c r="S476" t="s">
        <v>1132</v>
      </c>
      <c r="T476" t="s">
        <v>1145</v>
      </c>
      <c r="U476" t="s">
        <v>1172</v>
      </c>
      <c r="V476" t="s">
        <v>1124</v>
      </c>
      <c r="W476" t="s">
        <v>1125</v>
      </c>
      <c r="X476">
        <v>19</v>
      </c>
      <c r="Y476" t="s">
        <v>1126</v>
      </c>
      <c r="Z476" t="s">
        <v>1134</v>
      </c>
      <c r="AA476">
        <v>8</v>
      </c>
    </row>
    <row r="477" spans="1:27" x14ac:dyDescent="0.3">
      <c r="A477" t="s">
        <v>522</v>
      </c>
      <c r="B477" t="s">
        <v>1447</v>
      </c>
      <c r="C477" t="s">
        <v>1061</v>
      </c>
      <c r="D477" t="s">
        <v>1238</v>
      </c>
      <c r="E477" t="s">
        <v>1213</v>
      </c>
      <c r="F477" s="1">
        <v>46280.870833333327</v>
      </c>
      <c r="G477" s="1">
        <v>46280.876388888893</v>
      </c>
      <c r="H477">
        <v>5</v>
      </c>
      <c r="I477">
        <v>8</v>
      </c>
      <c r="J477" t="b">
        <v>0</v>
      </c>
      <c r="K477" t="b">
        <v>0</v>
      </c>
      <c r="L477" t="b">
        <v>0</v>
      </c>
      <c r="M477">
        <v>8</v>
      </c>
      <c r="N477" t="s">
        <v>1155</v>
      </c>
      <c r="O477" s="1">
        <v>46280.80972222222</v>
      </c>
      <c r="P477" t="b">
        <v>0</v>
      </c>
      <c r="Q477" t="s">
        <v>1151</v>
      </c>
      <c r="R477" t="s">
        <v>1131</v>
      </c>
      <c r="S477" t="s">
        <v>1152</v>
      </c>
      <c r="T477" t="s">
        <v>1145</v>
      </c>
      <c r="U477" t="s">
        <v>1172</v>
      </c>
      <c r="V477" t="s">
        <v>1151</v>
      </c>
      <c r="W477" t="s">
        <v>1131</v>
      </c>
      <c r="X477">
        <v>19</v>
      </c>
      <c r="Y477" t="s">
        <v>1126</v>
      </c>
      <c r="Z477" t="s">
        <v>1134</v>
      </c>
      <c r="AA477">
        <v>1.6</v>
      </c>
    </row>
    <row r="478" spans="1:27" x14ac:dyDescent="0.3">
      <c r="A478" t="s">
        <v>892</v>
      </c>
      <c r="B478" t="s">
        <v>1281</v>
      </c>
      <c r="C478" t="s">
        <v>1070</v>
      </c>
      <c r="D478" t="s">
        <v>1280</v>
      </c>
      <c r="E478" t="s">
        <v>1261</v>
      </c>
      <c r="F478" s="1">
        <v>46291.936805555553</v>
      </c>
      <c r="G478" s="1">
        <v>46291.942361111112</v>
      </c>
      <c r="H478">
        <v>4</v>
      </c>
      <c r="I478">
        <v>8</v>
      </c>
      <c r="J478" t="b">
        <v>0</v>
      </c>
      <c r="K478" t="b">
        <v>0</v>
      </c>
      <c r="L478" t="b">
        <v>0</v>
      </c>
      <c r="M478">
        <v>12</v>
      </c>
      <c r="N478" t="s">
        <v>1130</v>
      </c>
      <c r="O478" s="1">
        <v>46291.904861111107</v>
      </c>
      <c r="P478" t="b">
        <v>0</v>
      </c>
      <c r="Q478" t="s">
        <v>1151</v>
      </c>
      <c r="R478" t="s">
        <v>1120</v>
      </c>
      <c r="S478" t="s">
        <v>1157</v>
      </c>
      <c r="T478" t="s">
        <v>1180</v>
      </c>
      <c r="U478" t="s">
        <v>1145</v>
      </c>
      <c r="V478" t="s">
        <v>1151</v>
      </c>
      <c r="W478" t="s">
        <v>1257</v>
      </c>
      <c r="X478">
        <v>21</v>
      </c>
      <c r="Y478" t="s">
        <v>1173</v>
      </c>
      <c r="Z478" t="s">
        <v>1127</v>
      </c>
      <c r="AA478">
        <v>2</v>
      </c>
    </row>
    <row r="479" spans="1:27" x14ac:dyDescent="0.3">
      <c r="A479" t="s">
        <v>878</v>
      </c>
      <c r="B479" t="s">
        <v>1411</v>
      </c>
      <c r="C479" t="s">
        <v>1061</v>
      </c>
      <c r="D479" t="s">
        <v>1149</v>
      </c>
      <c r="E479" t="s">
        <v>1246</v>
      </c>
      <c r="F479" s="1">
        <v>46286.402083333327</v>
      </c>
      <c r="G479" s="1">
        <v>46286.407638888893</v>
      </c>
      <c r="H479">
        <v>4</v>
      </c>
      <c r="I479">
        <v>8</v>
      </c>
      <c r="J479" t="b">
        <v>0</v>
      </c>
      <c r="K479" t="b">
        <v>0</v>
      </c>
      <c r="L479" t="b">
        <v>0</v>
      </c>
      <c r="M479">
        <v>8</v>
      </c>
      <c r="N479" t="s">
        <v>1130</v>
      </c>
      <c r="O479" s="1">
        <v>46286.304166666669</v>
      </c>
      <c r="P479" t="b">
        <v>0</v>
      </c>
      <c r="Q479" t="s">
        <v>1145</v>
      </c>
      <c r="R479" t="s">
        <v>1120</v>
      </c>
      <c r="S479" t="s">
        <v>1157</v>
      </c>
      <c r="T479" t="s">
        <v>1145</v>
      </c>
      <c r="U479" t="s">
        <v>1172</v>
      </c>
      <c r="V479" t="s">
        <v>1152</v>
      </c>
      <c r="W479" t="s">
        <v>1145</v>
      </c>
      <c r="X479">
        <v>7</v>
      </c>
      <c r="Y479" t="s">
        <v>1185</v>
      </c>
      <c r="Z479" t="s">
        <v>1134</v>
      </c>
      <c r="AA479">
        <v>2</v>
      </c>
    </row>
    <row r="480" spans="1:27" x14ac:dyDescent="0.3">
      <c r="A480" t="s">
        <v>873</v>
      </c>
      <c r="B480" t="s">
        <v>1326</v>
      </c>
      <c r="C480" t="s">
        <v>1075</v>
      </c>
      <c r="D480" t="s">
        <v>1255</v>
      </c>
      <c r="E480" t="s">
        <v>1272</v>
      </c>
      <c r="F480" s="1">
        <v>46270.816666666673</v>
      </c>
      <c r="G480" s="1">
        <v>46270.822222222218</v>
      </c>
      <c r="H480">
        <v>7</v>
      </c>
      <c r="I480">
        <v>8</v>
      </c>
      <c r="J480" t="b">
        <v>0</v>
      </c>
      <c r="K480" t="b">
        <v>0</v>
      </c>
      <c r="L480" t="b">
        <v>0</v>
      </c>
      <c r="M480">
        <v>20</v>
      </c>
      <c r="N480" t="s">
        <v>1130</v>
      </c>
      <c r="O480" s="1">
        <v>46270.8125</v>
      </c>
      <c r="P480" t="b">
        <v>0</v>
      </c>
      <c r="Q480" t="s">
        <v>1179</v>
      </c>
      <c r="R480" t="s">
        <v>1120</v>
      </c>
      <c r="S480" t="s">
        <v>1157</v>
      </c>
      <c r="T480" t="s">
        <v>1122</v>
      </c>
      <c r="U480" t="s">
        <v>1172</v>
      </c>
      <c r="V480" t="s">
        <v>1141</v>
      </c>
      <c r="W480" t="s">
        <v>1257</v>
      </c>
      <c r="X480">
        <v>19</v>
      </c>
      <c r="Y480" t="s">
        <v>1173</v>
      </c>
      <c r="Z480" t="s">
        <v>1127</v>
      </c>
      <c r="AA480">
        <v>1.142857142857143</v>
      </c>
    </row>
    <row r="481" spans="1:27" x14ac:dyDescent="0.3">
      <c r="A481" t="s">
        <v>191</v>
      </c>
      <c r="B481" t="s">
        <v>1409</v>
      </c>
      <c r="C481" t="s">
        <v>1063</v>
      </c>
      <c r="D481" t="s">
        <v>1255</v>
      </c>
      <c r="E481" t="s">
        <v>1150</v>
      </c>
      <c r="F481" s="1">
        <v>46293.140972222223</v>
      </c>
      <c r="G481" s="1">
        <v>46293.146527777782</v>
      </c>
      <c r="H481">
        <v>4</v>
      </c>
      <c r="I481">
        <v>8</v>
      </c>
      <c r="J481" t="b">
        <v>0</v>
      </c>
      <c r="K481" t="b">
        <v>0</v>
      </c>
      <c r="L481" t="b">
        <v>0</v>
      </c>
      <c r="M481">
        <v>4</v>
      </c>
      <c r="N481" t="s">
        <v>1130</v>
      </c>
      <c r="O481" s="1">
        <v>46293.038888888892</v>
      </c>
      <c r="P481" t="b">
        <v>0</v>
      </c>
      <c r="Q481" t="s">
        <v>1151</v>
      </c>
      <c r="R481" t="s">
        <v>1131</v>
      </c>
      <c r="S481" t="s">
        <v>1121</v>
      </c>
      <c r="T481" t="s">
        <v>1122</v>
      </c>
      <c r="U481" t="s">
        <v>1172</v>
      </c>
      <c r="V481" t="s">
        <v>1141</v>
      </c>
      <c r="W481" t="s">
        <v>1257</v>
      </c>
      <c r="X481">
        <v>0</v>
      </c>
      <c r="Y481" t="s">
        <v>1185</v>
      </c>
      <c r="Z481" t="s">
        <v>1147</v>
      </c>
      <c r="AA481">
        <v>2</v>
      </c>
    </row>
    <row r="482" spans="1:27" x14ac:dyDescent="0.3">
      <c r="A482" t="s">
        <v>343</v>
      </c>
      <c r="B482" t="s">
        <v>1368</v>
      </c>
      <c r="C482" t="s">
        <v>1080</v>
      </c>
      <c r="D482" t="s">
        <v>1116</v>
      </c>
      <c r="E482" t="s">
        <v>1249</v>
      </c>
      <c r="F482" s="1">
        <v>46288.911805555559</v>
      </c>
      <c r="G482" s="1">
        <v>46288.917361111111</v>
      </c>
      <c r="H482">
        <v>1</v>
      </c>
      <c r="I482">
        <v>8</v>
      </c>
      <c r="J482" t="b">
        <v>0</v>
      </c>
      <c r="K482" t="b">
        <v>0</v>
      </c>
      <c r="L482" t="b">
        <v>0</v>
      </c>
      <c r="M482">
        <v>20</v>
      </c>
      <c r="N482" t="s">
        <v>1130</v>
      </c>
      <c r="O482" s="1">
        <v>46288.788888888892</v>
      </c>
      <c r="P482" t="b">
        <v>0</v>
      </c>
      <c r="Q482" t="s">
        <v>1169</v>
      </c>
      <c r="R482" t="s">
        <v>1131</v>
      </c>
      <c r="S482" t="s">
        <v>1157</v>
      </c>
      <c r="T482" t="s">
        <v>1122</v>
      </c>
      <c r="U482" t="s">
        <v>1247</v>
      </c>
      <c r="V482" t="s">
        <v>1124</v>
      </c>
      <c r="W482" t="s">
        <v>1125</v>
      </c>
      <c r="X482">
        <v>18</v>
      </c>
      <c r="Y482" t="s">
        <v>1161</v>
      </c>
      <c r="Z482" t="s">
        <v>1127</v>
      </c>
      <c r="AA482">
        <v>8</v>
      </c>
    </row>
    <row r="483" spans="1:27" x14ac:dyDescent="0.3">
      <c r="A483" t="s">
        <v>341</v>
      </c>
      <c r="B483" t="s">
        <v>1368</v>
      </c>
      <c r="C483" t="s">
        <v>1078</v>
      </c>
      <c r="D483" t="s">
        <v>1116</v>
      </c>
      <c r="E483" t="s">
        <v>1227</v>
      </c>
      <c r="F483" s="1">
        <v>46288.851388888892</v>
      </c>
      <c r="G483" s="1">
        <v>46288.856944444437</v>
      </c>
      <c r="H483">
        <v>1</v>
      </c>
      <c r="I483">
        <v>8</v>
      </c>
      <c r="J483" t="b">
        <v>0</v>
      </c>
      <c r="K483" t="b">
        <v>0</v>
      </c>
      <c r="L483" t="b">
        <v>0</v>
      </c>
      <c r="M483">
        <v>20</v>
      </c>
      <c r="N483" t="s">
        <v>1130</v>
      </c>
      <c r="O483" s="1">
        <v>46288.788888888892</v>
      </c>
      <c r="P483" t="b">
        <v>0</v>
      </c>
      <c r="Q483" t="s">
        <v>1145</v>
      </c>
      <c r="R483" t="s">
        <v>1131</v>
      </c>
      <c r="S483" t="s">
        <v>1121</v>
      </c>
      <c r="T483" t="s">
        <v>1145</v>
      </c>
      <c r="U483" t="s">
        <v>1172</v>
      </c>
      <c r="V483" t="s">
        <v>1124</v>
      </c>
      <c r="W483" t="s">
        <v>1125</v>
      </c>
      <c r="X483">
        <v>18</v>
      </c>
      <c r="Y483" t="s">
        <v>1161</v>
      </c>
      <c r="Z483" t="s">
        <v>1127</v>
      </c>
      <c r="AA483">
        <v>8</v>
      </c>
    </row>
    <row r="484" spans="1:27" x14ac:dyDescent="0.3">
      <c r="A484" t="s">
        <v>338</v>
      </c>
      <c r="B484" t="s">
        <v>1448</v>
      </c>
      <c r="C484" t="s">
        <v>1078</v>
      </c>
      <c r="D484" t="s">
        <v>1149</v>
      </c>
      <c r="E484" t="s">
        <v>1418</v>
      </c>
      <c r="F484" s="1">
        <v>46285.583333333343</v>
      </c>
      <c r="G484" s="1">
        <v>46285.588888888888</v>
      </c>
      <c r="H484">
        <v>6</v>
      </c>
      <c r="I484">
        <v>8</v>
      </c>
      <c r="J484" t="b">
        <v>0</v>
      </c>
      <c r="K484" t="b">
        <v>0</v>
      </c>
      <c r="L484" t="b">
        <v>0</v>
      </c>
      <c r="M484">
        <v>4</v>
      </c>
      <c r="N484" t="s">
        <v>1130</v>
      </c>
      <c r="O484" s="1">
        <v>46285.472916666673</v>
      </c>
      <c r="P484" t="b">
        <v>0</v>
      </c>
      <c r="Q484" t="s">
        <v>1179</v>
      </c>
      <c r="R484" t="s">
        <v>1120</v>
      </c>
      <c r="S484" t="s">
        <v>1157</v>
      </c>
      <c r="T484" t="s">
        <v>1145</v>
      </c>
      <c r="U484" t="s">
        <v>1172</v>
      </c>
      <c r="V484" t="s">
        <v>1152</v>
      </c>
      <c r="W484" t="s">
        <v>1145</v>
      </c>
      <c r="X484">
        <v>11</v>
      </c>
      <c r="Y484" t="s">
        <v>1133</v>
      </c>
      <c r="Z484" t="s">
        <v>1147</v>
      </c>
      <c r="AA484">
        <v>1.333333333333333</v>
      </c>
    </row>
    <row r="485" spans="1:27" x14ac:dyDescent="0.3">
      <c r="A485" t="s">
        <v>574</v>
      </c>
      <c r="B485" t="s">
        <v>1266</v>
      </c>
      <c r="C485" t="s">
        <v>1075</v>
      </c>
      <c r="D485" t="s">
        <v>1280</v>
      </c>
      <c r="E485" t="s">
        <v>1305</v>
      </c>
      <c r="F485" s="1">
        <v>46287.59097222222</v>
      </c>
      <c r="G485" s="1">
        <v>46287.59652777778</v>
      </c>
      <c r="H485">
        <v>7</v>
      </c>
      <c r="I485">
        <v>8</v>
      </c>
      <c r="J485" t="b">
        <v>0</v>
      </c>
      <c r="K485" t="b">
        <v>0</v>
      </c>
      <c r="L485" t="b">
        <v>0</v>
      </c>
      <c r="M485">
        <v>10</v>
      </c>
      <c r="N485" t="s">
        <v>1118</v>
      </c>
      <c r="O485" s="1">
        <v>46287.481944444437</v>
      </c>
      <c r="P485" t="b">
        <v>0</v>
      </c>
      <c r="Q485" t="s">
        <v>1156</v>
      </c>
      <c r="R485" t="s">
        <v>1131</v>
      </c>
      <c r="S485" t="s">
        <v>1157</v>
      </c>
      <c r="T485" t="s">
        <v>1122</v>
      </c>
      <c r="U485" t="s">
        <v>1172</v>
      </c>
      <c r="V485" t="s">
        <v>1151</v>
      </c>
      <c r="W485" t="s">
        <v>1257</v>
      </c>
      <c r="X485">
        <v>11</v>
      </c>
      <c r="Y485" t="s">
        <v>1126</v>
      </c>
      <c r="Z485" t="s">
        <v>1134</v>
      </c>
      <c r="AA485">
        <v>1.142857142857143</v>
      </c>
    </row>
    <row r="486" spans="1:27" x14ac:dyDescent="0.3">
      <c r="A486" t="s">
        <v>849</v>
      </c>
      <c r="B486" t="s">
        <v>1355</v>
      </c>
      <c r="C486" t="s">
        <v>1064</v>
      </c>
      <c r="D486" t="s">
        <v>1280</v>
      </c>
      <c r="E486" t="s">
        <v>1289</v>
      </c>
      <c r="F486" s="1">
        <v>46284.990972222222</v>
      </c>
      <c r="G486" s="1">
        <v>46284.996527777781</v>
      </c>
      <c r="H486">
        <v>2</v>
      </c>
      <c r="I486">
        <v>8</v>
      </c>
      <c r="J486" t="b">
        <v>0</v>
      </c>
      <c r="K486" t="b">
        <v>0</v>
      </c>
      <c r="L486" t="b">
        <v>0</v>
      </c>
      <c r="M486">
        <v>8</v>
      </c>
      <c r="N486" t="s">
        <v>1168</v>
      </c>
      <c r="O486" s="1">
        <v>46284.948611111111</v>
      </c>
      <c r="P486" t="b">
        <v>0</v>
      </c>
      <c r="Q486" t="s">
        <v>1145</v>
      </c>
      <c r="R486" t="s">
        <v>1139</v>
      </c>
      <c r="S486" t="s">
        <v>1152</v>
      </c>
      <c r="T486" t="s">
        <v>1122</v>
      </c>
      <c r="U486" t="s">
        <v>1123</v>
      </c>
      <c r="V486" t="s">
        <v>1151</v>
      </c>
      <c r="W486" t="s">
        <v>1257</v>
      </c>
      <c r="X486">
        <v>22</v>
      </c>
      <c r="Y486" t="s">
        <v>1173</v>
      </c>
      <c r="Z486" t="s">
        <v>1134</v>
      </c>
      <c r="AA486">
        <v>4</v>
      </c>
    </row>
    <row r="487" spans="1:27" x14ac:dyDescent="0.3">
      <c r="A487" t="s">
        <v>546</v>
      </c>
      <c r="B487" t="s">
        <v>1449</v>
      </c>
      <c r="C487" t="s">
        <v>1063</v>
      </c>
      <c r="D487" t="s">
        <v>1280</v>
      </c>
      <c r="E487" t="s">
        <v>1235</v>
      </c>
      <c r="F487" s="1">
        <v>46266.521527777782</v>
      </c>
      <c r="G487" s="1">
        <v>46266.527083333327</v>
      </c>
      <c r="H487">
        <v>4</v>
      </c>
      <c r="I487">
        <v>8</v>
      </c>
      <c r="J487" t="b">
        <v>0</v>
      </c>
      <c r="K487" t="b">
        <v>0</v>
      </c>
      <c r="L487" t="b">
        <v>0</v>
      </c>
      <c r="M487">
        <v>5</v>
      </c>
      <c r="N487" t="s">
        <v>1118</v>
      </c>
      <c r="O487" s="1">
        <v>46266.425000000003</v>
      </c>
      <c r="P487" t="b">
        <v>0</v>
      </c>
      <c r="Q487" t="s">
        <v>1151</v>
      </c>
      <c r="R487" t="s">
        <v>1131</v>
      </c>
      <c r="S487" t="s">
        <v>1152</v>
      </c>
      <c r="T487" t="s">
        <v>1122</v>
      </c>
      <c r="U487" t="s">
        <v>1172</v>
      </c>
      <c r="V487" t="s">
        <v>1151</v>
      </c>
      <c r="W487" t="s">
        <v>1257</v>
      </c>
      <c r="X487">
        <v>10</v>
      </c>
      <c r="Y487" t="s">
        <v>1126</v>
      </c>
      <c r="Z487" t="s">
        <v>1147</v>
      </c>
      <c r="AA487">
        <v>2</v>
      </c>
    </row>
    <row r="488" spans="1:27" x14ac:dyDescent="0.3">
      <c r="A488" t="s">
        <v>545</v>
      </c>
      <c r="B488" t="s">
        <v>1449</v>
      </c>
      <c r="C488" t="s">
        <v>1082</v>
      </c>
      <c r="D488" t="s">
        <v>1116</v>
      </c>
      <c r="E488" t="s">
        <v>1344</v>
      </c>
      <c r="F488" s="1">
        <v>46266.538194444453</v>
      </c>
      <c r="G488" s="1">
        <v>46266.543749999997</v>
      </c>
      <c r="H488">
        <v>3</v>
      </c>
      <c r="I488">
        <v>8</v>
      </c>
      <c r="J488" t="b">
        <v>0</v>
      </c>
      <c r="K488" t="b">
        <v>0</v>
      </c>
      <c r="L488" t="b">
        <v>0</v>
      </c>
      <c r="M488">
        <v>5</v>
      </c>
      <c r="N488" t="s">
        <v>1118</v>
      </c>
      <c r="O488" s="1">
        <v>46266.425000000003</v>
      </c>
      <c r="P488" t="b">
        <v>0</v>
      </c>
      <c r="Q488" t="s">
        <v>1156</v>
      </c>
      <c r="R488" t="s">
        <v>1131</v>
      </c>
      <c r="S488" t="s">
        <v>1132</v>
      </c>
      <c r="T488" t="s">
        <v>1122</v>
      </c>
      <c r="U488" t="s">
        <v>1145</v>
      </c>
      <c r="V488" t="s">
        <v>1124</v>
      </c>
      <c r="W488" t="s">
        <v>1125</v>
      </c>
      <c r="X488">
        <v>10</v>
      </c>
      <c r="Y488" t="s">
        <v>1126</v>
      </c>
      <c r="Z488" t="s">
        <v>1147</v>
      </c>
      <c r="AA488">
        <v>2.666666666666667</v>
      </c>
    </row>
    <row r="489" spans="1:27" x14ac:dyDescent="0.3">
      <c r="A489" t="s">
        <v>379</v>
      </c>
      <c r="B489" t="s">
        <v>1232</v>
      </c>
      <c r="C489" t="s">
        <v>1077</v>
      </c>
      <c r="D489" t="s">
        <v>1116</v>
      </c>
      <c r="E489" t="s">
        <v>1187</v>
      </c>
      <c r="F489" s="1">
        <v>46270.859027777777</v>
      </c>
      <c r="G489" s="1">
        <v>46270.864583333343</v>
      </c>
      <c r="H489">
        <v>5</v>
      </c>
      <c r="I489">
        <v>8</v>
      </c>
      <c r="J489" t="b">
        <v>0</v>
      </c>
      <c r="K489" t="b">
        <v>0</v>
      </c>
      <c r="L489" t="b">
        <v>0</v>
      </c>
      <c r="M489">
        <v>4</v>
      </c>
      <c r="N489" t="s">
        <v>1118</v>
      </c>
      <c r="O489" s="1">
        <v>46270.777083333327</v>
      </c>
      <c r="P489" t="b">
        <v>0</v>
      </c>
      <c r="Q489" t="s">
        <v>1156</v>
      </c>
      <c r="R489" t="s">
        <v>1131</v>
      </c>
      <c r="S489" t="s">
        <v>1132</v>
      </c>
      <c r="T489" t="s">
        <v>1122</v>
      </c>
      <c r="U489" t="s">
        <v>1172</v>
      </c>
      <c r="V489" t="s">
        <v>1124</v>
      </c>
      <c r="W489" t="s">
        <v>1125</v>
      </c>
      <c r="X489">
        <v>18</v>
      </c>
      <c r="Y489" t="s">
        <v>1173</v>
      </c>
      <c r="Z489" t="s">
        <v>1147</v>
      </c>
      <c r="AA489">
        <v>1.6</v>
      </c>
    </row>
    <row r="490" spans="1:27" x14ac:dyDescent="0.3">
      <c r="A490" t="s">
        <v>376</v>
      </c>
      <c r="B490" t="s">
        <v>1177</v>
      </c>
      <c r="C490" t="s">
        <v>1081</v>
      </c>
      <c r="D490" t="s">
        <v>1116</v>
      </c>
      <c r="E490" t="s">
        <v>1213</v>
      </c>
      <c r="F490" s="1">
        <v>46290.463194444441</v>
      </c>
      <c r="G490" s="1">
        <v>46290.46875</v>
      </c>
      <c r="H490">
        <v>2</v>
      </c>
      <c r="I490">
        <v>8</v>
      </c>
      <c r="J490" t="b">
        <v>0</v>
      </c>
      <c r="K490" t="b">
        <v>0</v>
      </c>
      <c r="L490" t="b">
        <v>0</v>
      </c>
      <c r="M490">
        <v>20</v>
      </c>
      <c r="N490" t="s">
        <v>1168</v>
      </c>
      <c r="O490" s="1">
        <v>46290.395138888889</v>
      </c>
      <c r="P490" t="b">
        <v>0</v>
      </c>
      <c r="Q490" t="s">
        <v>1151</v>
      </c>
      <c r="R490" t="s">
        <v>1131</v>
      </c>
      <c r="S490" t="s">
        <v>1152</v>
      </c>
      <c r="T490" t="s">
        <v>1180</v>
      </c>
      <c r="U490" t="s">
        <v>1247</v>
      </c>
      <c r="V490" t="s">
        <v>1124</v>
      </c>
      <c r="W490" t="s">
        <v>1125</v>
      </c>
      <c r="X490">
        <v>9</v>
      </c>
      <c r="Y490" t="s">
        <v>1142</v>
      </c>
      <c r="Z490" t="s">
        <v>1127</v>
      </c>
      <c r="AA490">
        <v>4</v>
      </c>
    </row>
    <row r="491" spans="1:27" x14ac:dyDescent="0.3">
      <c r="A491" t="s">
        <v>543</v>
      </c>
      <c r="B491" t="s">
        <v>1449</v>
      </c>
      <c r="C491" t="s">
        <v>1079</v>
      </c>
      <c r="D491" t="s">
        <v>1238</v>
      </c>
      <c r="E491" t="s">
        <v>1144</v>
      </c>
      <c r="F491" s="1">
        <v>46266.488888888889</v>
      </c>
      <c r="G491" s="1">
        <v>46266.494444444441</v>
      </c>
      <c r="H491">
        <v>1</v>
      </c>
      <c r="I491">
        <v>8</v>
      </c>
      <c r="J491" t="b">
        <v>0</v>
      </c>
      <c r="K491" t="b">
        <v>0</v>
      </c>
      <c r="L491" t="b">
        <v>0</v>
      </c>
      <c r="M491">
        <v>5</v>
      </c>
      <c r="N491" t="s">
        <v>1118</v>
      </c>
      <c r="O491" s="1">
        <v>46266.425000000003</v>
      </c>
      <c r="P491" t="b">
        <v>0</v>
      </c>
      <c r="Q491" t="s">
        <v>1138</v>
      </c>
      <c r="R491" t="s">
        <v>1120</v>
      </c>
      <c r="S491" t="s">
        <v>1145</v>
      </c>
      <c r="T491" t="s">
        <v>1145</v>
      </c>
      <c r="U491" t="s">
        <v>1123</v>
      </c>
      <c r="V491" t="s">
        <v>1151</v>
      </c>
      <c r="W491" t="s">
        <v>1131</v>
      </c>
      <c r="X491">
        <v>10</v>
      </c>
      <c r="Y491" t="s">
        <v>1126</v>
      </c>
      <c r="Z491" t="s">
        <v>1147</v>
      </c>
      <c r="AA491">
        <v>8</v>
      </c>
    </row>
    <row r="492" spans="1:27" x14ac:dyDescent="0.3">
      <c r="A492" t="s">
        <v>869</v>
      </c>
      <c r="B492" t="s">
        <v>1326</v>
      </c>
      <c r="C492" t="s">
        <v>1062</v>
      </c>
      <c r="D492" t="s">
        <v>1238</v>
      </c>
      <c r="E492" t="s">
        <v>1340</v>
      </c>
      <c r="F492" s="1">
        <v>46270.87222222222</v>
      </c>
      <c r="G492" s="1">
        <v>46270.87777777778</v>
      </c>
      <c r="H492">
        <v>5</v>
      </c>
      <c r="I492">
        <v>8</v>
      </c>
      <c r="J492" t="b">
        <v>0</v>
      </c>
      <c r="K492" t="b">
        <v>0</v>
      </c>
      <c r="L492" t="b">
        <v>0</v>
      </c>
      <c r="M492">
        <v>20</v>
      </c>
      <c r="N492" t="s">
        <v>1130</v>
      </c>
      <c r="O492" s="1">
        <v>46270.8125</v>
      </c>
      <c r="P492" t="b">
        <v>0</v>
      </c>
      <c r="Q492" t="s">
        <v>1145</v>
      </c>
      <c r="R492" t="s">
        <v>1131</v>
      </c>
      <c r="S492" t="s">
        <v>1121</v>
      </c>
      <c r="T492" t="s">
        <v>1122</v>
      </c>
      <c r="U492" t="s">
        <v>1123</v>
      </c>
      <c r="V492" t="s">
        <v>1151</v>
      </c>
      <c r="W492" t="s">
        <v>1131</v>
      </c>
      <c r="X492">
        <v>19</v>
      </c>
      <c r="Y492" t="s">
        <v>1173</v>
      </c>
      <c r="Z492" t="s">
        <v>1127</v>
      </c>
      <c r="AA492">
        <v>1.6</v>
      </c>
    </row>
    <row r="493" spans="1:27" x14ac:dyDescent="0.3">
      <c r="A493" t="s">
        <v>175</v>
      </c>
      <c r="B493" t="s">
        <v>1229</v>
      </c>
      <c r="C493" t="s">
        <v>1077</v>
      </c>
      <c r="D493" t="s">
        <v>1255</v>
      </c>
      <c r="E493" t="s">
        <v>1294</v>
      </c>
      <c r="F493" s="1">
        <v>46280.852083333331</v>
      </c>
      <c r="G493" s="1">
        <v>46280.857638888891</v>
      </c>
      <c r="H493">
        <v>2</v>
      </c>
      <c r="I493">
        <v>8</v>
      </c>
      <c r="J493" t="b">
        <v>0</v>
      </c>
      <c r="K493" t="b">
        <v>0</v>
      </c>
      <c r="L493" t="b">
        <v>0</v>
      </c>
      <c r="M493">
        <v>8</v>
      </c>
      <c r="N493" t="s">
        <v>1118</v>
      </c>
      <c r="O493" s="1">
        <v>46280.795138888891</v>
      </c>
      <c r="P493" t="b">
        <v>0</v>
      </c>
      <c r="Q493" t="s">
        <v>1119</v>
      </c>
      <c r="R493" t="s">
        <v>1145</v>
      </c>
      <c r="S493" t="s">
        <v>1132</v>
      </c>
      <c r="T493" t="s">
        <v>1122</v>
      </c>
      <c r="U493" t="s">
        <v>1172</v>
      </c>
      <c r="V493" t="s">
        <v>1141</v>
      </c>
      <c r="W493" t="s">
        <v>1257</v>
      </c>
      <c r="X493">
        <v>19</v>
      </c>
      <c r="Y493" t="s">
        <v>1126</v>
      </c>
      <c r="Z493" t="s">
        <v>1134</v>
      </c>
      <c r="AA493">
        <v>4</v>
      </c>
    </row>
    <row r="494" spans="1:27" x14ac:dyDescent="0.3">
      <c r="A494" t="s">
        <v>173</v>
      </c>
      <c r="B494" t="s">
        <v>1325</v>
      </c>
      <c r="C494" t="s">
        <v>1085</v>
      </c>
      <c r="D494" t="s">
        <v>1149</v>
      </c>
      <c r="E494" t="s">
        <v>1233</v>
      </c>
      <c r="F494" s="1">
        <v>46269.706250000003</v>
      </c>
      <c r="G494" s="1">
        <v>46269.711805555547</v>
      </c>
      <c r="H494">
        <v>5</v>
      </c>
      <c r="I494">
        <v>8</v>
      </c>
      <c r="J494" t="b">
        <v>0</v>
      </c>
      <c r="K494" t="b">
        <v>0</v>
      </c>
      <c r="L494" t="b">
        <v>0</v>
      </c>
      <c r="M494">
        <v>3</v>
      </c>
      <c r="N494" t="s">
        <v>1130</v>
      </c>
      <c r="O494" s="1">
        <v>46269.654166666667</v>
      </c>
      <c r="P494" t="b">
        <v>0</v>
      </c>
      <c r="Q494" t="s">
        <v>1179</v>
      </c>
      <c r="R494" t="s">
        <v>1120</v>
      </c>
      <c r="S494" t="s">
        <v>1132</v>
      </c>
      <c r="T494" t="s">
        <v>1122</v>
      </c>
      <c r="U494" t="s">
        <v>1247</v>
      </c>
      <c r="V494" t="s">
        <v>1152</v>
      </c>
      <c r="W494" t="s">
        <v>1145</v>
      </c>
      <c r="X494">
        <v>15</v>
      </c>
      <c r="Y494" t="s">
        <v>1142</v>
      </c>
      <c r="Z494" t="s">
        <v>1147</v>
      </c>
      <c r="AA494">
        <v>1.6</v>
      </c>
    </row>
    <row r="495" spans="1:27" x14ac:dyDescent="0.3">
      <c r="A495" t="s">
        <v>169</v>
      </c>
      <c r="B495" t="s">
        <v>1324</v>
      </c>
      <c r="C495" t="s">
        <v>1061</v>
      </c>
      <c r="D495" t="s">
        <v>1136</v>
      </c>
      <c r="E495" t="s">
        <v>1154</v>
      </c>
      <c r="F495" s="1">
        <v>46275.544444444437</v>
      </c>
      <c r="G495" s="1">
        <v>46275.55</v>
      </c>
      <c r="H495">
        <v>2</v>
      </c>
      <c r="I495">
        <v>8</v>
      </c>
      <c r="J495" t="b">
        <v>0</v>
      </c>
      <c r="K495" t="b">
        <v>0</v>
      </c>
      <c r="L495" t="b">
        <v>0</v>
      </c>
      <c r="N495" t="s">
        <v>1155</v>
      </c>
      <c r="O495" s="1">
        <v>46275.525000000001</v>
      </c>
      <c r="P495" t="b">
        <v>1</v>
      </c>
      <c r="Q495" t="s">
        <v>1156</v>
      </c>
      <c r="R495" t="s">
        <v>1131</v>
      </c>
      <c r="S495" t="s">
        <v>1157</v>
      </c>
      <c r="T495" t="s">
        <v>1145</v>
      </c>
      <c r="U495" t="s">
        <v>1172</v>
      </c>
      <c r="V495" t="s">
        <v>1141</v>
      </c>
      <c r="W495" t="s">
        <v>1125</v>
      </c>
      <c r="X495">
        <v>12</v>
      </c>
      <c r="Y495" t="s">
        <v>1146</v>
      </c>
      <c r="AA495">
        <v>4</v>
      </c>
    </row>
    <row r="496" spans="1:27" x14ac:dyDescent="0.3">
      <c r="A496" t="s">
        <v>563</v>
      </c>
      <c r="B496" t="s">
        <v>1164</v>
      </c>
      <c r="C496" t="s">
        <v>1075</v>
      </c>
      <c r="D496" t="s">
        <v>1255</v>
      </c>
      <c r="E496" t="s">
        <v>1295</v>
      </c>
      <c r="F496" s="1">
        <v>46266.605555555558</v>
      </c>
      <c r="G496" s="1">
        <v>46266.611111111109</v>
      </c>
      <c r="H496">
        <v>5</v>
      </c>
      <c r="I496">
        <v>8</v>
      </c>
      <c r="J496" t="b">
        <v>0</v>
      </c>
      <c r="K496" t="b">
        <v>0</v>
      </c>
      <c r="L496" t="b">
        <v>0</v>
      </c>
      <c r="M496">
        <v>12</v>
      </c>
      <c r="N496" t="s">
        <v>1130</v>
      </c>
      <c r="O496" s="1">
        <v>46266.54791666667</v>
      </c>
      <c r="P496" t="b">
        <v>0</v>
      </c>
      <c r="Q496" t="s">
        <v>1151</v>
      </c>
      <c r="R496" t="s">
        <v>1120</v>
      </c>
      <c r="S496" t="s">
        <v>1145</v>
      </c>
      <c r="T496" t="s">
        <v>1122</v>
      </c>
      <c r="U496" t="s">
        <v>1172</v>
      </c>
      <c r="V496" t="s">
        <v>1141</v>
      </c>
      <c r="W496" t="s">
        <v>1257</v>
      </c>
      <c r="X496">
        <v>13</v>
      </c>
      <c r="Y496" t="s">
        <v>1126</v>
      </c>
      <c r="Z496" t="s">
        <v>1127</v>
      </c>
      <c r="AA496">
        <v>1.6</v>
      </c>
    </row>
    <row r="497" spans="1:27" x14ac:dyDescent="0.3">
      <c r="A497" t="s">
        <v>360</v>
      </c>
      <c r="B497" t="s">
        <v>1181</v>
      </c>
      <c r="C497" t="s">
        <v>1079</v>
      </c>
      <c r="D497" t="s">
        <v>1238</v>
      </c>
      <c r="E497" t="s">
        <v>1187</v>
      </c>
      <c r="F497" s="1">
        <v>46283.740277777782</v>
      </c>
      <c r="G497" s="1">
        <v>46283.745833333327</v>
      </c>
      <c r="H497">
        <v>5</v>
      </c>
      <c r="I497">
        <v>8</v>
      </c>
      <c r="J497" t="b">
        <v>0</v>
      </c>
      <c r="K497" t="b">
        <v>0</v>
      </c>
      <c r="L497" t="b">
        <v>0</v>
      </c>
      <c r="M497">
        <v>20</v>
      </c>
      <c r="N497" t="s">
        <v>1168</v>
      </c>
      <c r="O497" s="1">
        <v>46283.73541666667</v>
      </c>
      <c r="P497" t="b">
        <v>0</v>
      </c>
      <c r="Q497" t="s">
        <v>1156</v>
      </c>
      <c r="R497" t="s">
        <v>1131</v>
      </c>
      <c r="S497" t="s">
        <v>1132</v>
      </c>
      <c r="T497" t="s">
        <v>1145</v>
      </c>
      <c r="U497" t="s">
        <v>1123</v>
      </c>
      <c r="V497" t="s">
        <v>1151</v>
      </c>
      <c r="W497" t="s">
        <v>1131</v>
      </c>
      <c r="X497">
        <v>17</v>
      </c>
      <c r="Y497" t="s">
        <v>1142</v>
      </c>
      <c r="Z497" t="s">
        <v>1127</v>
      </c>
      <c r="AA497">
        <v>1.6</v>
      </c>
    </row>
    <row r="498" spans="1:27" x14ac:dyDescent="0.3">
      <c r="A498" t="s">
        <v>359</v>
      </c>
      <c r="B498" t="s">
        <v>1181</v>
      </c>
      <c r="C498" t="s">
        <v>1057</v>
      </c>
      <c r="D498" t="s">
        <v>1238</v>
      </c>
      <c r="E498" t="s">
        <v>1244</v>
      </c>
      <c r="F498" s="1">
        <v>46283.775000000001</v>
      </c>
      <c r="G498" s="1">
        <v>46283.780555555553</v>
      </c>
      <c r="H498">
        <v>3</v>
      </c>
      <c r="I498">
        <v>8</v>
      </c>
      <c r="J498" t="b">
        <v>0</v>
      </c>
      <c r="K498" t="b">
        <v>0</v>
      </c>
      <c r="L498" t="b">
        <v>0</v>
      </c>
      <c r="M498">
        <v>20</v>
      </c>
      <c r="N498" t="s">
        <v>1168</v>
      </c>
      <c r="O498" s="1">
        <v>46283.73541666667</v>
      </c>
      <c r="P498" t="b">
        <v>0</v>
      </c>
      <c r="Q498" t="s">
        <v>1119</v>
      </c>
      <c r="R498" t="s">
        <v>1120</v>
      </c>
      <c r="S498" t="s">
        <v>1121</v>
      </c>
      <c r="T498" t="s">
        <v>1122</v>
      </c>
      <c r="U498" t="s">
        <v>1172</v>
      </c>
      <c r="V498" t="s">
        <v>1151</v>
      </c>
      <c r="W498" t="s">
        <v>1131</v>
      </c>
      <c r="X498">
        <v>17</v>
      </c>
      <c r="Y498" t="s">
        <v>1142</v>
      </c>
      <c r="Z498" t="s">
        <v>1127</v>
      </c>
      <c r="AA498">
        <v>2.666666666666667</v>
      </c>
    </row>
    <row r="499" spans="1:27" x14ac:dyDescent="0.3">
      <c r="A499" t="s">
        <v>558</v>
      </c>
      <c r="B499" t="s">
        <v>1164</v>
      </c>
      <c r="C499" t="s">
        <v>1076</v>
      </c>
      <c r="D499" t="s">
        <v>1283</v>
      </c>
      <c r="E499" t="s">
        <v>1379</v>
      </c>
      <c r="F499" s="1">
        <v>46266.645833333343</v>
      </c>
      <c r="G499" s="1">
        <v>46266.651388888888</v>
      </c>
      <c r="H499">
        <v>7</v>
      </c>
      <c r="I499">
        <v>8</v>
      </c>
      <c r="J499" t="b">
        <v>0</v>
      </c>
      <c r="K499" t="b">
        <v>0</v>
      </c>
      <c r="L499" t="b">
        <v>0</v>
      </c>
      <c r="M499">
        <v>12</v>
      </c>
      <c r="N499" t="s">
        <v>1130</v>
      </c>
      <c r="O499" s="1">
        <v>46266.54791666667</v>
      </c>
      <c r="P499" t="b">
        <v>0</v>
      </c>
      <c r="Q499" t="s">
        <v>1179</v>
      </c>
      <c r="R499" t="s">
        <v>1120</v>
      </c>
      <c r="S499" t="s">
        <v>1145</v>
      </c>
      <c r="T499" t="s">
        <v>1122</v>
      </c>
      <c r="U499" t="s">
        <v>1172</v>
      </c>
      <c r="V499" t="s">
        <v>1284</v>
      </c>
      <c r="W499" t="s">
        <v>1131</v>
      </c>
      <c r="X499">
        <v>13</v>
      </c>
      <c r="Y499" t="s">
        <v>1126</v>
      </c>
      <c r="Z499" t="s">
        <v>1127</v>
      </c>
      <c r="AA499">
        <v>1.142857142857143</v>
      </c>
    </row>
    <row r="500" spans="1:27" x14ac:dyDescent="0.3">
      <c r="A500" t="s">
        <v>857</v>
      </c>
      <c r="B500" t="s">
        <v>1354</v>
      </c>
      <c r="C500" t="s">
        <v>1068</v>
      </c>
      <c r="D500" t="s">
        <v>1255</v>
      </c>
      <c r="E500" t="s">
        <v>1129</v>
      </c>
      <c r="F500" s="1">
        <v>46286.923611111109</v>
      </c>
      <c r="G500" s="1">
        <v>46286.929166666669</v>
      </c>
      <c r="H500">
        <v>2</v>
      </c>
      <c r="I500">
        <v>8</v>
      </c>
      <c r="J500" t="b">
        <v>0</v>
      </c>
      <c r="K500" t="b">
        <v>0</v>
      </c>
      <c r="L500" t="b">
        <v>0</v>
      </c>
      <c r="M500">
        <v>8</v>
      </c>
      <c r="N500" t="s">
        <v>1118</v>
      </c>
      <c r="O500" s="1">
        <v>46286.883333333331</v>
      </c>
      <c r="P500" t="b">
        <v>0</v>
      </c>
      <c r="Q500" t="s">
        <v>1119</v>
      </c>
      <c r="R500" t="s">
        <v>1131</v>
      </c>
      <c r="S500" t="s">
        <v>1132</v>
      </c>
      <c r="T500" t="s">
        <v>1122</v>
      </c>
      <c r="U500" t="s">
        <v>1123</v>
      </c>
      <c r="V500" t="s">
        <v>1141</v>
      </c>
      <c r="W500" t="s">
        <v>1257</v>
      </c>
      <c r="X500">
        <v>21</v>
      </c>
      <c r="Y500" t="s">
        <v>1185</v>
      </c>
      <c r="Z500" t="s">
        <v>1134</v>
      </c>
      <c r="AA500">
        <v>4</v>
      </c>
    </row>
    <row r="501" spans="1:27" x14ac:dyDescent="0.3">
      <c r="A501" t="s">
        <v>197</v>
      </c>
      <c r="B501" t="s">
        <v>1234</v>
      </c>
      <c r="C501" t="s">
        <v>1084</v>
      </c>
      <c r="D501" t="s">
        <v>1238</v>
      </c>
      <c r="E501" t="s">
        <v>1171</v>
      </c>
      <c r="F501" s="1">
        <v>46282.031944444447</v>
      </c>
      <c r="G501" s="1">
        <v>46282.037499999999</v>
      </c>
      <c r="H501">
        <v>6</v>
      </c>
      <c r="I501">
        <v>8</v>
      </c>
      <c r="J501" t="b">
        <v>0</v>
      </c>
      <c r="K501" t="b">
        <v>0</v>
      </c>
      <c r="L501" t="b">
        <v>0</v>
      </c>
      <c r="M501">
        <v>12</v>
      </c>
      <c r="N501" t="s">
        <v>1130</v>
      </c>
      <c r="P501" t="b">
        <v>0</v>
      </c>
      <c r="Q501" t="s">
        <v>1119</v>
      </c>
      <c r="R501" t="s">
        <v>1131</v>
      </c>
      <c r="S501" t="s">
        <v>1121</v>
      </c>
      <c r="T501" t="s">
        <v>1122</v>
      </c>
      <c r="U501" t="s">
        <v>1247</v>
      </c>
      <c r="V501" t="s">
        <v>1151</v>
      </c>
      <c r="W501" t="s">
        <v>1131</v>
      </c>
      <c r="Z501" t="s">
        <v>1127</v>
      </c>
      <c r="AA501">
        <v>1.333333333333333</v>
      </c>
    </row>
    <row r="502" spans="1:27" x14ac:dyDescent="0.3">
      <c r="A502" t="s">
        <v>194</v>
      </c>
      <c r="B502" t="s">
        <v>1234</v>
      </c>
      <c r="C502" t="s">
        <v>1081</v>
      </c>
      <c r="D502" t="s">
        <v>1255</v>
      </c>
      <c r="E502" t="s">
        <v>1240</v>
      </c>
      <c r="F502" s="1">
        <v>46281.951388888891</v>
      </c>
      <c r="G502" s="1">
        <v>46281.956944444442</v>
      </c>
      <c r="H502">
        <v>5</v>
      </c>
      <c r="I502">
        <v>8</v>
      </c>
      <c r="J502" t="b">
        <v>0</v>
      </c>
      <c r="K502" t="b">
        <v>0</v>
      </c>
      <c r="L502" t="b">
        <v>0</v>
      </c>
      <c r="M502">
        <v>12</v>
      </c>
      <c r="N502" t="s">
        <v>1130</v>
      </c>
      <c r="P502" t="b">
        <v>0</v>
      </c>
      <c r="Q502" t="s">
        <v>1156</v>
      </c>
      <c r="R502" t="s">
        <v>1120</v>
      </c>
      <c r="S502" t="s">
        <v>1145</v>
      </c>
      <c r="T502" t="s">
        <v>1180</v>
      </c>
      <c r="U502" t="s">
        <v>1247</v>
      </c>
      <c r="V502" t="s">
        <v>1141</v>
      </c>
      <c r="W502" t="s">
        <v>1257</v>
      </c>
      <c r="Z502" t="s">
        <v>1127</v>
      </c>
      <c r="AA502">
        <v>1.6</v>
      </c>
    </row>
    <row r="503" spans="1:27" x14ac:dyDescent="0.3">
      <c r="A503" t="s">
        <v>438</v>
      </c>
      <c r="B503" t="s">
        <v>1115</v>
      </c>
      <c r="C503" t="s">
        <v>1069</v>
      </c>
      <c r="D503" t="s">
        <v>1238</v>
      </c>
      <c r="E503" t="s">
        <v>1154</v>
      </c>
      <c r="F503" s="1">
        <v>46294.22152777778</v>
      </c>
      <c r="G503" s="1">
        <v>46294.227083333331</v>
      </c>
      <c r="H503">
        <v>5</v>
      </c>
      <c r="I503">
        <v>8</v>
      </c>
      <c r="J503" t="b">
        <v>0</v>
      </c>
      <c r="K503" t="b">
        <v>0</v>
      </c>
      <c r="L503" t="b">
        <v>0</v>
      </c>
      <c r="M503">
        <v>15</v>
      </c>
      <c r="N503" t="s">
        <v>1118</v>
      </c>
      <c r="O503" s="1">
        <v>46294.216666666667</v>
      </c>
      <c r="P503" t="b">
        <v>0</v>
      </c>
      <c r="Q503" t="s">
        <v>1156</v>
      </c>
      <c r="R503" t="s">
        <v>1131</v>
      </c>
      <c r="S503" t="s">
        <v>1157</v>
      </c>
      <c r="T503" t="s">
        <v>1140</v>
      </c>
      <c r="U503" t="s">
        <v>1172</v>
      </c>
      <c r="V503" t="s">
        <v>1151</v>
      </c>
      <c r="W503" t="s">
        <v>1131</v>
      </c>
      <c r="X503">
        <v>5</v>
      </c>
      <c r="Y503" t="s">
        <v>1126</v>
      </c>
      <c r="Z503" t="s">
        <v>1127</v>
      </c>
      <c r="AA503">
        <v>1.6</v>
      </c>
    </row>
    <row r="504" spans="1:27" x14ac:dyDescent="0.3">
      <c r="A504" t="s">
        <v>434</v>
      </c>
      <c r="B504" t="s">
        <v>1115</v>
      </c>
      <c r="C504" t="s">
        <v>1082</v>
      </c>
      <c r="D504" t="s">
        <v>1255</v>
      </c>
      <c r="E504" t="s">
        <v>1274</v>
      </c>
      <c r="F504" s="1">
        <v>46294.229861111111</v>
      </c>
      <c r="G504" s="1">
        <v>46294.23541666667</v>
      </c>
      <c r="H504">
        <v>6</v>
      </c>
      <c r="I504">
        <v>8</v>
      </c>
      <c r="J504" t="b">
        <v>0</v>
      </c>
      <c r="K504" t="b">
        <v>0</v>
      </c>
      <c r="L504" t="b">
        <v>0</v>
      </c>
      <c r="M504">
        <v>15</v>
      </c>
      <c r="N504" t="s">
        <v>1118</v>
      </c>
      <c r="O504" s="1">
        <v>46294.216666666667</v>
      </c>
      <c r="P504" t="b">
        <v>0</v>
      </c>
      <c r="Q504" t="s">
        <v>1138</v>
      </c>
      <c r="R504" t="s">
        <v>1120</v>
      </c>
      <c r="S504" t="s">
        <v>1157</v>
      </c>
      <c r="T504" t="s">
        <v>1122</v>
      </c>
      <c r="U504" t="s">
        <v>1145</v>
      </c>
      <c r="V504" t="s">
        <v>1141</v>
      </c>
      <c r="W504" t="s">
        <v>1257</v>
      </c>
      <c r="X504">
        <v>5</v>
      </c>
      <c r="Y504" t="s">
        <v>1126</v>
      </c>
      <c r="Z504" t="s">
        <v>1127</v>
      </c>
      <c r="AA504">
        <v>1.333333333333333</v>
      </c>
    </row>
    <row r="505" spans="1:27" x14ac:dyDescent="0.3">
      <c r="A505" t="s">
        <v>1009</v>
      </c>
      <c r="B505" t="s">
        <v>1450</v>
      </c>
      <c r="C505" t="s">
        <v>1082</v>
      </c>
      <c r="D505" t="s">
        <v>1255</v>
      </c>
      <c r="E505" t="s">
        <v>1165</v>
      </c>
      <c r="F505" s="1">
        <v>46291.00277777778</v>
      </c>
      <c r="G505" s="1">
        <v>46291.008333333331</v>
      </c>
      <c r="H505">
        <v>5</v>
      </c>
      <c r="I505">
        <v>8</v>
      </c>
      <c r="J505" t="b">
        <v>0</v>
      </c>
      <c r="K505" t="b">
        <v>0</v>
      </c>
      <c r="L505" t="b">
        <v>0</v>
      </c>
      <c r="M505">
        <v>6</v>
      </c>
      <c r="N505" t="s">
        <v>1155</v>
      </c>
      <c r="O505" s="1">
        <v>46290.991666666669</v>
      </c>
      <c r="P505" t="b">
        <v>0</v>
      </c>
      <c r="Q505" t="s">
        <v>1138</v>
      </c>
      <c r="R505" t="s">
        <v>1120</v>
      </c>
      <c r="S505" t="s">
        <v>1152</v>
      </c>
      <c r="T505" t="s">
        <v>1122</v>
      </c>
      <c r="U505" t="s">
        <v>1145</v>
      </c>
      <c r="V505" t="s">
        <v>1141</v>
      </c>
      <c r="W505" t="s">
        <v>1257</v>
      </c>
      <c r="X505">
        <v>23</v>
      </c>
      <c r="Y505" t="s">
        <v>1142</v>
      </c>
      <c r="Z505" t="s">
        <v>1134</v>
      </c>
      <c r="AA505">
        <v>1.6</v>
      </c>
    </row>
    <row r="506" spans="1:27" x14ac:dyDescent="0.3">
      <c r="A506" t="s">
        <v>1003</v>
      </c>
      <c r="B506" t="s">
        <v>1365</v>
      </c>
      <c r="C506" t="s">
        <v>1058</v>
      </c>
      <c r="D506" t="s">
        <v>1255</v>
      </c>
      <c r="E506" t="s">
        <v>1371</v>
      </c>
      <c r="F506" s="1">
        <v>46276.881944444453</v>
      </c>
      <c r="G506" s="1">
        <v>46276.887499999997</v>
      </c>
      <c r="H506">
        <v>1</v>
      </c>
      <c r="I506">
        <v>8</v>
      </c>
      <c r="J506" t="b">
        <v>0</v>
      </c>
      <c r="K506" t="b">
        <v>0</v>
      </c>
      <c r="L506" t="b">
        <v>0</v>
      </c>
      <c r="M506">
        <v>12</v>
      </c>
      <c r="N506" t="s">
        <v>1118</v>
      </c>
      <c r="O506" s="1">
        <v>46276.809027777781</v>
      </c>
      <c r="P506" t="b">
        <v>0</v>
      </c>
      <c r="Q506" t="s">
        <v>1138</v>
      </c>
      <c r="R506" t="s">
        <v>1131</v>
      </c>
      <c r="S506" t="s">
        <v>1157</v>
      </c>
      <c r="T506" t="s">
        <v>1122</v>
      </c>
      <c r="U506" t="s">
        <v>1145</v>
      </c>
      <c r="V506" t="s">
        <v>1141</v>
      </c>
      <c r="W506" t="s">
        <v>1257</v>
      </c>
      <c r="X506">
        <v>19</v>
      </c>
      <c r="Y506" t="s">
        <v>1142</v>
      </c>
      <c r="Z506" t="s">
        <v>1127</v>
      </c>
      <c r="AA506">
        <v>8</v>
      </c>
    </row>
    <row r="507" spans="1:27" x14ac:dyDescent="0.3">
      <c r="A507" t="s">
        <v>996</v>
      </c>
      <c r="B507" t="s">
        <v>1451</v>
      </c>
      <c r="C507" t="s">
        <v>1072</v>
      </c>
      <c r="D507" t="s">
        <v>1280</v>
      </c>
      <c r="E507" t="s">
        <v>1184</v>
      </c>
      <c r="F507" s="1">
        <v>46291.981249999997</v>
      </c>
      <c r="G507" s="1">
        <v>46291.986805555563</v>
      </c>
      <c r="H507">
        <v>7</v>
      </c>
      <c r="I507">
        <v>8</v>
      </c>
      <c r="J507" t="b">
        <v>0</v>
      </c>
      <c r="K507" t="b">
        <v>0</v>
      </c>
      <c r="L507" t="b">
        <v>0</v>
      </c>
      <c r="M507">
        <v>6</v>
      </c>
      <c r="N507" t="s">
        <v>1118</v>
      </c>
      <c r="O507" s="1">
        <v>46291.857638888891</v>
      </c>
      <c r="P507" t="b">
        <v>0</v>
      </c>
      <c r="Q507" t="s">
        <v>1156</v>
      </c>
      <c r="R507" t="s">
        <v>1131</v>
      </c>
      <c r="S507" t="s">
        <v>1132</v>
      </c>
      <c r="T507" t="s">
        <v>1180</v>
      </c>
      <c r="U507" t="s">
        <v>1172</v>
      </c>
      <c r="V507" t="s">
        <v>1151</v>
      </c>
      <c r="W507" t="s">
        <v>1257</v>
      </c>
      <c r="X507">
        <v>20</v>
      </c>
      <c r="Y507" t="s">
        <v>1173</v>
      </c>
      <c r="Z507" t="s">
        <v>1134</v>
      </c>
      <c r="AA507">
        <v>1.142857142857143</v>
      </c>
    </row>
    <row r="508" spans="1:27" x14ac:dyDescent="0.3">
      <c r="A508" t="s">
        <v>266</v>
      </c>
      <c r="B508" t="s">
        <v>1201</v>
      </c>
      <c r="C508" t="s">
        <v>1069</v>
      </c>
      <c r="D508" t="s">
        <v>1283</v>
      </c>
      <c r="E508" t="s">
        <v>1159</v>
      </c>
      <c r="F508" s="1">
        <v>46286.835416666669</v>
      </c>
      <c r="G508" s="1">
        <v>46286.84097222222</v>
      </c>
      <c r="H508">
        <v>7</v>
      </c>
      <c r="I508">
        <v>8</v>
      </c>
      <c r="J508" t="b">
        <v>0</v>
      </c>
      <c r="K508" t="b">
        <v>0</v>
      </c>
      <c r="L508" t="b">
        <v>0</v>
      </c>
      <c r="M508">
        <v>10</v>
      </c>
      <c r="N508" t="s">
        <v>1130</v>
      </c>
      <c r="O508" s="1">
        <v>46286.793055555558</v>
      </c>
      <c r="P508" t="b">
        <v>0</v>
      </c>
      <c r="Q508" t="s">
        <v>1138</v>
      </c>
      <c r="R508" t="s">
        <v>1120</v>
      </c>
      <c r="S508" t="s">
        <v>1132</v>
      </c>
      <c r="T508" t="s">
        <v>1140</v>
      </c>
      <c r="U508" t="s">
        <v>1172</v>
      </c>
      <c r="V508" t="s">
        <v>1284</v>
      </c>
      <c r="W508" t="s">
        <v>1131</v>
      </c>
      <c r="X508">
        <v>19</v>
      </c>
      <c r="Y508" t="s">
        <v>1185</v>
      </c>
      <c r="Z508" t="s">
        <v>1134</v>
      </c>
      <c r="AA508">
        <v>1.142857142857143</v>
      </c>
    </row>
    <row r="509" spans="1:27" x14ac:dyDescent="0.3">
      <c r="A509" t="s">
        <v>263</v>
      </c>
      <c r="B509" t="s">
        <v>1335</v>
      </c>
      <c r="C509" t="s">
        <v>1065</v>
      </c>
      <c r="D509" t="s">
        <v>1116</v>
      </c>
      <c r="E509" t="s">
        <v>1223</v>
      </c>
      <c r="F509" s="1">
        <v>46270.097916666673</v>
      </c>
      <c r="G509" s="1">
        <v>46270.103472222218</v>
      </c>
      <c r="H509">
        <v>5</v>
      </c>
      <c r="I509">
        <v>8</v>
      </c>
      <c r="J509" t="b">
        <v>0</v>
      </c>
      <c r="K509" t="b">
        <v>0</v>
      </c>
      <c r="L509" t="b">
        <v>0</v>
      </c>
      <c r="N509" t="s">
        <v>1118</v>
      </c>
      <c r="O509" s="1">
        <v>46270.036111111112</v>
      </c>
      <c r="P509" t="b">
        <v>1</v>
      </c>
      <c r="Q509" t="s">
        <v>1119</v>
      </c>
      <c r="R509" t="s">
        <v>1120</v>
      </c>
      <c r="S509" t="s">
        <v>1152</v>
      </c>
      <c r="T509" t="s">
        <v>1180</v>
      </c>
      <c r="U509" t="s">
        <v>1247</v>
      </c>
      <c r="V509" t="s">
        <v>1124</v>
      </c>
      <c r="W509" t="s">
        <v>1125</v>
      </c>
      <c r="X509">
        <v>0</v>
      </c>
      <c r="Y509" t="s">
        <v>1173</v>
      </c>
      <c r="AA509">
        <v>1.6</v>
      </c>
    </row>
    <row r="510" spans="1:27" x14ac:dyDescent="0.3">
      <c r="A510" t="s">
        <v>287</v>
      </c>
      <c r="B510" t="s">
        <v>1347</v>
      </c>
      <c r="C510" t="s">
        <v>1087</v>
      </c>
      <c r="D510" t="s">
        <v>1116</v>
      </c>
      <c r="E510" t="s">
        <v>1379</v>
      </c>
      <c r="F510" s="1">
        <v>46266.525694444441</v>
      </c>
      <c r="G510" s="1">
        <v>46266.53125</v>
      </c>
      <c r="H510">
        <v>1</v>
      </c>
      <c r="I510">
        <v>8</v>
      </c>
      <c r="J510" t="b">
        <v>0</v>
      </c>
      <c r="K510" t="b">
        <v>0</v>
      </c>
      <c r="L510" t="b">
        <v>0</v>
      </c>
      <c r="M510">
        <v>20</v>
      </c>
      <c r="N510" t="s">
        <v>1130</v>
      </c>
      <c r="O510" s="1">
        <v>46266.458333333343</v>
      </c>
      <c r="P510" t="b">
        <v>0</v>
      </c>
      <c r="Q510" t="s">
        <v>1179</v>
      </c>
      <c r="R510" t="s">
        <v>1120</v>
      </c>
      <c r="S510" t="s">
        <v>1145</v>
      </c>
      <c r="T510" t="s">
        <v>1145</v>
      </c>
      <c r="U510" t="s">
        <v>1247</v>
      </c>
      <c r="V510" t="s">
        <v>1124</v>
      </c>
      <c r="W510" t="s">
        <v>1125</v>
      </c>
      <c r="X510">
        <v>11</v>
      </c>
      <c r="Y510" t="s">
        <v>1126</v>
      </c>
      <c r="Z510" t="s">
        <v>1127</v>
      </c>
      <c r="AA510">
        <v>8</v>
      </c>
    </row>
    <row r="511" spans="1:27" x14ac:dyDescent="0.3">
      <c r="A511" t="s">
        <v>286</v>
      </c>
      <c r="B511" t="s">
        <v>1347</v>
      </c>
      <c r="C511" t="s">
        <v>1064</v>
      </c>
      <c r="D511" t="s">
        <v>1339</v>
      </c>
      <c r="E511" t="s">
        <v>1178</v>
      </c>
      <c r="F511" s="1">
        <v>46266.547222222223</v>
      </c>
      <c r="G511" s="1">
        <v>46266.552777777782</v>
      </c>
      <c r="H511">
        <v>6</v>
      </c>
      <c r="I511">
        <v>8</v>
      </c>
      <c r="J511" t="b">
        <v>0</v>
      </c>
      <c r="K511" t="b">
        <v>0</v>
      </c>
      <c r="L511" t="b">
        <v>0</v>
      </c>
      <c r="M511">
        <v>20</v>
      </c>
      <c r="N511" t="s">
        <v>1130</v>
      </c>
      <c r="O511" s="1">
        <v>46266.458333333343</v>
      </c>
      <c r="P511" t="b">
        <v>0</v>
      </c>
      <c r="Q511" t="s">
        <v>1179</v>
      </c>
      <c r="R511" t="s">
        <v>1139</v>
      </c>
      <c r="S511" t="s">
        <v>1157</v>
      </c>
      <c r="T511" t="s">
        <v>1122</v>
      </c>
      <c r="U511" t="s">
        <v>1123</v>
      </c>
      <c r="V511" t="s">
        <v>1284</v>
      </c>
      <c r="W511" t="s">
        <v>1257</v>
      </c>
      <c r="X511">
        <v>11</v>
      </c>
      <c r="Y511" t="s">
        <v>1126</v>
      </c>
      <c r="Z511" t="s">
        <v>1127</v>
      </c>
      <c r="AA511">
        <v>1.333333333333333</v>
      </c>
    </row>
    <row r="512" spans="1:27" x14ac:dyDescent="0.3">
      <c r="A512" t="s">
        <v>283</v>
      </c>
      <c r="B512" t="s">
        <v>1347</v>
      </c>
      <c r="C512" t="s">
        <v>1074</v>
      </c>
      <c r="D512" t="s">
        <v>1255</v>
      </c>
      <c r="E512" t="s">
        <v>1196</v>
      </c>
      <c r="F512" s="1">
        <v>46266.552777777782</v>
      </c>
      <c r="G512" s="1">
        <v>46266.558333333327</v>
      </c>
      <c r="H512">
        <v>1</v>
      </c>
      <c r="I512">
        <v>8</v>
      </c>
      <c r="J512" t="b">
        <v>0</v>
      </c>
      <c r="K512" t="b">
        <v>0</v>
      </c>
      <c r="L512" t="b">
        <v>0</v>
      </c>
      <c r="M512">
        <v>20</v>
      </c>
      <c r="N512" t="s">
        <v>1130</v>
      </c>
      <c r="O512" s="1">
        <v>46266.458333333343</v>
      </c>
      <c r="P512" t="b">
        <v>0</v>
      </c>
      <c r="Q512" t="s">
        <v>1138</v>
      </c>
      <c r="R512" t="s">
        <v>1120</v>
      </c>
      <c r="S512" t="s">
        <v>1121</v>
      </c>
      <c r="T512" t="s">
        <v>1145</v>
      </c>
      <c r="U512" t="s">
        <v>1145</v>
      </c>
      <c r="V512" t="s">
        <v>1141</v>
      </c>
      <c r="W512" t="s">
        <v>1257</v>
      </c>
      <c r="X512">
        <v>11</v>
      </c>
      <c r="Y512" t="s">
        <v>1126</v>
      </c>
      <c r="Z512" t="s">
        <v>1127</v>
      </c>
      <c r="AA512">
        <v>8</v>
      </c>
    </row>
    <row r="513" spans="1:27" x14ac:dyDescent="0.3">
      <c r="A513" t="s">
        <v>277</v>
      </c>
      <c r="B513" t="s">
        <v>1333</v>
      </c>
      <c r="C513" t="s">
        <v>1071</v>
      </c>
      <c r="D513" t="s">
        <v>1149</v>
      </c>
      <c r="E513" t="s">
        <v>1358</v>
      </c>
      <c r="F513" s="1">
        <v>46290.831250000003</v>
      </c>
      <c r="G513" s="1">
        <v>46290.836805555547</v>
      </c>
      <c r="H513">
        <v>1</v>
      </c>
      <c r="I513">
        <v>8</v>
      </c>
      <c r="J513" t="b">
        <v>0</v>
      </c>
      <c r="K513" t="b">
        <v>0</v>
      </c>
      <c r="L513" t="b">
        <v>0</v>
      </c>
      <c r="M513">
        <v>20</v>
      </c>
      <c r="N513" t="s">
        <v>1118</v>
      </c>
      <c r="O513" s="1">
        <v>46290.806250000001</v>
      </c>
      <c r="P513" t="b">
        <v>0</v>
      </c>
      <c r="Q513" t="s">
        <v>1145</v>
      </c>
      <c r="R513" t="s">
        <v>1131</v>
      </c>
      <c r="S513" t="s">
        <v>1152</v>
      </c>
      <c r="T513" t="s">
        <v>1122</v>
      </c>
      <c r="U513" t="s">
        <v>1145</v>
      </c>
      <c r="V513" t="s">
        <v>1152</v>
      </c>
      <c r="W513" t="s">
        <v>1145</v>
      </c>
      <c r="X513">
        <v>19</v>
      </c>
      <c r="Y513" t="s">
        <v>1142</v>
      </c>
      <c r="Z513" t="s">
        <v>1127</v>
      </c>
      <c r="AA513">
        <v>8</v>
      </c>
    </row>
    <row r="514" spans="1:27" x14ac:dyDescent="0.3">
      <c r="A514" t="s">
        <v>719</v>
      </c>
      <c r="B514" t="s">
        <v>1399</v>
      </c>
      <c r="C514" t="s">
        <v>1084</v>
      </c>
      <c r="D514" t="s">
        <v>1116</v>
      </c>
      <c r="E514" t="s">
        <v>1344</v>
      </c>
      <c r="F514" s="1">
        <v>46291.283333333333</v>
      </c>
      <c r="G514" s="1">
        <v>46291.288888888892</v>
      </c>
      <c r="H514">
        <v>6</v>
      </c>
      <c r="I514">
        <v>8</v>
      </c>
      <c r="J514" t="b">
        <v>0</v>
      </c>
      <c r="K514" t="b">
        <v>0</v>
      </c>
      <c r="L514" t="b">
        <v>0</v>
      </c>
      <c r="M514">
        <v>10</v>
      </c>
      <c r="N514" t="s">
        <v>1118</v>
      </c>
      <c r="O514" s="1">
        <v>46291.222916666673</v>
      </c>
      <c r="P514" t="b">
        <v>0</v>
      </c>
      <c r="Q514" t="s">
        <v>1156</v>
      </c>
      <c r="R514" t="s">
        <v>1131</v>
      </c>
      <c r="S514" t="s">
        <v>1132</v>
      </c>
      <c r="T514" t="s">
        <v>1122</v>
      </c>
      <c r="U514" t="s">
        <v>1247</v>
      </c>
      <c r="V514" t="s">
        <v>1124</v>
      </c>
      <c r="W514" t="s">
        <v>1125</v>
      </c>
      <c r="X514">
        <v>5</v>
      </c>
      <c r="Y514" t="s">
        <v>1173</v>
      </c>
      <c r="Z514" t="s">
        <v>1134</v>
      </c>
      <c r="AA514">
        <v>1.333333333333333</v>
      </c>
    </row>
    <row r="515" spans="1:27" x14ac:dyDescent="0.3">
      <c r="A515" t="s">
        <v>712</v>
      </c>
      <c r="B515" t="s">
        <v>1220</v>
      </c>
      <c r="C515" t="s">
        <v>1085</v>
      </c>
      <c r="D515" t="s">
        <v>1149</v>
      </c>
      <c r="E515" t="s">
        <v>1228</v>
      </c>
      <c r="F515" s="1">
        <v>46273.463888888888</v>
      </c>
      <c r="G515" s="1">
        <v>46273.46875</v>
      </c>
      <c r="H515">
        <v>2</v>
      </c>
      <c r="I515">
        <v>7</v>
      </c>
      <c r="J515" t="b">
        <v>0</v>
      </c>
      <c r="K515" t="b">
        <v>0</v>
      </c>
      <c r="L515" t="b">
        <v>0</v>
      </c>
      <c r="M515">
        <v>8</v>
      </c>
      <c r="N515" t="s">
        <v>1118</v>
      </c>
      <c r="O515" s="1">
        <v>46273.438194444447</v>
      </c>
      <c r="P515" t="b">
        <v>0</v>
      </c>
      <c r="Q515" t="s">
        <v>1179</v>
      </c>
      <c r="R515" t="s">
        <v>1145</v>
      </c>
      <c r="S515" t="s">
        <v>1157</v>
      </c>
      <c r="T515" t="s">
        <v>1122</v>
      </c>
      <c r="U515" t="s">
        <v>1247</v>
      </c>
      <c r="V515" t="s">
        <v>1152</v>
      </c>
      <c r="W515" t="s">
        <v>1145</v>
      </c>
      <c r="X515">
        <v>10</v>
      </c>
      <c r="Y515" t="s">
        <v>1126</v>
      </c>
      <c r="Z515" t="s">
        <v>1134</v>
      </c>
      <c r="AA515">
        <v>3.5</v>
      </c>
    </row>
    <row r="516" spans="1:27" x14ac:dyDescent="0.3">
      <c r="A516" t="s">
        <v>720</v>
      </c>
      <c r="B516" t="s">
        <v>1399</v>
      </c>
      <c r="C516" t="s">
        <v>1065</v>
      </c>
      <c r="D516" t="s">
        <v>1255</v>
      </c>
      <c r="E516" t="s">
        <v>1261</v>
      </c>
      <c r="F516" s="1">
        <v>46291.29583333333</v>
      </c>
      <c r="G516" s="1">
        <v>46291.300694444442</v>
      </c>
      <c r="H516">
        <v>4</v>
      </c>
      <c r="I516">
        <v>7</v>
      </c>
      <c r="J516" t="b">
        <v>0</v>
      </c>
      <c r="K516" t="b">
        <v>0</v>
      </c>
      <c r="L516" t="b">
        <v>0</v>
      </c>
      <c r="M516">
        <v>10</v>
      </c>
      <c r="N516" t="s">
        <v>1118</v>
      </c>
      <c r="O516" s="1">
        <v>46291.222916666673</v>
      </c>
      <c r="P516" t="b">
        <v>0</v>
      </c>
      <c r="Q516" t="s">
        <v>1151</v>
      </c>
      <c r="R516" t="s">
        <v>1120</v>
      </c>
      <c r="S516" t="s">
        <v>1157</v>
      </c>
      <c r="T516" t="s">
        <v>1180</v>
      </c>
      <c r="U516" t="s">
        <v>1247</v>
      </c>
      <c r="V516" t="s">
        <v>1141</v>
      </c>
      <c r="W516" t="s">
        <v>1257</v>
      </c>
      <c r="X516">
        <v>5</v>
      </c>
      <c r="Y516" t="s">
        <v>1173</v>
      </c>
      <c r="Z516" t="s">
        <v>1134</v>
      </c>
      <c r="AA516">
        <v>1.75</v>
      </c>
    </row>
    <row r="517" spans="1:27" x14ac:dyDescent="0.3">
      <c r="A517" t="s">
        <v>721</v>
      </c>
      <c r="B517" t="s">
        <v>1370</v>
      </c>
      <c r="C517" t="s">
        <v>1059</v>
      </c>
      <c r="D517" t="s">
        <v>1149</v>
      </c>
      <c r="E517" t="s">
        <v>1225</v>
      </c>
      <c r="F517" s="1">
        <v>46280.193055555559</v>
      </c>
      <c r="G517" s="1">
        <v>46280.197916666657</v>
      </c>
      <c r="H517">
        <v>1</v>
      </c>
      <c r="I517">
        <v>7</v>
      </c>
      <c r="J517" t="b">
        <v>0</v>
      </c>
      <c r="K517" t="b">
        <v>0</v>
      </c>
      <c r="L517" t="b">
        <v>0</v>
      </c>
      <c r="M517">
        <v>6</v>
      </c>
      <c r="N517" t="s">
        <v>1168</v>
      </c>
      <c r="O517" s="1">
        <v>46280.078472222223</v>
      </c>
      <c r="P517" t="b">
        <v>0</v>
      </c>
      <c r="Q517" t="s">
        <v>1151</v>
      </c>
      <c r="R517" t="s">
        <v>1120</v>
      </c>
      <c r="S517" t="s">
        <v>1152</v>
      </c>
      <c r="T517" t="s">
        <v>1122</v>
      </c>
      <c r="U517" t="s">
        <v>1172</v>
      </c>
      <c r="V517" t="s">
        <v>1152</v>
      </c>
      <c r="W517" t="s">
        <v>1145</v>
      </c>
      <c r="X517">
        <v>1</v>
      </c>
      <c r="Y517" t="s">
        <v>1126</v>
      </c>
      <c r="Z517" t="s">
        <v>1134</v>
      </c>
      <c r="AA517">
        <v>7</v>
      </c>
    </row>
    <row r="518" spans="1:27" x14ac:dyDescent="0.3">
      <c r="A518" t="s">
        <v>274</v>
      </c>
      <c r="B518" t="s">
        <v>1333</v>
      </c>
      <c r="C518" t="s">
        <v>1060</v>
      </c>
      <c r="D518" t="s">
        <v>1280</v>
      </c>
      <c r="E518" t="s">
        <v>1294</v>
      </c>
      <c r="F518" s="1">
        <v>46290.813194444447</v>
      </c>
      <c r="G518" s="1">
        <v>46290.818055555559</v>
      </c>
      <c r="H518">
        <v>7</v>
      </c>
      <c r="I518">
        <v>7</v>
      </c>
      <c r="J518" t="b">
        <v>0</v>
      </c>
      <c r="K518" t="b">
        <v>0</v>
      </c>
      <c r="L518" t="b">
        <v>0</v>
      </c>
      <c r="M518">
        <v>20</v>
      </c>
      <c r="N518" t="s">
        <v>1118</v>
      </c>
      <c r="O518" s="1">
        <v>46290.806250000001</v>
      </c>
      <c r="P518" t="b">
        <v>0</v>
      </c>
      <c r="Q518" t="s">
        <v>1119</v>
      </c>
      <c r="R518" t="s">
        <v>1145</v>
      </c>
      <c r="S518" t="s">
        <v>1132</v>
      </c>
      <c r="T518" t="s">
        <v>1140</v>
      </c>
      <c r="U518" t="s">
        <v>1145</v>
      </c>
      <c r="V518" t="s">
        <v>1151</v>
      </c>
      <c r="W518" t="s">
        <v>1257</v>
      </c>
      <c r="X518">
        <v>19</v>
      </c>
      <c r="Y518" t="s">
        <v>1142</v>
      </c>
      <c r="Z518" t="s">
        <v>1127</v>
      </c>
      <c r="AA518">
        <v>1</v>
      </c>
    </row>
    <row r="519" spans="1:27" x14ac:dyDescent="0.3">
      <c r="A519" t="s">
        <v>282</v>
      </c>
      <c r="B519" t="s">
        <v>1347</v>
      </c>
      <c r="C519" t="s">
        <v>1058</v>
      </c>
      <c r="D519" t="s">
        <v>1255</v>
      </c>
      <c r="E519" t="s">
        <v>1246</v>
      </c>
      <c r="F519" s="1">
        <v>46266.515972222223</v>
      </c>
      <c r="G519" s="1">
        <v>46266.520833333343</v>
      </c>
      <c r="H519">
        <v>3</v>
      </c>
      <c r="I519">
        <v>7</v>
      </c>
      <c r="J519" t="b">
        <v>0</v>
      </c>
      <c r="K519" t="b">
        <v>0</v>
      </c>
      <c r="L519" t="b">
        <v>0</v>
      </c>
      <c r="M519">
        <v>20</v>
      </c>
      <c r="N519" t="s">
        <v>1130</v>
      </c>
      <c r="O519" s="1">
        <v>46266.458333333343</v>
      </c>
      <c r="P519" t="b">
        <v>0</v>
      </c>
      <c r="Q519" t="s">
        <v>1145</v>
      </c>
      <c r="R519" t="s">
        <v>1120</v>
      </c>
      <c r="S519" t="s">
        <v>1157</v>
      </c>
      <c r="T519" t="s">
        <v>1122</v>
      </c>
      <c r="U519" t="s">
        <v>1145</v>
      </c>
      <c r="V519" t="s">
        <v>1141</v>
      </c>
      <c r="W519" t="s">
        <v>1257</v>
      </c>
      <c r="X519">
        <v>11</v>
      </c>
      <c r="Y519" t="s">
        <v>1126</v>
      </c>
      <c r="Z519" t="s">
        <v>1127</v>
      </c>
      <c r="AA519">
        <v>2.333333333333333</v>
      </c>
    </row>
    <row r="520" spans="1:27" x14ac:dyDescent="0.3">
      <c r="A520" t="s">
        <v>693</v>
      </c>
      <c r="B520" t="s">
        <v>1392</v>
      </c>
      <c r="C520" t="s">
        <v>1065</v>
      </c>
      <c r="D520" t="s">
        <v>1149</v>
      </c>
      <c r="E520" t="s">
        <v>1209</v>
      </c>
      <c r="F520" s="1">
        <v>46279.806944444441</v>
      </c>
      <c r="G520" s="1">
        <v>46279.811805555553</v>
      </c>
      <c r="H520">
        <v>2</v>
      </c>
      <c r="I520">
        <v>7</v>
      </c>
      <c r="J520" t="b">
        <v>0</v>
      </c>
      <c r="K520" t="b">
        <v>0</v>
      </c>
      <c r="L520" t="b">
        <v>0</v>
      </c>
      <c r="M520">
        <v>12</v>
      </c>
      <c r="N520" t="s">
        <v>1118</v>
      </c>
      <c r="O520" s="1">
        <v>46279.723611111112</v>
      </c>
      <c r="P520" t="b">
        <v>0</v>
      </c>
      <c r="Q520" t="s">
        <v>1138</v>
      </c>
      <c r="R520" t="s">
        <v>1131</v>
      </c>
      <c r="S520" t="s">
        <v>1132</v>
      </c>
      <c r="T520" t="s">
        <v>1180</v>
      </c>
      <c r="U520" t="s">
        <v>1247</v>
      </c>
      <c r="V520" t="s">
        <v>1152</v>
      </c>
      <c r="W520" t="s">
        <v>1145</v>
      </c>
      <c r="X520">
        <v>17</v>
      </c>
      <c r="Y520" t="s">
        <v>1185</v>
      </c>
      <c r="Z520" t="s">
        <v>1127</v>
      </c>
      <c r="AA520">
        <v>3.5</v>
      </c>
    </row>
    <row r="521" spans="1:27" x14ac:dyDescent="0.3">
      <c r="A521" t="s">
        <v>694</v>
      </c>
      <c r="B521" t="s">
        <v>1348</v>
      </c>
      <c r="C521" t="s">
        <v>1079</v>
      </c>
      <c r="D521" t="s">
        <v>1255</v>
      </c>
      <c r="E521" t="s">
        <v>1249</v>
      </c>
      <c r="F521" s="1">
        <v>46277.386111111111</v>
      </c>
      <c r="G521" s="1">
        <v>46277.390972222223</v>
      </c>
      <c r="H521">
        <v>1</v>
      </c>
      <c r="I521">
        <v>7</v>
      </c>
      <c r="J521" t="b">
        <v>0</v>
      </c>
      <c r="K521" t="b">
        <v>0</v>
      </c>
      <c r="L521" t="b">
        <v>0</v>
      </c>
      <c r="M521">
        <v>6</v>
      </c>
      <c r="N521" t="s">
        <v>1118</v>
      </c>
      <c r="O521" s="1">
        <v>46277.361111111109</v>
      </c>
      <c r="P521" t="b">
        <v>0</v>
      </c>
      <c r="Q521" t="s">
        <v>1169</v>
      </c>
      <c r="R521" t="s">
        <v>1131</v>
      </c>
      <c r="S521" t="s">
        <v>1157</v>
      </c>
      <c r="T521" t="s">
        <v>1145</v>
      </c>
      <c r="U521" t="s">
        <v>1123</v>
      </c>
      <c r="V521" t="s">
        <v>1141</v>
      </c>
      <c r="W521" t="s">
        <v>1257</v>
      </c>
      <c r="X521">
        <v>8</v>
      </c>
      <c r="Y521" t="s">
        <v>1173</v>
      </c>
      <c r="Z521" t="s">
        <v>1134</v>
      </c>
      <c r="AA521">
        <v>7</v>
      </c>
    </row>
    <row r="522" spans="1:27" x14ac:dyDescent="0.3">
      <c r="A522" t="s">
        <v>265</v>
      </c>
      <c r="B522" t="s">
        <v>1452</v>
      </c>
      <c r="C522" t="s">
        <v>1060</v>
      </c>
      <c r="D522" t="s">
        <v>1238</v>
      </c>
      <c r="E522" t="s">
        <v>1163</v>
      </c>
      <c r="F522" s="1">
        <v>46282.380555555559</v>
      </c>
      <c r="G522" s="1">
        <v>46282.385416666657</v>
      </c>
      <c r="H522">
        <v>5</v>
      </c>
      <c r="I522">
        <v>7</v>
      </c>
      <c r="J522" t="b">
        <v>0</v>
      </c>
      <c r="K522" t="b">
        <v>0</v>
      </c>
      <c r="L522" t="b">
        <v>0</v>
      </c>
      <c r="M522">
        <v>1</v>
      </c>
      <c r="N522" t="s">
        <v>1168</v>
      </c>
      <c r="O522" s="1">
        <v>46282.287499999999</v>
      </c>
      <c r="P522" t="b">
        <v>0</v>
      </c>
      <c r="Q522" t="s">
        <v>1119</v>
      </c>
      <c r="R522" t="s">
        <v>1131</v>
      </c>
      <c r="S522" t="s">
        <v>1132</v>
      </c>
      <c r="T522" t="s">
        <v>1140</v>
      </c>
      <c r="U522" t="s">
        <v>1145</v>
      </c>
      <c r="V522" t="s">
        <v>1151</v>
      </c>
      <c r="W522" t="s">
        <v>1131</v>
      </c>
      <c r="X522">
        <v>6</v>
      </c>
      <c r="Y522" t="s">
        <v>1146</v>
      </c>
      <c r="Z522" t="s">
        <v>1147</v>
      </c>
      <c r="AA522">
        <v>1.4</v>
      </c>
    </row>
    <row r="523" spans="1:27" x14ac:dyDescent="0.3">
      <c r="A523" t="s">
        <v>91</v>
      </c>
      <c r="B523" t="s">
        <v>1387</v>
      </c>
      <c r="C523" t="s">
        <v>1061</v>
      </c>
      <c r="D523" t="s">
        <v>1255</v>
      </c>
      <c r="E523" t="s">
        <v>1231</v>
      </c>
      <c r="F523" s="1">
        <v>46288.849305555559</v>
      </c>
      <c r="G523" s="1">
        <v>46288.854166666657</v>
      </c>
      <c r="H523">
        <v>4</v>
      </c>
      <c r="I523">
        <v>7</v>
      </c>
      <c r="J523" t="b">
        <v>0</v>
      </c>
      <c r="K523" t="b">
        <v>0</v>
      </c>
      <c r="L523" t="b">
        <v>0</v>
      </c>
      <c r="M523">
        <v>5</v>
      </c>
      <c r="N523" t="s">
        <v>1118</v>
      </c>
      <c r="O523" s="1">
        <v>46288.832638888889</v>
      </c>
      <c r="P523" t="b">
        <v>0</v>
      </c>
      <c r="Q523" t="s">
        <v>1169</v>
      </c>
      <c r="R523" t="s">
        <v>1131</v>
      </c>
      <c r="S523" t="s">
        <v>1152</v>
      </c>
      <c r="T523" t="s">
        <v>1145</v>
      </c>
      <c r="U523" t="s">
        <v>1172</v>
      </c>
      <c r="V523" t="s">
        <v>1141</v>
      </c>
      <c r="W523" t="s">
        <v>1257</v>
      </c>
      <c r="X523">
        <v>19</v>
      </c>
      <c r="Y523" t="s">
        <v>1161</v>
      </c>
      <c r="Z523" t="s">
        <v>1147</v>
      </c>
      <c r="AA523">
        <v>1.75</v>
      </c>
    </row>
    <row r="524" spans="1:27" x14ac:dyDescent="0.3">
      <c r="A524" t="s">
        <v>93</v>
      </c>
      <c r="B524" t="s">
        <v>1387</v>
      </c>
      <c r="C524" t="s">
        <v>1066</v>
      </c>
      <c r="D524" t="s">
        <v>1339</v>
      </c>
      <c r="E524" t="s">
        <v>1210</v>
      </c>
      <c r="F524" s="1">
        <v>46288.850694444453</v>
      </c>
      <c r="G524" s="1">
        <v>46288.855555555558</v>
      </c>
      <c r="H524">
        <v>5</v>
      </c>
      <c r="I524">
        <v>7</v>
      </c>
      <c r="J524" t="b">
        <v>0</v>
      </c>
      <c r="K524" t="b">
        <v>0</v>
      </c>
      <c r="L524" t="b">
        <v>0</v>
      </c>
      <c r="M524">
        <v>5</v>
      </c>
      <c r="N524" t="s">
        <v>1118</v>
      </c>
      <c r="O524" s="1">
        <v>46288.832638888889</v>
      </c>
      <c r="P524" t="b">
        <v>0</v>
      </c>
      <c r="Q524" t="s">
        <v>1151</v>
      </c>
      <c r="R524" t="s">
        <v>1131</v>
      </c>
      <c r="S524" t="s">
        <v>1157</v>
      </c>
      <c r="T524" t="s">
        <v>1122</v>
      </c>
      <c r="U524" t="s">
        <v>1247</v>
      </c>
      <c r="V524" t="s">
        <v>1284</v>
      </c>
      <c r="W524" t="s">
        <v>1257</v>
      </c>
      <c r="X524">
        <v>19</v>
      </c>
      <c r="Y524" t="s">
        <v>1161</v>
      </c>
      <c r="Z524" t="s">
        <v>1147</v>
      </c>
      <c r="AA524">
        <v>1.4</v>
      </c>
    </row>
    <row r="525" spans="1:27" x14ac:dyDescent="0.3">
      <c r="A525" t="s">
        <v>990</v>
      </c>
      <c r="B525" t="s">
        <v>1290</v>
      </c>
      <c r="C525" t="s">
        <v>1080</v>
      </c>
      <c r="D525" t="s">
        <v>1238</v>
      </c>
      <c r="E525" t="s">
        <v>1212</v>
      </c>
      <c r="F525" s="1">
        <v>46267.015972222223</v>
      </c>
      <c r="G525" s="1">
        <v>46267.020833333343</v>
      </c>
      <c r="H525">
        <v>5</v>
      </c>
      <c r="I525">
        <v>7</v>
      </c>
      <c r="J525" t="b">
        <v>0</v>
      </c>
      <c r="K525" t="b">
        <v>0</v>
      </c>
      <c r="L525" t="b">
        <v>0</v>
      </c>
      <c r="M525">
        <v>20</v>
      </c>
      <c r="N525" t="s">
        <v>1168</v>
      </c>
      <c r="O525" s="1">
        <v>46266.9</v>
      </c>
      <c r="P525" t="b">
        <v>0</v>
      </c>
      <c r="Q525" t="s">
        <v>1145</v>
      </c>
      <c r="R525" t="s">
        <v>1139</v>
      </c>
      <c r="S525" t="s">
        <v>1157</v>
      </c>
      <c r="T525" t="s">
        <v>1122</v>
      </c>
      <c r="U525" t="s">
        <v>1247</v>
      </c>
      <c r="V525" t="s">
        <v>1151</v>
      </c>
      <c r="W525" t="s">
        <v>1131</v>
      </c>
      <c r="X525">
        <v>21</v>
      </c>
      <c r="Y525" t="s">
        <v>1126</v>
      </c>
      <c r="Z525" t="s">
        <v>1127</v>
      </c>
      <c r="AA525">
        <v>1.4</v>
      </c>
    </row>
    <row r="526" spans="1:27" x14ac:dyDescent="0.3">
      <c r="A526" t="s">
        <v>991</v>
      </c>
      <c r="B526" t="s">
        <v>1290</v>
      </c>
      <c r="C526" t="s">
        <v>1073</v>
      </c>
      <c r="D526" t="s">
        <v>1136</v>
      </c>
      <c r="E526" t="s">
        <v>1453</v>
      </c>
      <c r="F526" s="1">
        <v>46266.934027777781</v>
      </c>
      <c r="G526" s="1">
        <v>46266.938888888893</v>
      </c>
      <c r="H526">
        <v>2</v>
      </c>
      <c r="I526">
        <v>7</v>
      </c>
      <c r="J526" t="b">
        <v>0</v>
      </c>
      <c r="K526" t="b">
        <v>0</v>
      </c>
      <c r="L526" t="b">
        <v>0</v>
      </c>
      <c r="M526">
        <v>20</v>
      </c>
      <c r="N526" t="s">
        <v>1168</v>
      </c>
      <c r="O526" s="1">
        <v>46266.9</v>
      </c>
      <c r="P526" t="b">
        <v>0</v>
      </c>
      <c r="Q526" t="s">
        <v>1156</v>
      </c>
      <c r="R526" t="s">
        <v>1131</v>
      </c>
      <c r="S526" t="s">
        <v>1121</v>
      </c>
      <c r="T526" t="s">
        <v>1122</v>
      </c>
      <c r="U526" t="s">
        <v>1247</v>
      </c>
      <c r="V526" t="s">
        <v>1141</v>
      </c>
      <c r="W526" t="s">
        <v>1125</v>
      </c>
      <c r="X526">
        <v>21</v>
      </c>
      <c r="Y526" t="s">
        <v>1126</v>
      </c>
      <c r="Z526" t="s">
        <v>1127</v>
      </c>
      <c r="AA526">
        <v>3.5</v>
      </c>
    </row>
    <row r="527" spans="1:27" x14ac:dyDescent="0.3">
      <c r="A527" t="s">
        <v>1049</v>
      </c>
      <c r="B527" t="s">
        <v>1426</v>
      </c>
      <c r="C527" t="s">
        <v>1068</v>
      </c>
      <c r="D527" t="s">
        <v>1238</v>
      </c>
      <c r="E527" t="s">
        <v>1289</v>
      </c>
      <c r="F527" s="1">
        <v>46281.522916666669</v>
      </c>
      <c r="G527" s="1">
        <v>46281.527777777781</v>
      </c>
      <c r="H527">
        <v>3</v>
      </c>
      <c r="I527">
        <v>7</v>
      </c>
      <c r="J527" t="b">
        <v>0</v>
      </c>
      <c r="K527" t="b">
        <v>0</v>
      </c>
      <c r="L527" t="b">
        <v>0</v>
      </c>
      <c r="M527">
        <v>6</v>
      </c>
      <c r="N527" t="s">
        <v>1130</v>
      </c>
      <c r="P527" t="b">
        <v>0</v>
      </c>
      <c r="Q527" t="s">
        <v>1145</v>
      </c>
      <c r="R527" t="s">
        <v>1139</v>
      </c>
      <c r="S527" t="s">
        <v>1152</v>
      </c>
      <c r="T527" t="s">
        <v>1122</v>
      </c>
      <c r="U527" t="s">
        <v>1123</v>
      </c>
      <c r="V527" t="s">
        <v>1151</v>
      </c>
      <c r="W527" t="s">
        <v>1131</v>
      </c>
      <c r="Z527" t="s">
        <v>1134</v>
      </c>
      <c r="AA527">
        <v>2.333333333333333</v>
      </c>
    </row>
    <row r="528" spans="1:27" x14ac:dyDescent="0.3">
      <c r="A528" t="s">
        <v>49</v>
      </c>
      <c r="B528" t="s">
        <v>1176</v>
      </c>
      <c r="C528" t="s">
        <v>1075</v>
      </c>
      <c r="D528" t="s">
        <v>1280</v>
      </c>
      <c r="E528" t="s">
        <v>1227</v>
      </c>
      <c r="F528" s="1">
        <v>46275.345833333333</v>
      </c>
      <c r="G528" s="1">
        <v>46275.350694444453</v>
      </c>
      <c r="H528">
        <v>7</v>
      </c>
      <c r="I528">
        <v>7</v>
      </c>
      <c r="J528" t="b">
        <v>0</v>
      </c>
      <c r="K528" t="b">
        <v>0</v>
      </c>
      <c r="L528" t="b">
        <v>0</v>
      </c>
      <c r="M528">
        <v>4</v>
      </c>
      <c r="N528" t="s">
        <v>1118</v>
      </c>
      <c r="O528" s="1">
        <v>46275.222916666673</v>
      </c>
      <c r="P528" t="b">
        <v>0</v>
      </c>
      <c r="Q528" t="s">
        <v>1145</v>
      </c>
      <c r="R528" t="s">
        <v>1131</v>
      </c>
      <c r="S528" t="s">
        <v>1121</v>
      </c>
      <c r="T528" t="s">
        <v>1122</v>
      </c>
      <c r="U528" t="s">
        <v>1172</v>
      </c>
      <c r="V528" t="s">
        <v>1151</v>
      </c>
      <c r="W528" t="s">
        <v>1257</v>
      </c>
      <c r="X528">
        <v>5</v>
      </c>
      <c r="Y528" t="s">
        <v>1146</v>
      </c>
      <c r="Z528" t="s">
        <v>1147</v>
      </c>
      <c r="AA528">
        <v>1</v>
      </c>
    </row>
    <row r="529" spans="1:27" x14ac:dyDescent="0.3">
      <c r="A529" t="s">
        <v>428</v>
      </c>
      <c r="B529" t="s">
        <v>1454</v>
      </c>
      <c r="C529" t="s">
        <v>1064</v>
      </c>
      <c r="D529" t="s">
        <v>1283</v>
      </c>
      <c r="E529" t="s">
        <v>1301</v>
      </c>
      <c r="F529" s="1">
        <v>46294.177083333343</v>
      </c>
      <c r="G529" s="1">
        <v>46294.181944444441</v>
      </c>
      <c r="H529">
        <v>5</v>
      </c>
      <c r="I529">
        <v>7</v>
      </c>
      <c r="J529" t="b">
        <v>0</v>
      </c>
      <c r="K529" t="b">
        <v>0</v>
      </c>
      <c r="L529" t="b">
        <v>0</v>
      </c>
      <c r="M529">
        <v>5</v>
      </c>
      <c r="N529" t="s">
        <v>1118</v>
      </c>
      <c r="O529" s="1">
        <v>46294.135416666657</v>
      </c>
      <c r="P529" t="b">
        <v>0</v>
      </c>
      <c r="Q529" t="s">
        <v>1169</v>
      </c>
      <c r="R529" t="s">
        <v>1131</v>
      </c>
      <c r="S529" t="s">
        <v>1145</v>
      </c>
      <c r="T529" t="s">
        <v>1122</v>
      </c>
      <c r="U529" t="s">
        <v>1123</v>
      </c>
      <c r="V529" t="s">
        <v>1284</v>
      </c>
      <c r="W529" t="s">
        <v>1131</v>
      </c>
      <c r="X529">
        <v>3</v>
      </c>
      <c r="Y529" t="s">
        <v>1126</v>
      </c>
      <c r="Z529" t="s">
        <v>1147</v>
      </c>
      <c r="AA529">
        <v>1.4</v>
      </c>
    </row>
    <row r="530" spans="1:27" x14ac:dyDescent="0.3">
      <c r="A530" t="s">
        <v>430</v>
      </c>
      <c r="B530" t="s">
        <v>1360</v>
      </c>
      <c r="C530" t="s">
        <v>1065</v>
      </c>
      <c r="D530" t="s">
        <v>1238</v>
      </c>
      <c r="E530" t="s">
        <v>1312</v>
      </c>
      <c r="F530" s="1">
        <v>46274.259722222218</v>
      </c>
      <c r="G530" s="1">
        <v>46274.26458333333</v>
      </c>
      <c r="H530">
        <v>7</v>
      </c>
      <c r="I530">
        <v>7</v>
      </c>
      <c r="J530" t="b">
        <v>0</v>
      </c>
      <c r="K530" t="b">
        <v>0</v>
      </c>
      <c r="L530" t="b">
        <v>0</v>
      </c>
      <c r="M530">
        <v>4</v>
      </c>
      <c r="N530" t="s">
        <v>1118</v>
      </c>
      <c r="O530" s="1">
        <v>46274.209027777782</v>
      </c>
      <c r="P530" t="b">
        <v>0</v>
      </c>
      <c r="Q530" t="s">
        <v>1119</v>
      </c>
      <c r="R530" t="s">
        <v>1120</v>
      </c>
      <c r="S530" t="s">
        <v>1157</v>
      </c>
      <c r="T530" t="s">
        <v>1180</v>
      </c>
      <c r="U530" t="s">
        <v>1247</v>
      </c>
      <c r="V530" t="s">
        <v>1151</v>
      </c>
      <c r="W530" t="s">
        <v>1131</v>
      </c>
      <c r="X530">
        <v>5</v>
      </c>
      <c r="Y530" t="s">
        <v>1161</v>
      </c>
      <c r="Z530" t="s">
        <v>1147</v>
      </c>
      <c r="AA530">
        <v>1</v>
      </c>
    </row>
    <row r="531" spans="1:27" x14ac:dyDescent="0.3">
      <c r="A531" t="s">
        <v>439</v>
      </c>
      <c r="B531" t="s">
        <v>1455</v>
      </c>
      <c r="C531" t="s">
        <v>1073</v>
      </c>
      <c r="D531" t="s">
        <v>1255</v>
      </c>
      <c r="E531" t="s">
        <v>1371</v>
      </c>
      <c r="F531" s="1">
        <v>46293.154166666667</v>
      </c>
      <c r="G531" s="1">
        <v>46293.15902777778</v>
      </c>
      <c r="H531">
        <v>3</v>
      </c>
      <c r="I531">
        <v>7</v>
      </c>
      <c r="J531" t="b">
        <v>0</v>
      </c>
      <c r="K531" t="b">
        <v>0</v>
      </c>
      <c r="L531" t="b">
        <v>0</v>
      </c>
      <c r="M531">
        <v>6</v>
      </c>
      <c r="N531" t="s">
        <v>1130</v>
      </c>
      <c r="O531" s="1">
        <v>46293.119444444441</v>
      </c>
      <c r="P531" t="b">
        <v>0</v>
      </c>
      <c r="Q531" t="s">
        <v>1138</v>
      </c>
      <c r="R531" t="s">
        <v>1131</v>
      </c>
      <c r="S531" t="s">
        <v>1157</v>
      </c>
      <c r="T531" t="s">
        <v>1122</v>
      </c>
      <c r="U531" t="s">
        <v>1247</v>
      </c>
      <c r="V531" t="s">
        <v>1141</v>
      </c>
      <c r="W531" t="s">
        <v>1257</v>
      </c>
      <c r="X531">
        <v>2</v>
      </c>
      <c r="Y531" t="s">
        <v>1185</v>
      </c>
      <c r="Z531" t="s">
        <v>1134</v>
      </c>
      <c r="AA531">
        <v>2.333333333333333</v>
      </c>
    </row>
    <row r="532" spans="1:27" x14ac:dyDescent="0.3">
      <c r="A532" t="s">
        <v>1019</v>
      </c>
      <c r="B532" t="s">
        <v>1300</v>
      </c>
      <c r="C532" t="s">
        <v>1062</v>
      </c>
      <c r="D532" t="s">
        <v>1283</v>
      </c>
      <c r="E532" t="s">
        <v>1358</v>
      </c>
      <c r="F532" s="1">
        <v>46269.811111111107</v>
      </c>
      <c r="G532" s="1">
        <v>46269.815972222219</v>
      </c>
      <c r="H532">
        <v>3</v>
      </c>
      <c r="I532">
        <v>7</v>
      </c>
      <c r="J532" t="b">
        <v>0</v>
      </c>
      <c r="K532" t="b">
        <v>0</v>
      </c>
      <c r="L532" t="b">
        <v>0</v>
      </c>
      <c r="M532">
        <v>8</v>
      </c>
      <c r="N532" t="s">
        <v>1155</v>
      </c>
      <c r="O532" s="1">
        <v>46269.727083333331</v>
      </c>
      <c r="P532" t="b">
        <v>0</v>
      </c>
      <c r="Q532" t="s">
        <v>1145</v>
      </c>
      <c r="R532" t="s">
        <v>1131</v>
      </c>
      <c r="S532" t="s">
        <v>1152</v>
      </c>
      <c r="T532" t="s">
        <v>1122</v>
      </c>
      <c r="U532" t="s">
        <v>1123</v>
      </c>
      <c r="V532" t="s">
        <v>1284</v>
      </c>
      <c r="W532" t="s">
        <v>1131</v>
      </c>
      <c r="X532">
        <v>17</v>
      </c>
      <c r="Y532" t="s">
        <v>1142</v>
      </c>
      <c r="Z532" t="s">
        <v>1134</v>
      </c>
      <c r="AA532">
        <v>2.333333333333333</v>
      </c>
    </row>
    <row r="533" spans="1:27" x14ac:dyDescent="0.3">
      <c r="A533" t="s">
        <v>1055</v>
      </c>
      <c r="B533" t="s">
        <v>1197</v>
      </c>
      <c r="C533" t="s">
        <v>1058</v>
      </c>
      <c r="D533" t="s">
        <v>1255</v>
      </c>
      <c r="E533" t="s">
        <v>1287</v>
      </c>
      <c r="F533" s="1">
        <v>46287.998611111107</v>
      </c>
      <c r="G533" s="1">
        <v>46288.003472222219</v>
      </c>
      <c r="H533">
        <v>7</v>
      </c>
      <c r="I533">
        <v>7</v>
      </c>
      <c r="J533" t="b">
        <v>0</v>
      </c>
      <c r="K533" t="b">
        <v>0</v>
      </c>
      <c r="L533" t="b">
        <v>0</v>
      </c>
      <c r="M533">
        <v>20</v>
      </c>
      <c r="N533" t="s">
        <v>1130</v>
      </c>
      <c r="O533" s="1">
        <v>46287.886805555558</v>
      </c>
      <c r="P533" t="b">
        <v>0</v>
      </c>
      <c r="Q533" t="s">
        <v>1179</v>
      </c>
      <c r="R533" t="s">
        <v>1120</v>
      </c>
      <c r="S533" t="s">
        <v>1145</v>
      </c>
      <c r="T533" t="s">
        <v>1122</v>
      </c>
      <c r="U533" t="s">
        <v>1145</v>
      </c>
      <c r="V533" t="s">
        <v>1141</v>
      </c>
      <c r="W533" t="s">
        <v>1257</v>
      </c>
      <c r="X533">
        <v>21</v>
      </c>
      <c r="Y533" t="s">
        <v>1126</v>
      </c>
      <c r="Z533" t="s">
        <v>1127</v>
      </c>
      <c r="AA533">
        <v>1</v>
      </c>
    </row>
    <row r="534" spans="1:27" x14ac:dyDescent="0.3">
      <c r="A534" t="s">
        <v>860</v>
      </c>
      <c r="B534" t="s">
        <v>1359</v>
      </c>
      <c r="C534" t="s">
        <v>1078</v>
      </c>
      <c r="D534" t="s">
        <v>1283</v>
      </c>
      <c r="E534" t="s">
        <v>1272</v>
      </c>
      <c r="F534" s="1">
        <v>46267.941666666673</v>
      </c>
      <c r="G534" s="1">
        <v>46267.946527777778</v>
      </c>
      <c r="H534">
        <v>5</v>
      </c>
      <c r="I534">
        <v>7</v>
      </c>
      <c r="J534" t="b">
        <v>0</v>
      </c>
      <c r="K534" t="b">
        <v>0</v>
      </c>
      <c r="L534" t="b">
        <v>0</v>
      </c>
      <c r="M534">
        <v>6</v>
      </c>
      <c r="N534" t="s">
        <v>1130</v>
      </c>
      <c r="O534" s="1">
        <v>46267.872916666667</v>
      </c>
      <c r="P534" t="b">
        <v>0</v>
      </c>
      <c r="Q534" t="s">
        <v>1179</v>
      </c>
      <c r="R534" t="s">
        <v>1120</v>
      </c>
      <c r="S534" t="s">
        <v>1157</v>
      </c>
      <c r="T534" t="s">
        <v>1145</v>
      </c>
      <c r="U534" t="s">
        <v>1172</v>
      </c>
      <c r="V534" t="s">
        <v>1284</v>
      </c>
      <c r="W534" t="s">
        <v>1131</v>
      </c>
      <c r="X534">
        <v>20</v>
      </c>
      <c r="Y534" t="s">
        <v>1161</v>
      </c>
      <c r="Z534" t="s">
        <v>1134</v>
      </c>
      <c r="AA534">
        <v>1.4</v>
      </c>
    </row>
    <row r="535" spans="1:27" x14ac:dyDescent="0.3">
      <c r="A535" t="s">
        <v>557</v>
      </c>
      <c r="B535" t="s">
        <v>1164</v>
      </c>
      <c r="C535" t="s">
        <v>1070</v>
      </c>
      <c r="D535" t="s">
        <v>1280</v>
      </c>
      <c r="E535" t="s">
        <v>1231</v>
      </c>
      <c r="F535" s="1">
        <v>46266.617361111108</v>
      </c>
      <c r="G535" s="1">
        <v>46266.62222222222</v>
      </c>
      <c r="H535">
        <v>4</v>
      </c>
      <c r="I535">
        <v>7</v>
      </c>
      <c r="J535" t="b">
        <v>0</v>
      </c>
      <c r="K535" t="b">
        <v>0</v>
      </c>
      <c r="L535" t="b">
        <v>0</v>
      </c>
      <c r="M535">
        <v>12</v>
      </c>
      <c r="N535" t="s">
        <v>1130</v>
      </c>
      <c r="O535" s="1">
        <v>46266.54791666667</v>
      </c>
      <c r="P535" t="b">
        <v>0</v>
      </c>
      <c r="Q535" t="s">
        <v>1169</v>
      </c>
      <c r="R535" t="s">
        <v>1131</v>
      </c>
      <c r="S535" t="s">
        <v>1152</v>
      </c>
      <c r="T535" t="s">
        <v>1180</v>
      </c>
      <c r="U535" t="s">
        <v>1145</v>
      </c>
      <c r="V535" t="s">
        <v>1151</v>
      </c>
      <c r="W535" t="s">
        <v>1257</v>
      </c>
      <c r="X535">
        <v>13</v>
      </c>
      <c r="Y535" t="s">
        <v>1126</v>
      </c>
      <c r="Z535" t="s">
        <v>1127</v>
      </c>
      <c r="AA535">
        <v>1.75</v>
      </c>
    </row>
    <row r="536" spans="1:27" x14ac:dyDescent="0.3">
      <c r="A536" t="s">
        <v>560</v>
      </c>
      <c r="B536" t="s">
        <v>1164</v>
      </c>
      <c r="C536" t="s">
        <v>1061</v>
      </c>
      <c r="D536" t="s">
        <v>1283</v>
      </c>
      <c r="E536" t="s">
        <v>1240</v>
      </c>
      <c r="F536" s="1">
        <v>46266.560416666667</v>
      </c>
      <c r="G536" s="1">
        <v>46266.56527777778</v>
      </c>
      <c r="H536">
        <v>4</v>
      </c>
      <c r="I536">
        <v>7</v>
      </c>
      <c r="J536" t="b">
        <v>0</v>
      </c>
      <c r="K536" t="b">
        <v>0</v>
      </c>
      <c r="L536" t="b">
        <v>0</v>
      </c>
      <c r="M536">
        <v>12</v>
      </c>
      <c r="N536" t="s">
        <v>1130</v>
      </c>
      <c r="O536" s="1">
        <v>46266.54791666667</v>
      </c>
      <c r="P536" t="b">
        <v>0</v>
      </c>
      <c r="Q536" t="s">
        <v>1156</v>
      </c>
      <c r="R536" t="s">
        <v>1120</v>
      </c>
      <c r="S536" t="s">
        <v>1145</v>
      </c>
      <c r="T536" t="s">
        <v>1145</v>
      </c>
      <c r="U536" t="s">
        <v>1172</v>
      </c>
      <c r="V536" t="s">
        <v>1284</v>
      </c>
      <c r="W536" t="s">
        <v>1131</v>
      </c>
      <c r="X536">
        <v>13</v>
      </c>
      <c r="Y536" t="s">
        <v>1126</v>
      </c>
      <c r="Z536" t="s">
        <v>1127</v>
      </c>
      <c r="AA536">
        <v>1.75</v>
      </c>
    </row>
    <row r="537" spans="1:27" x14ac:dyDescent="0.3">
      <c r="A537" t="s">
        <v>357</v>
      </c>
      <c r="B537" t="s">
        <v>1181</v>
      </c>
      <c r="C537" t="s">
        <v>1057</v>
      </c>
      <c r="D537" t="s">
        <v>1280</v>
      </c>
      <c r="E537" t="s">
        <v>1171</v>
      </c>
      <c r="F537" s="1">
        <v>46283.8125</v>
      </c>
      <c r="G537" s="1">
        <v>46283.817361111112</v>
      </c>
      <c r="H537">
        <v>5</v>
      </c>
      <c r="I537">
        <v>7</v>
      </c>
      <c r="J537" t="b">
        <v>0</v>
      </c>
      <c r="K537" t="b">
        <v>0</v>
      </c>
      <c r="L537" t="b">
        <v>0</v>
      </c>
      <c r="M537">
        <v>20</v>
      </c>
      <c r="N537" t="s">
        <v>1168</v>
      </c>
      <c r="O537" s="1">
        <v>46283.73541666667</v>
      </c>
      <c r="P537" t="b">
        <v>0</v>
      </c>
      <c r="Q537" t="s">
        <v>1119</v>
      </c>
      <c r="R537" t="s">
        <v>1131</v>
      </c>
      <c r="S537" t="s">
        <v>1121</v>
      </c>
      <c r="T537" t="s">
        <v>1122</v>
      </c>
      <c r="U537" t="s">
        <v>1172</v>
      </c>
      <c r="V537" t="s">
        <v>1151</v>
      </c>
      <c r="W537" t="s">
        <v>1257</v>
      </c>
      <c r="X537">
        <v>17</v>
      </c>
      <c r="Y537" t="s">
        <v>1142</v>
      </c>
      <c r="Z537" t="s">
        <v>1127</v>
      </c>
      <c r="AA537">
        <v>1.4</v>
      </c>
    </row>
    <row r="538" spans="1:27" x14ac:dyDescent="0.3">
      <c r="A538" t="s">
        <v>362</v>
      </c>
      <c r="B538" t="s">
        <v>1406</v>
      </c>
      <c r="C538" t="s">
        <v>1072</v>
      </c>
      <c r="D538" t="s">
        <v>1280</v>
      </c>
      <c r="E538" t="s">
        <v>1265</v>
      </c>
      <c r="F538" s="1">
        <v>46285.323611111111</v>
      </c>
      <c r="G538" s="1">
        <v>46285.328472222223</v>
      </c>
      <c r="H538">
        <v>5</v>
      </c>
      <c r="I538">
        <v>7</v>
      </c>
      <c r="J538" t="b">
        <v>0</v>
      </c>
      <c r="K538" t="b">
        <v>0</v>
      </c>
      <c r="L538" t="b">
        <v>0</v>
      </c>
      <c r="M538">
        <v>4</v>
      </c>
      <c r="N538" t="s">
        <v>1118</v>
      </c>
      <c r="O538" s="1">
        <v>46285.279166666667</v>
      </c>
      <c r="P538" t="b">
        <v>0</v>
      </c>
      <c r="Q538" t="s">
        <v>1179</v>
      </c>
      <c r="R538" t="s">
        <v>1139</v>
      </c>
      <c r="S538" t="s">
        <v>1157</v>
      </c>
      <c r="T538" t="s">
        <v>1180</v>
      </c>
      <c r="U538" t="s">
        <v>1172</v>
      </c>
      <c r="V538" t="s">
        <v>1151</v>
      </c>
      <c r="W538" t="s">
        <v>1257</v>
      </c>
      <c r="X538">
        <v>6</v>
      </c>
      <c r="Y538" t="s">
        <v>1133</v>
      </c>
      <c r="Z538" t="s">
        <v>1147</v>
      </c>
      <c r="AA538">
        <v>1.4</v>
      </c>
    </row>
    <row r="539" spans="1:27" x14ac:dyDescent="0.3">
      <c r="A539" t="s">
        <v>363</v>
      </c>
      <c r="B539" t="s">
        <v>1406</v>
      </c>
      <c r="C539" t="s">
        <v>1077</v>
      </c>
      <c r="D539" t="s">
        <v>1255</v>
      </c>
      <c r="E539" t="s">
        <v>1346</v>
      </c>
      <c r="F539" s="1">
        <v>46285.345833333333</v>
      </c>
      <c r="G539" s="1">
        <v>46285.350694444453</v>
      </c>
      <c r="H539">
        <v>5</v>
      </c>
      <c r="I539">
        <v>7</v>
      </c>
      <c r="J539" t="b">
        <v>0</v>
      </c>
      <c r="K539" t="b">
        <v>0</v>
      </c>
      <c r="L539" t="b">
        <v>0</v>
      </c>
      <c r="M539">
        <v>4</v>
      </c>
      <c r="N539" t="s">
        <v>1118</v>
      </c>
      <c r="O539" s="1">
        <v>46285.279166666667</v>
      </c>
      <c r="P539" t="b">
        <v>0</v>
      </c>
      <c r="Q539" t="s">
        <v>1179</v>
      </c>
      <c r="R539" t="s">
        <v>1120</v>
      </c>
      <c r="S539" t="s">
        <v>1121</v>
      </c>
      <c r="T539" t="s">
        <v>1122</v>
      </c>
      <c r="U539" t="s">
        <v>1172</v>
      </c>
      <c r="V539" t="s">
        <v>1141</v>
      </c>
      <c r="W539" t="s">
        <v>1257</v>
      </c>
      <c r="X539">
        <v>6</v>
      </c>
      <c r="Y539" t="s">
        <v>1133</v>
      </c>
      <c r="Z539" t="s">
        <v>1147</v>
      </c>
      <c r="AA539">
        <v>1.4</v>
      </c>
    </row>
    <row r="540" spans="1:27" x14ac:dyDescent="0.3">
      <c r="A540" t="s">
        <v>565</v>
      </c>
      <c r="B540" t="s">
        <v>1374</v>
      </c>
      <c r="C540" t="s">
        <v>1081</v>
      </c>
      <c r="D540" t="s">
        <v>1136</v>
      </c>
      <c r="E540" t="s">
        <v>1187</v>
      </c>
      <c r="F540" s="1">
        <v>46279.263194444437</v>
      </c>
      <c r="G540" s="1">
        <v>46279.268055555563</v>
      </c>
      <c r="H540">
        <v>2</v>
      </c>
      <c r="I540">
        <v>7</v>
      </c>
      <c r="J540" t="b">
        <v>0</v>
      </c>
      <c r="K540" t="b">
        <v>0</v>
      </c>
      <c r="L540" t="b">
        <v>0</v>
      </c>
      <c r="M540">
        <v>12</v>
      </c>
      <c r="N540" t="s">
        <v>1130</v>
      </c>
      <c r="O540" s="1">
        <v>46279.17083333333</v>
      </c>
      <c r="P540" t="b">
        <v>0</v>
      </c>
      <c r="Q540" t="s">
        <v>1156</v>
      </c>
      <c r="R540" t="s">
        <v>1131</v>
      </c>
      <c r="S540" t="s">
        <v>1132</v>
      </c>
      <c r="T540" t="s">
        <v>1180</v>
      </c>
      <c r="U540" t="s">
        <v>1247</v>
      </c>
      <c r="V540" t="s">
        <v>1141</v>
      </c>
      <c r="W540" t="s">
        <v>1125</v>
      </c>
      <c r="X540">
        <v>4</v>
      </c>
      <c r="Y540" t="s">
        <v>1185</v>
      </c>
      <c r="Z540" t="s">
        <v>1127</v>
      </c>
      <c r="AA540">
        <v>3.5</v>
      </c>
    </row>
    <row r="541" spans="1:27" x14ac:dyDescent="0.3">
      <c r="A541" t="s">
        <v>566</v>
      </c>
      <c r="B541" t="s">
        <v>1374</v>
      </c>
      <c r="C541" t="s">
        <v>1068</v>
      </c>
      <c r="D541" t="s">
        <v>1283</v>
      </c>
      <c r="E541" t="s">
        <v>1219</v>
      </c>
      <c r="F541" s="1">
        <v>46279.240972222222</v>
      </c>
      <c r="G541" s="1">
        <v>46279.245833333327</v>
      </c>
      <c r="H541">
        <v>4</v>
      </c>
      <c r="I541">
        <v>7</v>
      </c>
      <c r="J541" t="b">
        <v>0</v>
      </c>
      <c r="K541" t="b">
        <v>0</v>
      </c>
      <c r="L541" t="b">
        <v>0</v>
      </c>
      <c r="M541">
        <v>12</v>
      </c>
      <c r="N541" t="s">
        <v>1130</v>
      </c>
      <c r="O541" s="1">
        <v>46279.17083333333</v>
      </c>
      <c r="P541" t="b">
        <v>0</v>
      </c>
      <c r="Q541" t="s">
        <v>1145</v>
      </c>
      <c r="R541" t="s">
        <v>1120</v>
      </c>
      <c r="S541" t="s">
        <v>1121</v>
      </c>
      <c r="T541" t="s">
        <v>1122</v>
      </c>
      <c r="U541" t="s">
        <v>1123</v>
      </c>
      <c r="V541" t="s">
        <v>1284</v>
      </c>
      <c r="W541" t="s">
        <v>1131</v>
      </c>
      <c r="X541">
        <v>4</v>
      </c>
      <c r="Y541" t="s">
        <v>1185</v>
      </c>
      <c r="Z541" t="s">
        <v>1127</v>
      </c>
      <c r="AA541">
        <v>1.75</v>
      </c>
    </row>
    <row r="542" spans="1:27" x14ac:dyDescent="0.3">
      <c r="A542" t="s">
        <v>178</v>
      </c>
      <c r="B542" t="s">
        <v>1229</v>
      </c>
      <c r="C542" t="s">
        <v>1059</v>
      </c>
      <c r="D542" t="s">
        <v>1255</v>
      </c>
      <c r="E542" t="s">
        <v>1227</v>
      </c>
      <c r="F542" s="1">
        <v>46280.901388888888</v>
      </c>
      <c r="G542" s="1">
        <v>46280.90625</v>
      </c>
      <c r="H542">
        <v>2</v>
      </c>
      <c r="I542">
        <v>7</v>
      </c>
      <c r="J542" t="b">
        <v>0</v>
      </c>
      <c r="K542" t="b">
        <v>0</v>
      </c>
      <c r="L542" t="b">
        <v>0</v>
      </c>
      <c r="M542">
        <v>8</v>
      </c>
      <c r="N542" t="s">
        <v>1118</v>
      </c>
      <c r="O542" s="1">
        <v>46280.795138888891</v>
      </c>
      <c r="P542" t="b">
        <v>0</v>
      </c>
      <c r="Q542" t="s">
        <v>1145</v>
      </c>
      <c r="R542" t="s">
        <v>1131</v>
      </c>
      <c r="S542" t="s">
        <v>1121</v>
      </c>
      <c r="T542" t="s">
        <v>1122</v>
      </c>
      <c r="U542" t="s">
        <v>1172</v>
      </c>
      <c r="V542" t="s">
        <v>1141</v>
      </c>
      <c r="W542" t="s">
        <v>1257</v>
      </c>
      <c r="X542">
        <v>19</v>
      </c>
      <c r="Y542" t="s">
        <v>1126</v>
      </c>
      <c r="Z542" t="s">
        <v>1134</v>
      </c>
      <c r="AA542">
        <v>3.5</v>
      </c>
    </row>
    <row r="543" spans="1:27" x14ac:dyDescent="0.3">
      <c r="A543" t="s">
        <v>179</v>
      </c>
      <c r="B543" t="s">
        <v>1276</v>
      </c>
      <c r="C543" t="s">
        <v>1076</v>
      </c>
      <c r="D543" t="s">
        <v>1339</v>
      </c>
      <c r="E543" t="s">
        <v>1259</v>
      </c>
      <c r="F543" s="1">
        <v>46277.570833333331</v>
      </c>
      <c r="G543" s="1">
        <v>46277.575694444437</v>
      </c>
      <c r="H543">
        <v>7</v>
      </c>
      <c r="I543">
        <v>7</v>
      </c>
      <c r="J543" t="b">
        <v>0</v>
      </c>
      <c r="K543" t="b">
        <v>0</v>
      </c>
      <c r="L543" t="b">
        <v>0</v>
      </c>
      <c r="M543">
        <v>6</v>
      </c>
      <c r="N543" t="s">
        <v>1118</v>
      </c>
      <c r="O543" s="1">
        <v>46277.459027777782</v>
      </c>
      <c r="P543" t="b">
        <v>0</v>
      </c>
      <c r="Q543" t="s">
        <v>1179</v>
      </c>
      <c r="R543" t="s">
        <v>1120</v>
      </c>
      <c r="S543" t="s">
        <v>1132</v>
      </c>
      <c r="T543" t="s">
        <v>1122</v>
      </c>
      <c r="U543" t="s">
        <v>1172</v>
      </c>
      <c r="V543" t="s">
        <v>1284</v>
      </c>
      <c r="W543" t="s">
        <v>1257</v>
      </c>
      <c r="X543">
        <v>11</v>
      </c>
      <c r="Y543" t="s">
        <v>1173</v>
      </c>
      <c r="Z543" t="s">
        <v>1134</v>
      </c>
      <c r="AA543">
        <v>1</v>
      </c>
    </row>
    <row r="544" spans="1:27" x14ac:dyDescent="0.3">
      <c r="A544" t="s">
        <v>181</v>
      </c>
      <c r="B544" t="s">
        <v>1276</v>
      </c>
      <c r="C544" t="s">
        <v>1074</v>
      </c>
      <c r="D544" t="s">
        <v>1238</v>
      </c>
      <c r="E544" t="s">
        <v>1192</v>
      </c>
      <c r="F544" s="1">
        <v>46277.503472222219</v>
      </c>
      <c r="G544" s="1">
        <v>46277.508333333331</v>
      </c>
      <c r="H544">
        <v>3</v>
      </c>
      <c r="I544">
        <v>7</v>
      </c>
      <c r="J544" t="b">
        <v>0</v>
      </c>
      <c r="K544" t="b">
        <v>0</v>
      </c>
      <c r="L544" t="b">
        <v>0</v>
      </c>
      <c r="M544">
        <v>6</v>
      </c>
      <c r="N544" t="s">
        <v>1118</v>
      </c>
      <c r="O544" s="1">
        <v>46277.459027777782</v>
      </c>
      <c r="P544" t="b">
        <v>0</v>
      </c>
      <c r="Q544" t="s">
        <v>1151</v>
      </c>
      <c r="R544" t="s">
        <v>1139</v>
      </c>
      <c r="S544" t="s">
        <v>1132</v>
      </c>
      <c r="T544" t="s">
        <v>1145</v>
      </c>
      <c r="U544" t="s">
        <v>1145</v>
      </c>
      <c r="V544" t="s">
        <v>1151</v>
      </c>
      <c r="W544" t="s">
        <v>1131</v>
      </c>
      <c r="X544">
        <v>11</v>
      </c>
      <c r="Y544" t="s">
        <v>1173</v>
      </c>
      <c r="Z544" t="s">
        <v>1134</v>
      </c>
      <c r="AA544">
        <v>2.333333333333333</v>
      </c>
    </row>
    <row r="545" spans="1:27" x14ac:dyDescent="0.3">
      <c r="A545" t="s">
        <v>870</v>
      </c>
      <c r="B545" t="s">
        <v>1326</v>
      </c>
      <c r="C545" t="s">
        <v>1066</v>
      </c>
      <c r="D545" t="s">
        <v>1116</v>
      </c>
      <c r="E545" t="s">
        <v>1301</v>
      </c>
      <c r="F545" s="1">
        <v>46270.881249999999</v>
      </c>
      <c r="G545" s="1">
        <v>46270.886111111111</v>
      </c>
      <c r="H545">
        <v>3</v>
      </c>
      <c r="I545">
        <v>7</v>
      </c>
      <c r="J545" t="b">
        <v>0</v>
      </c>
      <c r="K545" t="b">
        <v>0</v>
      </c>
      <c r="L545" t="b">
        <v>0</v>
      </c>
      <c r="M545">
        <v>20</v>
      </c>
      <c r="N545" t="s">
        <v>1130</v>
      </c>
      <c r="O545" s="1">
        <v>46270.8125</v>
      </c>
      <c r="P545" t="b">
        <v>0</v>
      </c>
      <c r="Q545" t="s">
        <v>1169</v>
      </c>
      <c r="R545" t="s">
        <v>1131</v>
      </c>
      <c r="S545" t="s">
        <v>1145</v>
      </c>
      <c r="T545" t="s">
        <v>1122</v>
      </c>
      <c r="U545" t="s">
        <v>1247</v>
      </c>
      <c r="V545" t="s">
        <v>1124</v>
      </c>
      <c r="W545" t="s">
        <v>1125</v>
      </c>
      <c r="X545">
        <v>19</v>
      </c>
      <c r="Y545" t="s">
        <v>1173</v>
      </c>
      <c r="Z545" t="s">
        <v>1127</v>
      </c>
      <c r="AA545">
        <v>2.333333333333333</v>
      </c>
    </row>
    <row r="546" spans="1:27" x14ac:dyDescent="0.3">
      <c r="A546" t="s">
        <v>367</v>
      </c>
      <c r="B546" t="s">
        <v>1302</v>
      </c>
      <c r="C546" t="s">
        <v>1072</v>
      </c>
      <c r="D546" t="s">
        <v>1149</v>
      </c>
      <c r="E546" t="s">
        <v>1307</v>
      </c>
      <c r="F546" s="1">
        <v>46285.553472222222</v>
      </c>
      <c r="G546" s="1">
        <v>46285.558333333327</v>
      </c>
      <c r="H546">
        <v>3</v>
      </c>
      <c r="I546">
        <v>7</v>
      </c>
      <c r="J546" t="b">
        <v>0</v>
      </c>
      <c r="K546" t="b">
        <v>0</v>
      </c>
      <c r="L546" t="b">
        <v>0</v>
      </c>
      <c r="M546">
        <v>10</v>
      </c>
      <c r="N546" t="s">
        <v>1118</v>
      </c>
      <c r="O546" s="1">
        <v>46285.515972222223</v>
      </c>
      <c r="P546" t="b">
        <v>0</v>
      </c>
      <c r="Q546" t="s">
        <v>1151</v>
      </c>
      <c r="R546" t="s">
        <v>1139</v>
      </c>
      <c r="S546" t="s">
        <v>1121</v>
      </c>
      <c r="T546" t="s">
        <v>1180</v>
      </c>
      <c r="U546" t="s">
        <v>1172</v>
      </c>
      <c r="V546" t="s">
        <v>1152</v>
      </c>
      <c r="W546" t="s">
        <v>1145</v>
      </c>
      <c r="X546">
        <v>12</v>
      </c>
      <c r="Y546" t="s">
        <v>1133</v>
      </c>
      <c r="Z546" t="s">
        <v>1134</v>
      </c>
      <c r="AA546">
        <v>2.333333333333333</v>
      </c>
    </row>
    <row r="547" spans="1:27" x14ac:dyDescent="0.3">
      <c r="A547" t="s">
        <v>369</v>
      </c>
      <c r="B547" t="s">
        <v>1302</v>
      </c>
      <c r="C547" t="s">
        <v>1080</v>
      </c>
      <c r="D547" t="s">
        <v>1149</v>
      </c>
      <c r="E547" t="s">
        <v>1182</v>
      </c>
      <c r="F547" s="1">
        <v>46285.567361111112</v>
      </c>
      <c r="G547" s="1">
        <v>46285.572222222218</v>
      </c>
      <c r="H547">
        <v>4</v>
      </c>
      <c r="I547">
        <v>7</v>
      </c>
      <c r="J547" t="b">
        <v>0</v>
      </c>
      <c r="K547" t="b">
        <v>0</v>
      </c>
      <c r="L547" t="b">
        <v>0</v>
      </c>
      <c r="M547">
        <v>10</v>
      </c>
      <c r="N547" t="s">
        <v>1118</v>
      </c>
      <c r="O547" s="1">
        <v>46285.515972222223</v>
      </c>
      <c r="P547" t="b">
        <v>0</v>
      </c>
      <c r="Q547" t="s">
        <v>1119</v>
      </c>
      <c r="R547" t="s">
        <v>1131</v>
      </c>
      <c r="S547" t="s">
        <v>1121</v>
      </c>
      <c r="T547" t="s">
        <v>1122</v>
      </c>
      <c r="U547" t="s">
        <v>1247</v>
      </c>
      <c r="V547" t="s">
        <v>1152</v>
      </c>
      <c r="W547" t="s">
        <v>1145</v>
      </c>
      <c r="X547">
        <v>12</v>
      </c>
      <c r="Y547" t="s">
        <v>1133</v>
      </c>
      <c r="Z547" t="s">
        <v>1134</v>
      </c>
      <c r="AA547">
        <v>1.75</v>
      </c>
    </row>
    <row r="548" spans="1:27" x14ac:dyDescent="0.3">
      <c r="A548" t="s">
        <v>372</v>
      </c>
      <c r="B548" t="s">
        <v>1177</v>
      </c>
      <c r="C548" t="s">
        <v>1088</v>
      </c>
      <c r="D548" t="s">
        <v>1238</v>
      </c>
      <c r="E548" t="s">
        <v>1231</v>
      </c>
      <c r="F548" s="1">
        <v>46290.445833333331</v>
      </c>
      <c r="G548" s="1">
        <v>46290.450694444437</v>
      </c>
      <c r="H548">
        <v>3</v>
      </c>
      <c r="I548">
        <v>7</v>
      </c>
      <c r="J548" t="b">
        <v>0</v>
      </c>
      <c r="K548" t="b">
        <v>0</v>
      </c>
      <c r="L548" t="b">
        <v>0</v>
      </c>
      <c r="M548">
        <v>20</v>
      </c>
      <c r="N548" t="s">
        <v>1168</v>
      </c>
      <c r="O548" s="1">
        <v>46290.395138888889</v>
      </c>
      <c r="P548" t="b">
        <v>0</v>
      </c>
      <c r="Q548" t="s">
        <v>1169</v>
      </c>
      <c r="R548" t="s">
        <v>1131</v>
      </c>
      <c r="S548" t="s">
        <v>1152</v>
      </c>
      <c r="T548" t="s">
        <v>1140</v>
      </c>
      <c r="U548" t="s">
        <v>1123</v>
      </c>
      <c r="V548" t="s">
        <v>1151</v>
      </c>
      <c r="W548" t="s">
        <v>1131</v>
      </c>
      <c r="X548">
        <v>9</v>
      </c>
      <c r="Y548" t="s">
        <v>1142</v>
      </c>
      <c r="Z548" t="s">
        <v>1127</v>
      </c>
      <c r="AA548">
        <v>2.333333333333333</v>
      </c>
    </row>
    <row r="549" spans="1:27" x14ac:dyDescent="0.3">
      <c r="A549" t="s">
        <v>555</v>
      </c>
      <c r="B549" t="s">
        <v>1456</v>
      </c>
      <c r="C549" t="s">
        <v>1081</v>
      </c>
      <c r="D549" t="s">
        <v>1149</v>
      </c>
      <c r="E549" t="s">
        <v>1265</v>
      </c>
      <c r="F549" s="1">
        <v>46272.255555555559</v>
      </c>
      <c r="G549" s="1">
        <v>46272.260416666657</v>
      </c>
      <c r="H549">
        <v>5</v>
      </c>
      <c r="I549">
        <v>7</v>
      </c>
      <c r="J549" t="b">
        <v>0</v>
      </c>
      <c r="K549" t="b">
        <v>0</v>
      </c>
      <c r="L549" t="b">
        <v>0</v>
      </c>
      <c r="M549">
        <v>4</v>
      </c>
      <c r="N549" t="s">
        <v>1118</v>
      </c>
      <c r="O549" s="1">
        <v>46272.234722222223</v>
      </c>
      <c r="P549" t="b">
        <v>0</v>
      </c>
      <c r="Q549" t="s">
        <v>1179</v>
      </c>
      <c r="R549" t="s">
        <v>1139</v>
      </c>
      <c r="S549" t="s">
        <v>1157</v>
      </c>
      <c r="T549" t="s">
        <v>1180</v>
      </c>
      <c r="U549" t="s">
        <v>1247</v>
      </c>
      <c r="V549" t="s">
        <v>1152</v>
      </c>
      <c r="W549" t="s">
        <v>1145</v>
      </c>
      <c r="X549">
        <v>5</v>
      </c>
      <c r="Y549" t="s">
        <v>1185</v>
      </c>
      <c r="Z549" t="s">
        <v>1147</v>
      </c>
      <c r="AA549">
        <v>1.4</v>
      </c>
    </row>
    <row r="550" spans="1:27" x14ac:dyDescent="0.3">
      <c r="A550" t="s">
        <v>841</v>
      </c>
      <c r="B550" t="s">
        <v>1282</v>
      </c>
      <c r="C550" t="s">
        <v>1080</v>
      </c>
      <c r="D550" t="s">
        <v>1136</v>
      </c>
      <c r="E550" t="s">
        <v>1187</v>
      </c>
      <c r="F550" s="1">
        <v>46274.34375</v>
      </c>
      <c r="G550" s="1">
        <v>46274.348611111112</v>
      </c>
      <c r="H550">
        <v>2</v>
      </c>
      <c r="I550">
        <v>7</v>
      </c>
      <c r="J550" t="b">
        <v>0</v>
      </c>
      <c r="K550" t="b">
        <v>0</v>
      </c>
      <c r="L550" t="b">
        <v>0</v>
      </c>
      <c r="M550">
        <v>12</v>
      </c>
      <c r="N550" t="s">
        <v>1118</v>
      </c>
      <c r="O550" s="1">
        <v>46274.3</v>
      </c>
      <c r="P550" t="b">
        <v>0</v>
      </c>
      <c r="Q550" t="s">
        <v>1156</v>
      </c>
      <c r="R550" t="s">
        <v>1131</v>
      </c>
      <c r="S550" t="s">
        <v>1132</v>
      </c>
      <c r="T550" t="s">
        <v>1122</v>
      </c>
      <c r="U550" t="s">
        <v>1247</v>
      </c>
      <c r="V550" t="s">
        <v>1141</v>
      </c>
      <c r="W550" t="s">
        <v>1125</v>
      </c>
      <c r="X550">
        <v>7</v>
      </c>
      <c r="Y550" t="s">
        <v>1161</v>
      </c>
      <c r="Z550" t="s">
        <v>1127</v>
      </c>
      <c r="AA550">
        <v>3.5</v>
      </c>
    </row>
    <row r="551" spans="1:27" x14ac:dyDescent="0.3">
      <c r="A551" t="s">
        <v>848</v>
      </c>
      <c r="B551" t="s">
        <v>1355</v>
      </c>
      <c r="C551" t="s">
        <v>1088</v>
      </c>
      <c r="D551" t="s">
        <v>1280</v>
      </c>
      <c r="E551" t="s">
        <v>1207</v>
      </c>
      <c r="F551" s="1">
        <v>46284.962500000001</v>
      </c>
      <c r="G551" s="1">
        <v>46284.967361111107</v>
      </c>
      <c r="H551">
        <v>7</v>
      </c>
      <c r="I551">
        <v>7</v>
      </c>
      <c r="J551" t="b">
        <v>0</v>
      </c>
      <c r="K551" t="b">
        <v>0</v>
      </c>
      <c r="L551" t="b">
        <v>0</v>
      </c>
      <c r="M551">
        <v>8</v>
      </c>
      <c r="N551" t="s">
        <v>1168</v>
      </c>
      <c r="O551" s="1">
        <v>46284.948611111111</v>
      </c>
      <c r="P551" t="b">
        <v>0</v>
      </c>
      <c r="Q551" t="s">
        <v>1179</v>
      </c>
      <c r="R551" t="s">
        <v>1131</v>
      </c>
      <c r="S551" t="s">
        <v>1157</v>
      </c>
      <c r="T551" t="s">
        <v>1140</v>
      </c>
      <c r="U551" t="s">
        <v>1123</v>
      </c>
      <c r="V551" t="s">
        <v>1151</v>
      </c>
      <c r="W551" t="s">
        <v>1257</v>
      </c>
      <c r="X551">
        <v>22</v>
      </c>
      <c r="Y551" t="s">
        <v>1173</v>
      </c>
      <c r="Z551" t="s">
        <v>1134</v>
      </c>
      <c r="AA551">
        <v>1</v>
      </c>
    </row>
    <row r="552" spans="1:27" x14ac:dyDescent="0.3">
      <c r="A552" t="s">
        <v>571</v>
      </c>
      <c r="B552" t="s">
        <v>1266</v>
      </c>
      <c r="C552" t="s">
        <v>1070</v>
      </c>
      <c r="D552" t="s">
        <v>1283</v>
      </c>
      <c r="E552" t="s">
        <v>1137</v>
      </c>
      <c r="F552" s="1">
        <v>46287.549305555563</v>
      </c>
      <c r="G552" s="1">
        <v>46287.554166666669</v>
      </c>
      <c r="H552">
        <v>5</v>
      </c>
      <c r="I552">
        <v>7</v>
      </c>
      <c r="J552" t="b">
        <v>0</v>
      </c>
      <c r="K552" t="b">
        <v>0</v>
      </c>
      <c r="L552" t="b">
        <v>0</v>
      </c>
      <c r="M552">
        <v>10</v>
      </c>
      <c r="N552" t="s">
        <v>1118</v>
      </c>
      <c r="O552" s="1">
        <v>46287.481944444437</v>
      </c>
      <c r="P552" t="b">
        <v>0</v>
      </c>
      <c r="Q552" t="s">
        <v>1138</v>
      </c>
      <c r="R552" t="s">
        <v>1139</v>
      </c>
      <c r="S552" t="s">
        <v>1132</v>
      </c>
      <c r="T552" t="s">
        <v>1180</v>
      </c>
      <c r="U552" t="s">
        <v>1145</v>
      </c>
      <c r="V552" t="s">
        <v>1284</v>
      </c>
      <c r="W552" t="s">
        <v>1131</v>
      </c>
      <c r="X552">
        <v>11</v>
      </c>
      <c r="Y552" t="s">
        <v>1126</v>
      </c>
      <c r="Z552" t="s">
        <v>1134</v>
      </c>
      <c r="AA552">
        <v>1.4</v>
      </c>
    </row>
    <row r="553" spans="1:27" x14ac:dyDescent="0.3">
      <c r="A553" t="s">
        <v>339</v>
      </c>
      <c r="B553" t="s">
        <v>1448</v>
      </c>
      <c r="C553" t="s">
        <v>1077</v>
      </c>
      <c r="D553" t="s">
        <v>1280</v>
      </c>
      <c r="E553" t="s">
        <v>1167</v>
      </c>
      <c r="F553" s="1">
        <v>46285.481944444437</v>
      </c>
      <c r="G553" s="1">
        <v>46285.486805555563</v>
      </c>
      <c r="H553">
        <v>1</v>
      </c>
      <c r="I553">
        <v>7</v>
      </c>
      <c r="J553" t="b">
        <v>0</v>
      </c>
      <c r="K553" t="b">
        <v>0</v>
      </c>
      <c r="L553" t="b">
        <v>0</v>
      </c>
      <c r="M553">
        <v>4</v>
      </c>
      <c r="N553" t="s">
        <v>1130</v>
      </c>
      <c r="O553" s="1">
        <v>46285.472916666673</v>
      </c>
      <c r="P553" t="b">
        <v>0</v>
      </c>
      <c r="Q553" t="s">
        <v>1169</v>
      </c>
      <c r="R553" t="s">
        <v>1131</v>
      </c>
      <c r="S553" t="s">
        <v>1157</v>
      </c>
      <c r="T553" t="s">
        <v>1122</v>
      </c>
      <c r="U553" t="s">
        <v>1172</v>
      </c>
      <c r="V553" t="s">
        <v>1151</v>
      </c>
      <c r="W553" t="s">
        <v>1257</v>
      </c>
      <c r="X553">
        <v>11</v>
      </c>
      <c r="Y553" t="s">
        <v>1133</v>
      </c>
      <c r="Z553" t="s">
        <v>1147</v>
      </c>
      <c r="AA553">
        <v>7</v>
      </c>
    </row>
    <row r="554" spans="1:27" x14ac:dyDescent="0.3">
      <c r="A554" t="s">
        <v>342</v>
      </c>
      <c r="B554" t="s">
        <v>1368</v>
      </c>
      <c r="C554" t="s">
        <v>1072</v>
      </c>
      <c r="D554" t="s">
        <v>1339</v>
      </c>
      <c r="E554" t="s">
        <v>1237</v>
      </c>
      <c r="F554" s="1">
        <v>46288.899305555547</v>
      </c>
      <c r="G554" s="1">
        <v>46288.904166666667</v>
      </c>
      <c r="H554">
        <v>4</v>
      </c>
      <c r="I554">
        <v>7</v>
      </c>
      <c r="J554" t="b">
        <v>0</v>
      </c>
      <c r="K554" t="b">
        <v>0</v>
      </c>
      <c r="L554" t="b">
        <v>0</v>
      </c>
      <c r="M554">
        <v>20</v>
      </c>
      <c r="N554" t="s">
        <v>1130</v>
      </c>
      <c r="O554" s="1">
        <v>46288.788888888892</v>
      </c>
      <c r="P554" t="b">
        <v>0</v>
      </c>
      <c r="Q554" t="s">
        <v>1151</v>
      </c>
      <c r="R554" t="s">
        <v>1120</v>
      </c>
      <c r="S554" t="s">
        <v>1152</v>
      </c>
      <c r="T554" t="s">
        <v>1180</v>
      </c>
      <c r="U554" t="s">
        <v>1172</v>
      </c>
      <c r="V554" t="s">
        <v>1284</v>
      </c>
      <c r="W554" t="s">
        <v>1257</v>
      </c>
      <c r="X554">
        <v>18</v>
      </c>
      <c r="Y554" t="s">
        <v>1161</v>
      </c>
      <c r="Z554" t="s">
        <v>1127</v>
      </c>
      <c r="AA554">
        <v>1.75</v>
      </c>
    </row>
    <row r="555" spans="1:27" x14ac:dyDescent="0.3">
      <c r="A555" t="s">
        <v>344</v>
      </c>
      <c r="B555" t="s">
        <v>1368</v>
      </c>
      <c r="C555" t="s">
        <v>1086</v>
      </c>
      <c r="D555" t="s">
        <v>1149</v>
      </c>
      <c r="E555" t="s">
        <v>1305</v>
      </c>
      <c r="F555" s="1">
        <v>46288.84097222222</v>
      </c>
      <c r="G555" s="1">
        <v>46288.845833333333</v>
      </c>
      <c r="H555">
        <v>2</v>
      </c>
      <c r="I555">
        <v>7</v>
      </c>
      <c r="J555" t="b">
        <v>0</v>
      </c>
      <c r="K555" t="b">
        <v>0</v>
      </c>
      <c r="L555" t="b">
        <v>0</v>
      </c>
      <c r="M555">
        <v>20</v>
      </c>
      <c r="N555" t="s">
        <v>1130</v>
      </c>
      <c r="O555" s="1">
        <v>46288.788888888892</v>
      </c>
      <c r="P555" t="b">
        <v>0</v>
      </c>
      <c r="Q555" t="s">
        <v>1156</v>
      </c>
      <c r="R555" t="s">
        <v>1131</v>
      </c>
      <c r="S555" t="s">
        <v>1157</v>
      </c>
      <c r="T555" t="s">
        <v>1122</v>
      </c>
      <c r="U555" t="s">
        <v>1145</v>
      </c>
      <c r="V555" t="s">
        <v>1152</v>
      </c>
      <c r="W555" t="s">
        <v>1145</v>
      </c>
      <c r="X555">
        <v>18</v>
      </c>
      <c r="Y555" t="s">
        <v>1161</v>
      </c>
      <c r="Z555" t="s">
        <v>1127</v>
      </c>
      <c r="AA555">
        <v>3.5</v>
      </c>
    </row>
    <row r="556" spans="1:27" x14ac:dyDescent="0.3">
      <c r="A556" t="s">
        <v>346</v>
      </c>
      <c r="B556" t="s">
        <v>1368</v>
      </c>
      <c r="C556" t="s">
        <v>1085</v>
      </c>
      <c r="D556" t="s">
        <v>1280</v>
      </c>
      <c r="E556" t="s">
        <v>1154</v>
      </c>
      <c r="F556" s="1">
        <v>46288.873611111107</v>
      </c>
      <c r="G556" s="1">
        <v>46288.878472222219</v>
      </c>
      <c r="H556">
        <v>4</v>
      </c>
      <c r="I556">
        <v>7</v>
      </c>
      <c r="J556" t="b">
        <v>0</v>
      </c>
      <c r="K556" t="b">
        <v>0</v>
      </c>
      <c r="L556" t="b">
        <v>0</v>
      </c>
      <c r="M556">
        <v>20</v>
      </c>
      <c r="N556" t="s">
        <v>1130</v>
      </c>
      <c r="O556" s="1">
        <v>46288.788888888892</v>
      </c>
      <c r="P556" t="b">
        <v>0</v>
      </c>
      <c r="Q556" t="s">
        <v>1156</v>
      </c>
      <c r="R556" t="s">
        <v>1131</v>
      </c>
      <c r="S556" t="s">
        <v>1157</v>
      </c>
      <c r="T556" t="s">
        <v>1122</v>
      </c>
      <c r="U556" t="s">
        <v>1247</v>
      </c>
      <c r="V556" t="s">
        <v>1151</v>
      </c>
      <c r="W556" t="s">
        <v>1257</v>
      </c>
      <c r="X556">
        <v>18</v>
      </c>
      <c r="Y556" t="s">
        <v>1161</v>
      </c>
      <c r="Z556" t="s">
        <v>1127</v>
      </c>
      <c r="AA556">
        <v>1.75</v>
      </c>
    </row>
    <row r="557" spans="1:27" x14ac:dyDescent="0.3">
      <c r="A557" t="s">
        <v>579</v>
      </c>
      <c r="B557" t="s">
        <v>1250</v>
      </c>
      <c r="C557" t="s">
        <v>1060</v>
      </c>
      <c r="D557" t="s">
        <v>1280</v>
      </c>
      <c r="E557" t="s">
        <v>1230</v>
      </c>
      <c r="F557" s="1">
        <v>46288.897222222222</v>
      </c>
      <c r="G557" s="1">
        <v>46288.902083333327</v>
      </c>
      <c r="H557">
        <v>1</v>
      </c>
      <c r="I557">
        <v>7</v>
      </c>
      <c r="J557" t="b">
        <v>0</v>
      </c>
      <c r="K557" t="b">
        <v>0</v>
      </c>
      <c r="L557" t="b">
        <v>0</v>
      </c>
      <c r="M557">
        <v>10</v>
      </c>
      <c r="N557" t="s">
        <v>1118</v>
      </c>
      <c r="O557" s="1">
        <v>46288.808333333327</v>
      </c>
      <c r="P557" t="b">
        <v>0</v>
      </c>
      <c r="Q557" t="s">
        <v>1145</v>
      </c>
      <c r="R557" t="s">
        <v>1120</v>
      </c>
      <c r="S557" t="s">
        <v>1157</v>
      </c>
      <c r="T557" t="s">
        <v>1140</v>
      </c>
      <c r="U557" t="s">
        <v>1145</v>
      </c>
      <c r="V557" t="s">
        <v>1151</v>
      </c>
      <c r="W557" t="s">
        <v>1257</v>
      </c>
      <c r="X557">
        <v>19</v>
      </c>
      <c r="Y557" t="s">
        <v>1161</v>
      </c>
      <c r="Z557" t="s">
        <v>1134</v>
      </c>
      <c r="AA557">
        <v>7</v>
      </c>
    </row>
    <row r="558" spans="1:27" x14ac:dyDescent="0.3">
      <c r="A558" t="s">
        <v>583</v>
      </c>
      <c r="B558" t="s">
        <v>1250</v>
      </c>
      <c r="C558" t="s">
        <v>1075</v>
      </c>
      <c r="D558" t="s">
        <v>1283</v>
      </c>
      <c r="E558" t="s">
        <v>1265</v>
      </c>
      <c r="F558" s="1">
        <v>46288.809027777781</v>
      </c>
      <c r="G558" s="1">
        <v>46288.813888888893</v>
      </c>
      <c r="H558">
        <v>3</v>
      </c>
      <c r="I558">
        <v>7</v>
      </c>
      <c r="J558" t="b">
        <v>0</v>
      </c>
      <c r="K558" t="b">
        <v>0</v>
      </c>
      <c r="L558" t="b">
        <v>0</v>
      </c>
      <c r="M558">
        <v>10</v>
      </c>
      <c r="N558" t="s">
        <v>1118</v>
      </c>
      <c r="O558" s="1">
        <v>46288.808333333327</v>
      </c>
      <c r="P558" t="b">
        <v>0</v>
      </c>
      <c r="Q558" t="s">
        <v>1179</v>
      </c>
      <c r="R558" t="s">
        <v>1139</v>
      </c>
      <c r="S558" t="s">
        <v>1157</v>
      </c>
      <c r="T558" t="s">
        <v>1122</v>
      </c>
      <c r="U558" t="s">
        <v>1172</v>
      </c>
      <c r="V558" t="s">
        <v>1284</v>
      </c>
      <c r="W558" t="s">
        <v>1131</v>
      </c>
      <c r="X558">
        <v>19</v>
      </c>
      <c r="Y558" t="s">
        <v>1161</v>
      </c>
      <c r="Z558" t="s">
        <v>1134</v>
      </c>
      <c r="AA558">
        <v>2.333333333333333</v>
      </c>
    </row>
    <row r="559" spans="1:27" x14ac:dyDescent="0.3">
      <c r="A559" t="s">
        <v>185</v>
      </c>
      <c r="B559" t="s">
        <v>1170</v>
      </c>
      <c r="C559" t="s">
        <v>1073</v>
      </c>
      <c r="D559" t="s">
        <v>1149</v>
      </c>
      <c r="E559" t="s">
        <v>1287</v>
      </c>
      <c r="F559" s="1">
        <v>46277.106249999997</v>
      </c>
      <c r="G559" s="1">
        <v>46277.111111111109</v>
      </c>
      <c r="H559">
        <v>4</v>
      </c>
      <c r="I559">
        <v>7</v>
      </c>
      <c r="J559" t="b">
        <v>0</v>
      </c>
      <c r="K559" t="b">
        <v>0</v>
      </c>
      <c r="L559" t="b">
        <v>0</v>
      </c>
      <c r="M559">
        <v>20</v>
      </c>
      <c r="N559" t="s">
        <v>1118</v>
      </c>
      <c r="O559" s="1">
        <v>46277.038194444453</v>
      </c>
      <c r="P559" t="b">
        <v>0</v>
      </c>
      <c r="Q559" t="s">
        <v>1179</v>
      </c>
      <c r="R559" t="s">
        <v>1120</v>
      </c>
      <c r="S559" t="s">
        <v>1145</v>
      </c>
      <c r="T559" t="s">
        <v>1122</v>
      </c>
      <c r="U559" t="s">
        <v>1247</v>
      </c>
      <c r="V559" t="s">
        <v>1152</v>
      </c>
      <c r="W559" t="s">
        <v>1145</v>
      </c>
      <c r="X559">
        <v>0</v>
      </c>
      <c r="Y559" t="s">
        <v>1173</v>
      </c>
      <c r="Z559" t="s">
        <v>1127</v>
      </c>
      <c r="AA559">
        <v>1.75</v>
      </c>
    </row>
    <row r="560" spans="1:27" x14ac:dyDescent="0.3">
      <c r="A560" t="s">
        <v>881</v>
      </c>
      <c r="B560" t="s">
        <v>1411</v>
      </c>
      <c r="C560" t="s">
        <v>1085</v>
      </c>
      <c r="D560" t="s">
        <v>1136</v>
      </c>
      <c r="E560" t="s">
        <v>1261</v>
      </c>
      <c r="F560" s="1">
        <v>46286.415972222218</v>
      </c>
      <c r="G560" s="1">
        <v>46286.42083333333</v>
      </c>
      <c r="H560">
        <v>7</v>
      </c>
      <c r="I560">
        <v>7</v>
      </c>
      <c r="J560" t="b">
        <v>0</v>
      </c>
      <c r="K560" t="b">
        <v>0</v>
      </c>
      <c r="L560" t="b">
        <v>0</v>
      </c>
      <c r="M560">
        <v>8</v>
      </c>
      <c r="N560" t="s">
        <v>1130</v>
      </c>
      <c r="O560" s="1">
        <v>46286.304166666669</v>
      </c>
      <c r="P560" t="b">
        <v>0</v>
      </c>
      <c r="Q560" t="s">
        <v>1151</v>
      </c>
      <c r="R560" t="s">
        <v>1120</v>
      </c>
      <c r="S560" t="s">
        <v>1157</v>
      </c>
      <c r="T560" t="s">
        <v>1122</v>
      </c>
      <c r="U560" t="s">
        <v>1247</v>
      </c>
      <c r="V560" t="s">
        <v>1141</v>
      </c>
      <c r="W560" t="s">
        <v>1125</v>
      </c>
      <c r="X560">
        <v>7</v>
      </c>
      <c r="Y560" t="s">
        <v>1185</v>
      </c>
      <c r="Z560" t="s">
        <v>1134</v>
      </c>
      <c r="AA560">
        <v>1</v>
      </c>
    </row>
    <row r="561" spans="1:27" x14ac:dyDescent="0.3">
      <c r="A561" t="s">
        <v>884</v>
      </c>
      <c r="B561" t="s">
        <v>1166</v>
      </c>
      <c r="C561" t="s">
        <v>1063</v>
      </c>
      <c r="D561" t="s">
        <v>1280</v>
      </c>
      <c r="E561" t="s">
        <v>1256</v>
      </c>
      <c r="F561" s="1">
        <v>46273.48333333333</v>
      </c>
      <c r="G561" s="1">
        <v>46273.488194444442</v>
      </c>
      <c r="H561">
        <v>6</v>
      </c>
      <c r="I561">
        <v>7</v>
      </c>
      <c r="J561" t="b">
        <v>0</v>
      </c>
      <c r="K561" t="b">
        <v>0</v>
      </c>
      <c r="L561" t="b">
        <v>0</v>
      </c>
      <c r="M561">
        <v>10</v>
      </c>
      <c r="N561" t="s">
        <v>1168</v>
      </c>
      <c r="O561" s="1">
        <v>46273.465277777781</v>
      </c>
      <c r="P561" t="b">
        <v>0</v>
      </c>
      <c r="Q561" t="s">
        <v>1145</v>
      </c>
      <c r="R561" t="s">
        <v>1139</v>
      </c>
      <c r="S561" t="s">
        <v>1157</v>
      </c>
      <c r="T561" t="s">
        <v>1122</v>
      </c>
      <c r="U561" t="s">
        <v>1172</v>
      </c>
      <c r="V561" t="s">
        <v>1151</v>
      </c>
      <c r="W561" t="s">
        <v>1257</v>
      </c>
      <c r="X561">
        <v>11</v>
      </c>
      <c r="Y561" t="s">
        <v>1126</v>
      </c>
      <c r="Z561" t="s">
        <v>1134</v>
      </c>
      <c r="AA561">
        <v>1.166666666666667</v>
      </c>
    </row>
    <row r="562" spans="1:27" x14ac:dyDescent="0.3">
      <c r="A562" t="s">
        <v>890</v>
      </c>
      <c r="B562" t="s">
        <v>1306</v>
      </c>
      <c r="C562" t="s">
        <v>1057</v>
      </c>
      <c r="D562" t="s">
        <v>1283</v>
      </c>
      <c r="E562" t="s">
        <v>1187</v>
      </c>
      <c r="F562" s="1">
        <v>46288.710416666669</v>
      </c>
      <c r="G562" s="1">
        <v>46288.715277777781</v>
      </c>
      <c r="H562">
        <v>5</v>
      </c>
      <c r="I562">
        <v>7</v>
      </c>
      <c r="J562" t="b">
        <v>0</v>
      </c>
      <c r="K562" t="b">
        <v>0</v>
      </c>
      <c r="L562" t="b">
        <v>0</v>
      </c>
      <c r="M562">
        <v>5</v>
      </c>
      <c r="N562" t="s">
        <v>1118</v>
      </c>
      <c r="O562" s="1">
        <v>46288.68472222222</v>
      </c>
      <c r="P562" t="b">
        <v>0</v>
      </c>
      <c r="Q562" t="s">
        <v>1156</v>
      </c>
      <c r="R562" t="s">
        <v>1131</v>
      </c>
      <c r="S562" t="s">
        <v>1132</v>
      </c>
      <c r="T562" t="s">
        <v>1122</v>
      </c>
      <c r="U562" t="s">
        <v>1172</v>
      </c>
      <c r="V562" t="s">
        <v>1284</v>
      </c>
      <c r="W562" t="s">
        <v>1131</v>
      </c>
      <c r="X562">
        <v>16</v>
      </c>
      <c r="Y562" t="s">
        <v>1161</v>
      </c>
      <c r="Z562" t="s">
        <v>1147</v>
      </c>
      <c r="AA562">
        <v>1.4</v>
      </c>
    </row>
    <row r="563" spans="1:27" x14ac:dyDescent="0.3">
      <c r="A563" t="s">
        <v>529</v>
      </c>
      <c r="B563" t="s">
        <v>1297</v>
      </c>
      <c r="C563" t="s">
        <v>1066</v>
      </c>
      <c r="D563" t="s">
        <v>1255</v>
      </c>
      <c r="E563" t="s">
        <v>1223</v>
      </c>
      <c r="F563" s="1">
        <v>46290.040277777778</v>
      </c>
      <c r="G563" s="1">
        <v>46290.045138888891</v>
      </c>
      <c r="H563">
        <v>3</v>
      </c>
      <c r="I563">
        <v>7</v>
      </c>
      <c r="J563" t="b">
        <v>0</v>
      </c>
      <c r="K563" t="b">
        <v>0</v>
      </c>
      <c r="L563" t="b">
        <v>0</v>
      </c>
      <c r="M563">
        <v>15</v>
      </c>
      <c r="N563" t="s">
        <v>1155</v>
      </c>
      <c r="O563" s="1">
        <v>46289.979861111111</v>
      </c>
      <c r="P563" t="b">
        <v>0</v>
      </c>
      <c r="Q563" t="s">
        <v>1119</v>
      </c>
      <c r="R563" t="s">
        <v>1120</v>
      </c>
      <c r="S563" t="s">
        <v>1152</v>
      </c>
      <c r="T563" t="s">
        <v>1122</v>
      </c>
      <c r="U563" t="s">
        <v>1247</v>
      </c>
      <c r="V563" t="s">
        <v>1141</v>
      </c>
      <c r="W563" t="s">
        <v>1257</v>
      </c>
      <c r="X563">
        <v>23</v>
      </c>
      <c r="Y563" t="s">
        <v>1146</v>
      </c>
      <c r="Z563" t="s">
        <v>1127</v>
      </c>
      <c r="AA563">
        <v>2.333333333333333</v>
      </c>
    </row>
    <row r="564" spans="1:27" x14ac:dyDescent="0.3">
      <c r="A564" t="s">
        <v>532</v>
      </c>
      <c r="B564" t="s">
        <v>1410</v>
      </c>
      <c r="C564" t="s">
        <v>1066</v>
      </c>
      <c r="D564" t="s">
        <v>1255</v>
      </c>
      <c r="E564" t="s">
        <v>1249</v>
      </c>
      <c r="F564" s="1">
        <v>46289.709027777782</v>
      </c>
      <c r="G564" s="1">
        <v>46289.713888888888</v>
      </c>
      <c r="H564">
        <v>4</v>
      </c>
      <c r="I564">
        <v>7</v>
      </c>
      <c r="J564" t="b">
        <v>0</v>
      </c>
      <c r="K564" t="b">
        <v>0</v>
      </c>
      <c r="L564" t="b">
        <v>0</v>
      </c>
      <c r="M564">
        <v>4</v>
      </c>
      <c r="N564" t="s">
        <v>1168</v>
      </c>
      <c r="O564" s="1">
        <v>46289.675694444442</v>
      </c>
      <c r="P564" t="b">
        <v>0</v>
      </c>
      <c r="Q564" t="s">
        <v>1169</v>
      </c>
      <c r="R564" t="s">
        <v>1131</v>
      </c>
      <c r="S564" t="s">
        <v>1157</v>
      </c>
      <c r="T564" t="s">
        <v>1122</v>
      </c>
      <c r="U564" t="s">
        <v>1247</v>
      </c>
      <c r="V564" t="s">
        <v>1141</v>
      </c>
      <c r="W564" t="s">
        <v>1257</v>
      </c>
      <c r="X564">
        <v>16</v>
      </c>
      <c r="Y564" t="s">
        <v>1146</v>
      </c>
      <c r="Z564" t="s">
        <v>1147</v>
      </c>
      <c r="AA564">
        <v>1.75</v>
      </c>
    </row>
    <row r="565" spans="1:27" x14ac:dyDescent="0.3">
      <c r="A565" t="s">
        <v>541</v>
      </c>
      <c r="B565" t="s">
        <v>1303</v>
      </c>
      <c r="C565" t="s">
        <v>1068</v>
      </c>
      <c r="D565" t="s">
        <v>1238</v>
      </c>
      <c r="E565" t="s">
        <v>1223</v>
      </c>
      <c r="F565" s="1">
        <v>46290.706944444442</v>
      </c>
      <c r="G565" s="1">
        <v>46290.711805555547</v>
      </c>
      <c r="H565">
        <v>1</v>
      </c>
      <c r="I565">
        <v>7</v>
      </c>
      <c r="J565" t="b">
        <v>0</v>
      </c>
      <c r="K565" t="b">
        <v>0</v>
      </c>
      <c r="L565" t="b">
        <v>0</v>
      </c>
      <c r="M565">
        <v>5</v>
      </c>
      <c r="N565" t="s">
        <v>1155</v>
      </c>
      <c r="O565" s="1">
        <v>46290.7</v>
      </c>
      <c r="P565" t="b">
        <v>0</v>
      </c>
      <c r="Q565" t="s">
        <v>1119</v>
      </c>
      <c r="R565" t="s">
        <v>1120</v>
      </c>
      <c r="S565" t="s">
        <v>1152</v>
      </c>
      <c r="T565" t="s">
        <v>1122</v>
      </c>
      <c r="U565" t="s">
        <v>1123</v>
      </c>
      <c r="V565" t="s">
        <v>1151</v>
      </c>
      <c r="W565" t="s">
        <v>1131</v>
      </c>
      <c r="X565">
        <v>16</v>
      </c>
      <c r="Y565" t="s">
        <v>1142</v>
      </c>
      <c r="Z565" t="s">
        <v>1147</v>
      </c>
      <c r="AA565">
        <v>7</v>
      </c>
    </row>
    <row r="566" spans="1:27" x14ac:dyDescent="0.3">
      <c r="A566" t="s">
        <v>201</v>
      </c>
      <c r="B566" t="s">
        <v>1234</v>
      </c>
      <c r="C566" t="s">
        <v>1068</v>
      </c>
      <c r="D566" t="s">
        <v>1283</v>
      </c>
      <c r="E566" t="s">
        <v>1187</v>
      </c>
      <c r="F566" s="1">
        <v>46281.990972222222</v>
      </c>
      <c r="G566" s="1">
        <v>46281.995833333327</v>
      </c>
      <c r="H566">
        <v>4</v>
      </c>
      <c r="I566">
        <v>7</v>
      </c>
      <c r="J566" t="b">
        <v>0</v>
      </c>
      <c r="K566" t="b">
        <v>0</v>
      </c>
      <c r="L566" t="b">
        <v>0</v>
      </c>
      <c r="M566">
        <v>12</v>
      </c>
      <c r="N566" t="s">
        <v>1130</v>
      </c>
      <c r="P566" t="b">
        <v>0</v>
      </c>
      <c r="Q566" t="s">
        <v>1156</v>
      </c>
      <c r="R566" t="s">
        <v>1131</v>
      </c>
      <c r="S566" t="s">
        <v>1132</v>
      </c>
      <c r="T566" t="s">
        <v>1122</v>
      </c>
      <c r="U566" t="s">
        <v>1123</v>
      </c>
      <c r="V566" t="s">
        <v>1284</v>
      </c>
      <c r="W566" t="s">
        <v>1131</v>
      </c>
      <c r="Z566" t="s">
        <v>1127</v>
      </c>
      <c r="AA566">
        <v>1.75</v>
      </c>
    </row>
    <row r="567" spans="1:27" x14ac:dyDescent="0.3">
      <c r="A567" t="s">
        <v>208</v>
      </c>
      <c r="B567" t="s">
        <v>1457</v>
      </c>
      <c r="C567" t="s">
        <v>1086</v>
      </c>
      <c r="D567" t="s">
        <v>1339</v>
      </c>
      <c r="E567" t="s">
        <v>1340</v>
      </c>
      <c r="F567" s="1">
        <v>46287.518055555563</v>
      </c>
      <c r="G567" s="1">
        <v>46287.522916666669</v>
      </c>
      <c r="H567">
        <v>4</v>
      </c>
      <c r="I567">
        <v>7</v>
      </c>
      <c r="J567" t="b">
        <v>0</v>
      </c>
      <c r="K567" t="b">
        <v>0</v>
      </c>
      <c r="L567" t="b">
        <v>0</v>
      </c>
      <c r="M567">
        <v>4</v>
      </c>
      <c r="N567" t="s">
        <v>1130</v>
      </c>
      <c r="O567" s="1">
        <v>46287.429861111108</v>
      </c>
      <c r="P567" t="b">
        <v>0</v>
      </c>
      <c r="Q567" t="s">
        <v>1145</v>
      </c>
      <c r="R567" t="s">
        <v>1131</v>
      </c>
      <c r="S567" t="s">
        <v>1121</v>
      </c>
      <c r="T567" t="s">
        <v>1122</v>
      </c>
      <c r="U567" t="s">
        <v>1145</v>
      </c>
      <c r="V567" t="s">
        <v>1284</v>
      </c>
      <c r="W567" t="s">
        <v>1257</v>
      </c>
      <c r="X567">
        <v>10</v>
      </c>
      <c r="Y567" t="s">
        <v>1126</v>
      </c>
      <c r="Z567" t="s">
        <v>1147</v>
      </c>
      <c r="AA567">
        <v>1.75</v>
      </c>
    </row>
    <row r="568" spans="1:27" x14ac:dyDescent="0.3">
      <c r="A568" t="s">
        <v>320</v>
      </c>
      <c r="B568" t="s">
        <v>1313</v>
      </c>
      <c r="C568" t="s">
        <v>1068</v>
      </c>
      <c r="D568" t="s">
        <v>1255</v>
      </c>
      <c r="E568" t="s">
        <v>1240</v>
      </c>
      <c r="F568" s="1">
        <v>46290.86041666667</v>
      </c>
      <c r="G568" s="1">
        <v>46290.865277777782</v>
      </c>
      <c r="H568">
        <v>4</v>
      </c>
      <c r="I568">
        <v>7</v>
      </c>
      <c r="J568" t="b">
        <v>0</v>
      </c>
      <c r="K568" t="b">
        <v>0</v>
      </c>
      <c r="L568" t="b">
        <v>0</v>
      </c>
      <c r="M568">
        <v>4</v>
      </c>
      <c r="N568" t="s">
        <v>1130</v>
      </c>
      <c r="O568" s="1">
        <v>46290.799305555563</v>
      </c>
      <c r="P568" t="b">
        <v>0</v>
      </c>
      <c r="Q568" t="s">
        <v>1156</v>
      </c>
      <c r="R568" t="s">
        <v>1120</v>
      </c>
      <c r="S568" t="s">
        <v>1145</v>
      </c>
      <c r="T568" t="s">
        <v>1122</v>
      </c>
      <c r="U568" t="s">
        <v>1123</v>
      </c>
      <c r="V568" t="s">
        <v>1141</v>
      </c>
      <c r="W568" t="s">
        <v>1257</v>
      </c>
      <c r="X568">
        <v>19</v>
      </c>
      <c r="Y568" t="s">
        <v>1142</v>
      </c>
      <c r="Z568" t="s">
        <v>1147</v>
      </c>
      <c r="AA568">
        <v>1.75</v>
      </c>
    </row>
    <row r="569" spans="1:27" x14ac:dyDescent="0.3">
      <c r="A569" t="s">
        <v>323</v>
      </c>
      <c r="B569" t="s">
        <v>1174</v>
      </c>
      <c r="C569" t="s">
        <v>1082</v>
      </c>
      <c r="D569" t="s">
        <v>1283</v>
      </c>
      <c r="E569" t="s">
        <v>1321</v>
      </c>
      <c r="F569" s="1">
        <v>46288.147916666669</v>
      </c>
      <c r="G569" s="1">
        <v>46288.152777777781</v>
      </c>
      <c r="H569">
        <v>3</v>
      </c>
      <c r="I569">
        <v>7</v>
      </c>
      <c r="J569" t="b">
        <v>0</v>
      </c>
      <c r="K569" t="b">
        <v>0</v>
      </c>
      <c r="L569" t="b">
        <v>0</v>
      </c>
      <c r="M569">
        <v>4</v>
      </c>
      <c r="N569" t="s">
        <v>1118</v>
      </c>
      <c r="O569" s="1">
        <v>46288.033333333333</v>
      </c>
      <c r="P569" t="b">
        <v>0</v>
      </c>
      <c r="Q569" t="s">
        <v>1179</v>
      </c>
      <c r="R569" t="s">
        <v>1139</v>
      </c>
      <c r="S569" t="s">
        <v>1157</v>
      </c>
      <c r="T569" t="s">
        <v>1122</v>
      </c>
      <c r="U569" t="s">
        <v>1145</v>
      </c>
      <c r="V569" t="s">
        <v>1284</v>
      </c>
      <c r="W569" t="s">
        <v>1131</v>
      </c>
      <c r="X569">
        <v>0</v>
      </c>
      <c r="Y569" t="s">
        <v>1161</v>
      </c>
      <c r="Z569" t="s">
        <v>1147</v>
      </c>
      <c r="AA569">
        <v>2.333333333333333</v>
      </c>
    </row>
    <row r="570" spans="1:27" x14ac:dyDescent="0.3">
      <c r="A570" t="s">
        <v>324</v>
      </c>
      <c r="B570" t="s">
        <v>1174</v>
      </c>
      <c r="C570" t="s">
        <v>1080</v>
      </c>
      <c r="D570" t="s">
        <v>1136</v>
      </c>
      <c r="E570" t="s">
        <v>1240</v>
      </c>
      <c r="F570" s="1">
        <v>46288.124305555553</v>
      </c>
      <c r="G570" s="1">
        <v>46288.129166666673</v>
      </c>
      <c r="H570">
        <v>3</v>
      </c>
      <c r="I570">
        <v>7</v>
      </c>
      <c r="J570" t="b">
        <v>0</v>
      </c>
      <c r="K570" t="b">
        <v>0</v>
      </c>
      <c r="L570" t="b">
        <v>0</v>
      </c>
      <c r="M570">
        <v>4</v>
      </c>
      <c r="N570" t="s">
        <v>1118</v>
      </c>
      <c r="O570" s="1">
        <v>46288.033333333333</v>
      </c>
      <c r="P570" t="b">
        <v>0</v>
      </c>
      <c r="Q570" t="s">
        <v>1156</v>
      </c>
      <c r="R570" t="s">
        <v>1120</v>
      </c>
      <c r="S570" t="s">
        <v>1145</v>
      </c>
      <c r="T570" t="s">
        <v>1122</v>
      </c>
      <c r="U570" t="s">
        <v>1247</v>
      </c>
      <c r="V570" t="s">
        <v>1141</v>
      </c>
      <c r="W570" t="s">
        <v>1125</v>
      </c>
      <c r="X570">
        <v>0</v>
      </c>
      <c r="Y570" t="s">
        <v>1161</v>
      </c>
      <c r="Z570" t="s">
        <v>1147</v>
      </c>
      <c r="AA570">
        <v>2.333333333333333</v>
      </c>
    </row>
    <row r="571" spans="1:27" x14ac:dyDescent="0.3">
      <c r="A571" t="s">
        <v>211</v>
      </c>
      <c r="B571" t="s">
        <v>1407</v>
      </c>
      <c r="C571" t="s">
        <v>1066</v>
      </c>
      <c r="D571" t="s">
        <v>1116</v>
      </c>
      <c r="E571" t="s">
        <v>1167</v>
      </c>
      <c r="F571" s="1">
        <v>46279.993750000001</v>
      </c>
      <c r="G571" s="1">
        <v>46279.998611111107</v>
      </c>
      <c r="H571">
        <v>2</v>
      </c>
      <c r="I571">
        <v>7</v>
      </c>
      <c r="J571" t="b">
        <v>0</v>
      </c>
      <c r="K571" t="b">
        <v>0</v>
      </c>
      <c r="L571" t="b">
        <v>0</v>
      </c>
      <c r="M571">
        <v>15</v>
      </c>
      <c r="N571" t="s">
        <v>1130</v>
      </c>
      <c r="O571" s="1">
        <v>46279.98541666667</v>
      </c>
      <c r="P571" t="b">
        <v>0</v>
      </c>
      <c r="Q571" t="s">
        <v>1169</v>
      </c>
      <c r="R571" t="s">
        <v>1131</v>
      </c>
      <c r="S571" t="s">
        <v>1157</v>
      </c>
      <c r="T571" t="s">
        <v>1122</v>
      </c>
      <c r="U571" t="s">
        <v>1247</v>
      </c>
      <c r="V571" t="s">
        <v>1124</v>
      </c>
      <c r="W571" t="s">
        <v>1125</v>
      </c>
      <c r="X571">
        <v>23</v>
      </c>
      <c r="Y571" t="s">
        <v>1185</v>
      </c>
      <c r="Z571" t="s">
        <v>1127</v>
      </c>
      <c r="AA571">
        <v>3.5</v>
      </c>
    </row>
    <row r="572" spans="1:27" x14ac:dyDescent="0.3">
      <c r="A572" t="s">
        <v>825</v>
      </c>
      <c r="B572" t="s">
        <v>1191</v>
      </c>
      <c r="C572" t="s">
        <v>1076</v>
      </c>
      <c r="D572" t="s">
        <v>1238</v>
      </c>
      <c r="E572" t="s">
        <v>1159</v>
      </c>
      <c r="F572" s="1">
        <v>46267.465277777781</v>
      </c>
      <c r="G572" s="1">
        <v>46267.470138888893</v>
      </c>
      <c r="H572">
        <v>4</v>
      </c>
      <c r="I572">
        <v>7</v>
      </c>
      <c r="J572" t="b">
        <v>0</v>
      </c>
      <c r="K572" t="b">
        <v>0</v>
      </c>
      <c r="L572" t="b">
        <v>0</v>
      </c>
      <c r="M572">
        <v>12</v>
      </c>
      <c r="N572" t="s">
        <v>1130</v>
      </c>
      <c r="O572" s="1">
        <v>46267.375694444447</v>
      </c>
      <c r="P572" t="b">
        <v>0</v>
      </c>
      <c r="Q572" t="s">
        <v>1138</v>
      </c>
      <c r="R572" t="s">
        <v>1120</v>
      </c>
      <c r="S572" t="s">
        <v>1132</v>
      </c>
      <c r="T572" t="s">
        <v>1122</v>
      </c>
      <c r="U572" t="s">
        <v>1172</v>
      </c>
      <c r="V572" t="s">
        <v>1151</v>
      </c>
      <c r="W572" t="s">
        <v>1131</v>
      </c>
      <c r="X572">
        <v>9</v>
      </c>
      <c r="Y572" t="s">
        <v>1161</v>
      </c>
      <c r="Z572" t="s">
        <v>1127</v>
      </c>
      <c r="AA572">
        <v>1.75</v>
      </c>
    </row>
    <row r="573" spans="1:27" x14ac:dyDescent="0.3">
      <c r="A573" t="s">
        <v>828</v>
      </c>
      <c r="B573" t="s">
        <v>1191</v>
      </c>
      <c r="C573" t="s">
        <v>1067</v>
      </c>
      <c r="D573" t="s">
        <v>1280</v>
      </c>
      <c r="E573" t="s">
        <v>1398</v>
      </c>
      <c r="F573" s="1">
        <v>46267.429166666669</v>
      </c>
      <c r="G573" s="1">
        <v>46267.434027777781</v>
      </c>
      <c r="H573">
        <v>2</v>
      </c>
      <c r="I573">
        <v>7</v>
      </c>
      <c r="J573" t="b">
        <v>0</v>
      </c>
      <c r="K573" t="b">
        <v>0</v>
      </c>
      <c r="L573" t="b">
        <v>0</v>
      </c>
      <c r="M573">
        <v>12</v>
      </c>
      <c r="N573" t="s">
        <v>1130</v>
      </c>
      <c r="O573" s="1">
        <v>46267.375694444447</v>
      </c>
      <c r="P573" t="b">
        <v>0</v>
      </c>
      <c r="Q573" t="s">
        <v>1169</v>
      </c>
      <c r="R573" t="s">
        <v>1120</v>
      </c>
      <c r="S573" t="s">
        <v>1132</v>
      </c>
      <c r="T573" t="s">
        <v>1180</v>
      </c>
      <c r="U573" t="s">
        <v>1247</v>
      </c>
      <c r="V573" t="s">
        <v>1151</v>
      </c>
      <c r="W573" t="s">
        <v>1257</v>
      </c>
      <c r="X573">
        <v>9</v>
      </c>
      <c r="Y573" t="s">
        <v>1161</v>
      </c>
      <c r="Z573" t="s">
        <v>1127</v>
      </c>
      <c r="AA573">
        <v>3.5</v>
      </c>
    </row>
    <row r="574" spans="1:27" x14ac:dyDescent="0.3">
      <c r="A574" t="s">
        <v>832</v>
      </c>
      <c r="B574" t="s">
        <v>1191</v>
      </c>
      <c r="C574" t="s">
        <v>1071</v>
      </c>
      <c r="D574" t="s">
        <v>1255</v>
      </c>
      <c r="E574" t="s">
        <v>1289</v>
      </c>
      <c r="F574" s="1">
        <v>46267.479166666657</v>
      </c>
      <c r="G574" s="1">
        <v>46267.484027777777</v>
      </c>
      <c r="H574">
        <v>3</v>
      </c>
      <c r="I574">
        <v>7</v>
      </c>
      <c r="J574" t="b">
        <v>0</v>
      </c>
      <c r="K574" t="b">
        <v>0</v>
      </c>
      <c r="L574" t="b">
        <v>0</v>
      </c>
      <c r="M574">
        <v>12</v>
      </c>
      <c r="N574" t="s">
        <v>1130</v>
      </c>
      <c r="O574" s="1">
        <v>46267.375694444447</v>
      </c>
      <c r="P574" t="b">
        <v>0</v>
      </c>
      <c r="Q574" t="s">
        <v>1145</v>
      </c>
      <c r="R574" t="s">
        <v>1139</v>
      </c>
      <c r="S574" t="s">
        <v>1152</v>
      </c>
      <c r="T574" t="s">
        <v>1122</v>
      </c>
      <c r="U574" t="s">
        <v>1145</v>
      </c>
      <c r="V574" t="s">
        <v>1141</v>
      </c>
      <c r="W574" t="s">
        <v>1257</v>
      </c>
      <c r="X574">
        <v>9</v>
      </c>
      <c r="Y574" t="s">
        <v>1161</v>
      </c>
      <c r="Z574" t="s">
        <v>1127</v>
      </c>
      <c r="AA574">
        <v>2.333333333333333</v>
      </c>
    </row>
    <row r="575" spans="1:27" x14ac:dyDescent="0.3">
      <c r="A575" t="s">
        <v>836</v>
      </c>
      <c r="B575" t="s">
        <v>1193</v>
      </c>
      <c r="C575" t="s">
        <v>1072</v>
      </c>
      <c r="D575" t="s">
        <v>1280</v>
      </c>
      <c r="E575" t="s">
        <v>1196</v>
      </c>
      <c r="F575" s="1">
        <v>46283.538194444453</v>
      </c>
      <c r="G575" s="1">
        <v>46283.543055555558</v>
      </c>
      <c r="H575">
        <v>7</v>
      </c>
      <c r="I575">
        <v>7</v>
      </c>
      <c r="J575" t="b">
        <v>0</v>
      </c>
      <c r="K575" t="b">
        <v>0</v>
      </c>
      <c r="L575" t="b">
        <v>0</v>
      </c>
      <c r="M575">
        <v>6</v>
      </c>
      <c r="N575" t="s">
        <v>1155</v>
      </c>
      <c r="O575" s="1">
        <v>46283.459027777782</v>
      </c>
      <c r="P575" t="b">
        <v>0</v>
      </c>
      <c r="Q575" t="s">
        <v>1138</v>
      </c>
      <c r="R575" t="s">
        <v>1120</v>
      </c>
      <c r="S575" t="s">
        <v>1121</v>
      </c>
      <c r="T575" t="s">
        <v>1180</v>
      </c>
      <c r="U575" t="s">
        <v>1172</v>
      </c>
      <c r="V575" t="s">
        <v>1151</v>
      </c>
      <c r="W575" t="s">
        <v>1257</v>
      </c>
      <c r="X575">
        <v>11</v>
      </c>
      <c r="Y575" t="s">
        <v>1142</v>
      </c>
      <c r="Z575" t="s">
        <v>1134</v>
      </c>
      <c r="AA575">
        <v>1</v>
      </c>
    </row>
    <row r="576" spans="1:27" x14ac:dyDescent="0.3">
      <c r="A576" t="s">
        <v>800</v>
      </c>
      <c r="B576" t="s">
        <v>1318</v>
      </c>
      <c r="C576" t="s">
        <v>1071</v>
      </c>
      <c r="D576" t="s">
        <v>1339</v>
      </c>
      <c r="E576" t="s">
        <v>1218</v>
      </c>
      <c r="F576" s="1">
        <v>46293.919444444437</v>
      </c>
      <c r="G576" s="1">
        <v>46293.924305555563</v>
      </c>
      <c r="H576">
        <v>5</v>
      </c>
      <c r="I576">
        <v>7</v>
      </c>
      <c r="J576" t="b">
        <v>0</v>
      </c>
      <c r="K576" t="b">
        <v>0</v>
      </c>
      <c r="L576" t="b">
        <v>0</v>
      </c>
      <c r="M576">
        <v>8</v>
      </c>
      <c r="N576" t="s">
        <v>1130</v>
      </c>
      <c r="O576" s="1">
        <v>46293.824999999997</v>
      </c>
      <c r="P576" t="b">
        <v>0</v>
      </c>
      <c r="Q576" t="s">
        <v>1169</v>
      </c>
      <c r="R576" t="s">
        <v>1120</v>
      </c>
      <c r="S576" t="s">
        <v>1152</v>
      </c>
      <c r="T576" t="s">
        <v>1122</v>
      </c>
      <c r="U576" t="s">
        <v>1145</v>
      </c>
      <c r="V576" t="s">
        <v>1284</v>
      </c>
      <c r="W576" t="s">
        <v>1257</v>
      </c>
      <c r="X576">
        <v>19</v>
      </c>
      <c r="Y576" t="s">
        <v>1185</v>
      </c>
      <c r="Z576" t="s">
        <v>1134</v>
      </c>
      <c r="AA576">
        <v>1.4</v>
      </c>
    </row>
    <row r="577" spans="1:27" x14ac:dyDescent="0.3">
      <c r="A577" t="s">
        <v>216</v>
      </c>
      <c r="B577" t="s">
        <v>1377</v>
      </c>
      <c r="C577" t="s">
        <v>1057</v>
      </c>
      <c r="D577" t="s">
        <v>1283</v>
      </c>
      <c r="E577" t="s">
        <v>1244</v>
      </c>
      <c r="F577" s="1">
        <v>46290.082638888889</v>
      </c>
      <c r="G577" s="1">
        <v>46290.087500000001</v>
      </c>
      <c r="H577">
        <v>5</v>
      </c>
      <c r="I577">
        <v>7</v>
      </c>
      <c r="J577" t="b">
        <v>0</v>
      </c>
      <c r="K577" t="b">
        <v>0</v>
      </c>
      <c r="L577" t="b">
        <v>0</v>
      </c>
      <c r="M577">
        <v>3</v>
      </c>
      <c r="N577" t="s">
        <v>1130</v>
      </c>
      <c r="O577" s="1">
        <v>46290.06527777778</v>
      </c>
      <c r="P577" t="b">
        <v>0</v>
      </c>
      <c r="Q577" t="s">
        <v>1119</v>
      </c>
      <c r="R577" t="s">
        <v>1120</v>
      </c>
      <c r="S577" t="s">
        <v>1121</v>
      </c>
      <c r="T577" t="s">
        <v>1122</v>
      </c>
      <c r="U577" t="s">
        <v>1172</v>
      </c>
      <c r="V577" t="s">
        <v>1284</v>
      </c>
      <c r="W577" t="s">
        <v>1131</v>
      </c>
      <c r="X577">
        <v>1</v>
      </c>
      <c r="Y577" t="s">
        <v>1142</v>
      </c>
      <c r="Z577" t="s">
        <v>1147</v>
      </c>
      <c r="AA577">
        <v>1.4</v>
      </c>
    </row>
    <row r="578" spans="1:27" x14ac:dyDescent="0.3">
      <c r="A578" t="s">
        <v>593</v>
      </c>
      <c r="B578" t="s">
        <v>1458</v>
      </c>
      <c r="C578" t="s">
        <v>1068</v>
      </c>
      <c r="D578" t="s">
        <v>1339</v>
      </c>
      <c r="E578" t="s">
        <v>1137</v>
      </c>
      <c r="F578" s="1">
        <v>46284.563194444447</v>
      </c>
      <c r="G578" s="1">
        <v>46284.568055555559</v>
      </c>
      <c r="H578">
        <v>6</v>
      </c>
      <c r="I578">
        <v>7</v>
      </c>
      <c r="J578" t="b">
        <v>0</v>
      </c>
      <c r="K578" t="b">
        <v>0</v>
      </c>
      <c r="L578" t="b">
        <v>0</v>
      </c>
      <c r="M578">
        <v>3</v>
      </c>
      <c r="N578" t="s">
        <v>1118</v>
      </c>
      <c r="O578" s="1">
        <v>46284.556250000001</v>
      </c>
      <c r="P578" t="b">
        <v>0</v>
      </c>
      <c r="Q578" t="s">
        <v>1138</v>
      </c>
      <c r="R578" t="s">
        <v>1139</v>
      </c>
      <c r="S578" t="s">
        <v>1132</v>
      </c>
      <c r="T578" t="s">
        <v>1122</v>
      </c>
      <c r="U578" t="s">
        <v>1123</v>
      </c>
      <c r="V578" t="s">
        <v>1284</v>
      </c>
      <c r="W578" t="s">
        <v>1257</v>
      </c>
      <c r="X578">
        <v>13</v>
      </c>
      <c r="Y578" t="s">
        <v>1173</v>
      </c>
      <c r="Z578" t="s">
        <v>1147</v>
      </c>
      <c r="AA578">
        <v>1.166666666666667</v>
      </c>
    </row>
    <row r="579" spans="1:27" x14ac:dyDescent="0.3">
      <c r="A579" t="s">
        <v>594</v>
      </c>
      <c r="B579" t="s">
        <v>1458</v>
      </c>
      <c r="C579" t="s">
        <v>1083</v>
      </c>
      <c r="D579" t="s">
        <v>1339</v>
      </c>
      <c r="E579" t="s">
        <v>1233</v>
      </c>
      <c r="F579" s="1">
        <v>46284.56527777778</v>
      </c>
      <c r="G579" s="1">
        <v>46284.570138888892</v>
      </c>
      <c r="H579">
        <v>2</v>
      </c>
      <c r="I579">
        <v>7</v>
      </c>
      <c r="J579" t="b">
        <v>0</v>
      </c>
      <c r="K579" t="b">
        <v>0</v>
      </c>
      <c r="L579" t="b">
        <v>0</v>
      </c>
      <c r="M579">
        <v>3</v>
      </c>
      <c r="N579" t="s">
        <v>1118</v>
      </c>
      <c r="O579" s="1">
        <v>46284.556250000001</v>
      </c>
      <c r="P579" t="b">
        <v>0</v>
      </c>
      <c r="Q579" t="s">
        <v>1179</v>
      </c>
      <c r="R579" t="s">
        <v>1120</v>
      </c>
      <c r="S579" t="s">
        <v>1132</v>
      </c>
      <c r="T579" t="s">
        <v>1180</v>
      </c>
      <c r="U579" t="s">
        <v>1123</v>
      </c>
      <c r="V579" t="s">
        <v>1284</v>
      </c>
      <c r="W579" t="s">
        <v>1257</v>
      </c>
      <c r="X579">
        <v>13</v>
      </c>
      <c r="Y579" t="s">
        <v>1173</v>
      </c>
      <c r="Z579" t="s">
        <v>1147</v>
      </c>
      <c r="AA579">
        <v>3.5</v>
      </c>
    </row>
    <row r="580" spans="1:27" x14ac:dyDescent="0.3">
      <c r="A580" t="s">
        <v>602</v>
      </c>
      <c r="B580" t="s">
        <v>1208</v>
      </c>
      <c r="C580" t="s">
        <v>1087</v>
      </c>
      <c r="D580" t="s">
        <v>1116</v>
      </c>
      <c r="E580" t="s">
        <v>1265</v>
      </c>
      <c r="F580" s="1">
        <v>46269.566666666673</v>
      </c>
      <c r="G580" s="1">
        <v>46269.571527777778</v>
      </c>
      <c r="H580">
        <v>4</v>
      </c>
      <c r="I580">
        <v>7</v>
      </c>
      <c r="J580" t="b">
        <v>0</v>
      </c>
      <c r="K580" t="b">
        <v>0</v>
      </c>
      <c r="L580" t="b">
        <v>0</v>
      </c>
      <c r="M580">
        <v>12</v>
      </c>
      <c r="N580" t="s">
        <v>1118</v>
      </c>
      <c r="O580" s="1">
        <v>46269.521527777782</v>
      </c>
      <c r="P580" t="b">
        <v>0</v>
      </c>
      <c r="Q580" t="s">
        <v>1179</v>
      </c>
      <c r="R580" t="s">
        <v>1139</v>
      </c>
      <c r="S580" t="s">
        <v>1157</v>
      </c>
      <c r="T580" t="s">
        <v>1145</v>
      </c>
      <c r="U580" t="s">
        <v>1247</v>
      </c>
      <c r="V580" t="s">
        <v>1124</v>
      </c>
      <c r="W580" t="s">
        <v>1125</v>
      </c>
      <c r="X580">
        <v>12</v>
      </c>
      <c r="Y580" t="s">
        <v>1142</v>
      </c>
      <c r="Z580" t="s">
        <v>1127</v>
      </c>
      <c r="AA580">
        <v>1.75</v>
      </c>
    </row>
    <row r="581" spans="1:27" x14ac:dyDescent="0.3">
      <c r="A581" t="s">
        <v>611</v>
      </c>
      <c r="B581" t="s">
        <v>1258</v>
      </c>
      <c r="C581" t="s">
        <v>1073</v>
      </c>
      <c r="D581" t="s">
        <v>1280</v>
      </c>
      <c r="E581" t="s">
        <v>1294</v>
      </c>
      <c r="F581" s="1">
        <v>46277.634027777778</v>
      </c>
      <c r="G581" s="1">
        <v>46277.638888888891</v>
      </c>
      <c r="H581">
        <v>6</v>
      </c>
      <c r="I581">
        <v>7</v>
      </c>
      <c r="J581" t="b">
        <v>0</v>
      </c>
      <c r="K581" t="b">
        <v>0</v>
      </c>
      <c r="L581" t="b">
        <v>0</v>
      </c>
      <c r="N581" t="s">
        <v>1130</v>
      </c>
      <c r="O581" s="1">
        <v>46277.556250000001</v>
      </c>
      <c r="P581" t="b">
        <v>1</v>
      </c>
      <c r="Q581" t="s">
        <v>1119</v>
      </c>
      <c r="R581" t="s">
        <v>1145</v>
      </c>
      <c r="S581" t="s">
        <v>1132</v>
      </c>
      <c r="T581" t="s">
        <v>1122</v>
      </c>
      <c r="U581" t="s">
        <v>1247</v>
      </c>
      <c r="V581" t="s">
        <v>1151</v>
      </c>
      <c r="W581" t="s">
        <v>1257</v>
      </c>
      <c r="X581">
        <v>13</v>
      </c>
      <c r="Y581" t="s">
        <v>1173</v>
      </c>
      <c r="AA581">
        <v>1.166666666666667</v>
      </c>
    </row>
    <row r="582" spans="1:27" x14ac:dyDescent="0.3">
      <c r="A582" t="s">
        <v>813</v>
      </c>
      <c r="B582" t="s">
        <v>1322</v>
      </c>
      <c r="C582" t="s">
        <v>1075</v>
      </c>
      <c r="D582" t="s">
        <v>1136</v>
      </c>
      <c r="E582" t="s">
        <v>1171</v>
      </c>
      <c r="F582" s="1">
        <v>46292.263888888891</v>
      </c>
      <c r="G582" s="1">
        <v>46292.268750000003</v>
      </c>
      <c r="H582">
        <v>1</v>
      </c>
      <c r="I582">
        <v>7</v>
      </c>
      <c r="J582" t="b">
        <v>0</v>
      </c>
      <c r="K582" t="b">
        <v>0</v>
      </c>
      <c r="L582" t="b">
        <v>0</v>
      </c>
      <c r="M582">
        <v>6</v>
      </c>
      <c r="N582" t="s">
        <v>1130</v>
      </c>
      <c r="O582" s="1">
        <v>46292.150694444441</v>
      </c>
      <c r="P582" t="b">
        <v>0</v>
      </c>
      <c r="Q582" t="s">
        <v>1119</v>
      </c>
      <c r="R582" t="s">
        <v>1131</v>
      </c>
      <c r="S582" t="s">
        <v>1121</v>
      </c>
      <c r="T582" t="s">
        <v>1122</v>
      </c>
      <c r="U582" t="s">
        <v>1172</v>
      </c>
      <c r="V582" t="s">
        <v>1141</v>
      </c>
      <c r="W582" t="s">
        <v>1125</v>
      </c>
      <c r="X582">
        <v>3</v>
      </c>
      <c r="Y582" t="s">
        <v>1133</v>
      </c>
      <c r="Z582" t="s">
        <v>1134</v>
      </c>
      <c r="AA582">
        <v>7</v>
      </c>
    </row>
    <row r="583" spans="1:27" x14ac:dyDescent="0.3">
      <c r="A583" t="s">
        <v>898</v>
      </c>
      <c r="B583" t="s">
        <v>1298</v>
      </c>
      <c r="C583" t="s">
        <v>1082</v>
      </c>
      <c r="D583" t="s">
        <v>1238</v>
      </c>
      <c r="E583" t="s">
        <v>1163</v>
      </c>
      <c r="F583" s="1">
        <v>46271.587500000001</v>
      </c>
      <c r="G583" s="1">
        <v>46271.592361111107</v>
      </c>
      <c r="H583">
        <v>1</v>
      </c>
      <c r="I583">
        <v>7</v>
      </c>
      <c r="J583" t="b">
        <v>0</v>
      </c>
      <c r="K583" t="b">
        <v>0</v>
      </c>
      <c r="L583" t="b">
        <v>0</v>
      </c>
      <c r="M583">
        <v>8</v>
      </c>
      <c r="N583" t="s">
        <v>1155</v>
      </c>
      <c r="O583" s="1">
        <v>46271.509027777778</v>
      </c>
      <c r="P583" t="b">
        <v>0</v>
      </c>
      <c r="Q583" t="s">
        <v>1119</v>
      </c>
      <c r="R583" t="s">
        <v>1131</v>
      </c>
      <c r="S583" t="s">
        <v>1132</v>
      </c>
      <c r="T583" t="s">
        <v>1122</v>
      </c>
      <c r="U583" t="s">
        <v>1145</v>
      </c>
      <c r="V583" t="s">
        <v>1151</v>
      </c>
      <c r="W583" t="s">
        <v>1131</v>
      </c>
      <c r="X583">
        <v>12</v>
      </c>
      <c r="Y583" t="s">
        <v>1133</v>
      </c>
      <c r="Z583" t="s">
        <v>1134</v>
      </c>
      <c r="AA583">
        <v>7</v>
      </c>
    </row>
    <row r="584" spans="1:27" x14ac:dyDescent="0.3">
      <c r="A584" t="s">
        <v>158</v>
      </c>
      <c r="B584" t="s">
        <v>1277</v>
      </c>
      <c r="C584" t="s">
        <v>1068</v>
      </c>
      <c r="D584" t="s">
        <v>1255</v>
      </c>
      <c r="E584" t="s">
        <v>1233</v>
      </c>
      <c r="F584" s="1">
        <v>46270.763194444437</v>
      </c>
      <c r="G584" s="1">
        <v>46270.768055555563</v>
      </c>
      <c r="H584">
        <v>6</v>
      </c>
      <c r="I584">
        <v>7</v>
      </c>
      <c r="J584" t="b">
        <v>0</v>
      </c>
      <c r="K584" t="b">
        <v>0</v>
      </c>
      <c r="L584" t="b">
        <v>0</v>
      </c>
      <c r="M584">
        <v>6</v>
      </c>
      <c r="N584" t="s">
        <v>1130</v>
      </c>
      <c r="P584" t="b">
        <v>0</v>
      </c>
      <c r="Q584" t="s">
        <v>1179</v>
      </c>
      <c r="R584" t="s">
        <v>1120</v>
      </c>
      <c r="S584" t="s">
        <v>1132</v>
      </c>
      <c r="T584" t="s">
        <v>1122</v>
      </c>
      <c r="U584" t="s">
        <v>1123</v>
      </c>
      <c r="V584" t="s">
        <v>1141</v>
      </c>
      <c r="W584" t="s">
        <v>1257</v>
      </c>
      <c r="Z584" t="s">
        <v>1134</v>
      </c>
      <c r="AA584">
        <v>1.166666666666667</v>
      </c>
    </row>
    <row r="585" spans="1:27" x14ac:dyDescent="0.3">
      <c r="A585" t="s">
        <v>385</v>
      </c>
      <c r="B585" t="s">
        <v>1459</v>
      </c>
      <c r="C585" t="s">
        <v>1069</v>
      </c>
      <c r="D585" t="s">
        <v>1238</v>
      </c>
      <c r="E585" t="s">
        <v>1117</v>
      </c>
      <c r="F585" s="1">
        <v>46287.59652777778</v>
      </c>
      <c r="G585" s="1">
        <v>46287.601388888892</v>
      </c>
      <c r="H585">
        <v>7</v>
      </c>
      <c r="I585">
        <v>7</v>
      </c>
      <c r="J585" t="b">
        <v>0</v>
      </c>
      <c r="K585" t="b">
        <v>0</v>
      </c>
      <c r="L585" t="b">
        <v>0</v>
      </c>
      <c r="M585">
        <v>5</v>
      </c>
      <c r="N585" t="s">
        <v>1118</v>
      </c>
      <c r="O585" s="1">
        <v>46287.510416666657</v>
      </c>
      <c r="P585" t="b">
        <v>0</v>
      </c>
      <c r="Q585" t="s">
        <v>1119</v>
      </c>
      <c r="R585" t="s">
        <v>1120</v>
      </c>
      <c r="S585" t="s">
        <v>1121</v>
      </c>
      <c r="T585" t="s">
        <v>1140</v>
      </c>
      <c r="U585" t="s">
        <v>1172</v>
      </c>
      <c r="V585" t="s">
        <v>1151</v>
      </c>
      <c r="W585" t="s">
        <v>1131</v>
      </c>
      <c r="X585">
        <v>12</v>
      </c>
      <c r="Y585" t="s">
        <v>1126</v>
      </c>
      <c r="Z585" t="s">
        <v>1147</v>
      </c>
      <c r="AA585">
        <v>1</v>
      </c>
    </row>
    <row r="586" spans="1:27" x14ac:dyDescent="0.3">
      <c r="A586" t="s">
        <v>388</v>
      </c>
      <c r="B586" t="s">
        <v>1285</v>
      </c>
      <c r="C586" t="s">
        <v>1069</v>
      </c>
      <c r="D586" t="s">
        <v>1339</v>
      </c>
      <c r="E586" t="s">
        <v>1182</v>
      </c>
      <c r="F586" s="1">
        <v>46282.584722222222</v>
      </c>
      <c r="G586" s="1">
        <v>46282.589583333327</v>
      </c>
      <c r="H586">
        <v>7</v>
      </c>
      <c r="I586">
        <v>7</v>
      </c>
      <c r="J586" t="b">
        <v>0</v>
      </c>
      <c r="K586" t="b">
        <v>0</v>
      </c>
      <c r="L586" t="b">
        <v>0</v>
      </c>
      <c r="M586">
        <v>20</v>
      </c>
      <c r="N586" t="s">
        <v>1130</v>
      </c>
      <c r="O586" s="1">
        <v>46282.532638888893</v>
      </c>
      <c r="P586" t="b">
        <v>0</v>
      </c>
      <c r="Q586" t="s">
        <v>1119</v>
      </c>
      <c r="R586" t="s">
        <v>1131</v>
      </c>
      <c r="S586" t="s">
        <v>1121</v>
      </c>
      <c r="T586" t="s">
        <v>1140</v>
      </c>
      <c r="U586" t="s">
        <v>1172</v>
      </c>
      <c r="V586" t="s">
        <v>1284</v>
      </c>
      <c r="W586" t="s">
        <v>1257</v>
      </c>
      <c r="X586">
        <v>12</v>
      </c>
      <c r="Y586" t="s">
        <v>1146</v>
      </c>
      <c r="Z586" t="s">
        <v>1127</v>
      </c>
      <c r="AA586">
        <v>1</v>
      </c>
    </row>
    <row r="587" spans="1:27" x14ac:dyDescent="0.3">
      <c r="A587" t="s">
        <v>396</v>
      </c>
      <c r="B587" t="s">
        <v>1311</v>
      </c>
      <c r="C587" t="s">
        <v>1075</v>
      </c>
      <c r="D587" t="s">
        <v>1280</v>
      </c>
      <c r="E587" t="s">
        <v>1117</v>
      </c>
      <c r="F587" s="1">
        <v>46287.654166666667</v>
      </c>
      <c r="G587" s="1">
        <v>46287.65902777778</v>
      </c>
      <c r="H587">
        <v>7</v>
      </c>
      <c r="I587">
        <v>7</v>
      </c>
      <c r="J587" t="b">
        <v>0</v>
      </c>
      <c r="K587" t="b">
        <v>0</v>
      </c>
      <c r="L587" t="b">
        <v>0</v>
      </c>
      <c r="M587">
        <v>6</v>
      </c>
      <c r="N587" t="s">
        <v>1118</v>
      </c>
      <c r="O587" s="1">
        <v>46287.543749999997</v>
      </c>
      <c r="P587" t="b">
        <v>0</v>
      </c>
      <c r="Q587" t="s">
        <v>1119</v>
      </c>
      <c r="R587" t="s">
        <v>1120</v>
      </c>
      <c r="S587" t="s">
        <v>1121</v>
      </c>
      <c r="T587" t="s">
        <v>1122</v>
      </c>
      <c r="U587" t="s">
        <v>1172</v>
      </c>
      <c r="V587" t="s">
        <v>1151</v>
      </c>
      <c r="W587" t="s">
        <v>1257</v>
      </c>
      <c r="X587">
        <v>13</v>
      </c>
      <c r="Y587" t="s">
        <v>1126</v>
      </c>
      <c r="Z587" t="s">
        <v>1134</v>
      </c>
      <c r="AA587">
        <v>1</v>
      </c>
    </row>
    <row r="588" spans="1:27" x14ac:dyDescent="0.3">
      <c r="A588" t="s">
        <v>516</v>
      </c>
      <c r="B588" t="s">
        <v>1367</v>
      </c>
      <c r="C588" t="s">
        <v>1059</v>
      </c>
      <c r="D588" t="s">
        <v>1280</v>
      </c>
      <c r="E588" t="s">
        <v>1240</v>
      </c>
      <c r="F588" s="1">
        <v>46278.498611111107</v>
      </c>
      <c r="G588" s="1">
        <v>46278.503472222219</v>
      </c>
      <c r="H588">
        <v>4</v>
      </c>
      <c r="I588">
        <v>7</v>
      </c>
      <c r="J588" t="b">
        <v>0</v>
      </c>
      <c r="K588" t="b">
        <v>0</v>
      </c>
      <c r="L588" t="b">
        <v>0</v>
      </c>
      <c r="M588">
        <v>15</v>
      </c>
      <c r="N588" t="s">
        <v>1155</v>
      </c>
      <c r="O588" s="1">
        <v>46278.393055555563</v>
      </c>
      <c r="P588" t="b">
        <v>0</v>
      </c>
      <c r="Q588" t="s">
        <v>1156</v>
      </c>
      <c r="R588" t="s">
        <v>1120</v>
      </c>
      <c r="S588" t="s">
        <v>1145</v>
      </c>
      <c r="T588" t="s">
        <v>1122</v>
      </c>
      <c r="U588" t="s">
        <v>1172</v>
      </c>
      <c r="V588" t="s">
        <v>1151</v>
      </c>
      <c r="W588" t="s">
        <v>1257</v>
      </c>
      <c r="X588">
        <v>9</v>
      </c>
      <c r="Y588" t="s">
        <v>1133</v>
      </c>
      <c r="Z588" t="s">
        <v>1127</v>
      </c>
      <c r="AA588">
        <v>1.75</v>
      </c>
    </row>
    <row r="589" spans="1:27" x14ac:dyDescent="0.3">
      <c r="A589" t="s">
        <v>151</v>
      </c>
      <c r="B589" t="s">
        <v>1286</v>
      </c>
      <c r="C589" t="s">
        <v>1084</v>
      </c>
      <c r="D589" t="s">
        <v>1238</v>
      </c>
      <c r="E589" t="s">
        <v>1154</v>
      </c>
      <c r="F589" s="1">
        <v>46290.377083333333</v>
      </c>
      <c r="G589" s="1">
        <v>46290.381944444453</v>
      </c>
      <c r="H589">
        <v>4</v>
      </c>
      <c r="I589">
        <v>7</v>
      </c>
      <c r="J589" t="b">
        <v>0</v>
      </c>
      <c r="K589" t="b">
        <v>0</v>
      </c>
      <c r="L589" t="b">
        <v>0</v>
      </c>
      <c r="M589">
        <v>15</v>
      </c>
      <c r="N589" t="s">
        <v>1118</v>
      </c>
      <c r="O589" s="1">
        <v>46290.302777777782</v>
      </c>
      <c r="P589" t="b">
        <v>0</v>
      </c>
      <c r="Q589" t="s">
        <v>1156</v>
      </c>
      <c r="R589" t="s">
        <v>1131</v>
      </c>
      <c r="S589" t="s">
        <v>1157</v>
      </c>
      <c r="T589" t="s">
        <v>1122</v>
      </c>
      <c r="U589" t="s">
        <v>1247</v>
      </c>
      <c r="V589" t="s">
        <v>1151</v>
      </c>
      <c r="W589" t="s">
        <v>1131</v>
      </c>
      <c r="X589">
        <v>7</v>
      </c>
      <c r="Y589" t="s">
        <v>1142</v>
      </c>
      <c r="Z589" t="s">
        <v>1127</v>
      </c>
      <c r="AA589">
        <v>1.75</v>
      </c>
    </row>
    <row r="590" spans="1:27" x14ac:dyDescent="0.3">
      <c r="A590" t="s">
        <v>904</v>
      </c>
      <c r="B590" t="s">
        <v>1460</v>
      </c>
      <c r="C590" t="s">
        <v>1068</v>
      </c>
      <c r="D590" t="s">
        <v>1280</v>
      </c>
      <c r="E590" t="s">
        <v>1200</v>
      </c>
      <c r="F590" s="1">
        <v>46280.293749999997</v>
      </c>
      <c r="G590" s="1">
        <v>46280.298611111109</v>
      </c>
      <c r="H590">
        <v>1</v>
      </c>
      <c r="I590">
        <v>7</v>
      </c>
      <c r="J590" t="b">
        <v>0</v>
      </c>
      <c r="K590" t="b">
        <v>0</v>
      </c>
      <c r="L590" t="b">
        <v>0</v>
      </c>
      <c r="M590">
        <v>4</v>
      </c>
      <c r="N590" t="s">
        <v>1118</v>
      </c>
      <c r="O590" s="1">
        <v>46280.178472222222</v>
      </c>
      <c r="P590" t="b">
        <v>0</v>
      </c>
      <c r="Q590" t="s">
        <v>1156</v>
      </c>
      <c r="R590" t="s">
        <v>1139</v>
      </c>
      <c r="S590" t="s">
        <v>1132</v>
      </c>
      <c r="T590" t="s">
        <v>1122</v>
      </c>
      <c r="U590" t="s">
        <v>1123</v>
      </c>
      <c r="V590" t="s">
        <v>1151</v>
      </c>
      <c r="W590" t="s">
        <v>1257</v>
      </c>
      <c r="X590">
        <v>4</v>
      </c>
      <c r="Y590" t="s">
        <v>1126</v>
      </c>
      <c r="Z590" t="s">
        <v>1147</v>
      </c>
      <c r="AA590">
        <v>7</v>
      </c>
    </row>
    <row r="591" spans="1:27" x14ac:dyDescent="0.3">
      <c r="A591" t="s">
        <v>906</v>
      </c>
      <c r="B591" t="s">
        <v>1269</v>
      </c>
      <c r="C591" t="s">
        <v>1058</v>
      </c>
      <c r="D591" t="s">
        <v>1283</v>
      </c>
      <c r="E591" t="s">
        <v>1309</v>
      </c>
      <c r="F591" s="1">
        <v>46284.059027777781</v>
      </c>
      <c r="G591" s="1">
        <v>46284.063888888893</v>
      </c>
      <c r="H591">
        <v>5</v>
      </c>
      <c r="I591">
        <v>7</v>
      </c>
      <c r="J591" t="b">
        <v>0</v>
      </c>
      <c r="K591" t="b">
        <v>0</v>
      </c>
      <c r="L591" t="b">
        <v>0</v>
      </c>
      <c r="M591">
        <v>8</v>
      </c>
      <c r="N591" t="s">
        <v>1118</v>
      </c>
      <c r="O591" s="1">
        <v>46283.953472222223</v>
      </c>
      <c r="P591" t="b">
        <v>0</v>
      </c>
      <c r="Q591" t="s">
        <v>1119</v>
      </c>
      <c r="R591" t="s">
        <v>1120</v>
      </c>
      <c r="S591" t="s">
        <v>1157</v>
      </c>
      <c r="T591" t="s">
        <v>1122</v>
      </c>
      <c r="U591" t="s">
        <v>1145</v>
      </c>
      <c r="V591" t="s">
        <v>1284</v>
      </c>
      <c r="W591" t="s">
        <v>1131</v>
      </c>
      <c r="X591">
        <v>22</v>
      </c>
      <c r="Y591" t="s">
        <v>1142</v>
      </c>
      <c r="Z591" t="s">
        <v>1134</v>
      </c>
      <c r="AA591">
        <v>1.4</v>
      </c>
    </row>
    <row r="592" spans="1:27" x14ac:dyDescent="0.3">
      <c r="A592" t="s">
        <v>907</v>
      </c>
      <c r="B592" t="s">
        <v>1269</v>
      </c>
      <c r="C592" t="s">
        <v>1059</v>
      </c>
      <c r="D592" t="s">
        <v>1116</v>
      </c>
      <c r="E592" t="s">
        <v>1225</v>
      </c>
      <c r="F592" s="1">
        <v>46284.006944444453</v>
      </c>
      <c r="G592" s="1">
        <v>46284.011805555558</v>
      </c>
      <c r="H592">
        <v>1</v>
      </c>
      <c r="I592">
        <v>7</v>
      </c>
      <c r="J592" t="b">
        <v>0</v>
      </c>
      <c r="K592" t="b">
        <v>0</v>
      </c>
      <c r="L592" t="b">
        <v>0</v>
      </c>
      <c r="M592">
        <v>8</v>
      </c>
      <c r="N592" t="s">
        <v>1118</v>
      </c>
      <c r="O592" s="1">
        <v>46283.953472222223</v>
      </c>
      <c r="P592" t="b">
        <v>0</v>
      </c>
      <c r="Q592" t="s">
        <v>1151</v>
      </c>
      <c r="R592" t="s">
        <v>1120</v>
      </c>
      <c r="S592" t="s">
        <v>1152</v>
      </c>
      <c r="T592" t="s">
        <v>1122</v>
      </c>
      <c r="U592" t="s">
        <v>1172</v>
      </c>
      <c r="V592" t="s">
        <v>1124</v>
      </c>
      <c r="W592" t="s">
        <v>1125</v>
      </c>
      <c r="X592">
        <v>22</v>
      </c>
      <c r="Y592" t="s">
        <v>1142</v>
      </c>
      <c r="Z592" t="s">
        <v>1134</v>
      </c>
      <c r="AA592">
        <v>7</v>
      </c>
    </row>
    <row r="593" spans="1:27" x14ac:dyDescent="0.3">
      <c r="A593" t="s">
        <v>788</v>
      </c>
      <c r="B593" t="s">
        <v>1135</v>
      </c>
      <c r="C593" t="s">
        <v>1085</v>
      </c>
      <c r="D593" t="s">
        <v>1116</v>
      </c>
      <c r="E593" t="s">
        <v>1332</v>
      </c>
      <c r="F593" s="1">
        <v>46269.681250000001</v>
      </c>
      <c r="G593" s="1">
        <v>46269.686111111107</v>
      </c>
      <c r="H593">
        <v>5</v>
      </c>
      <c r="I593">
        <v>7</v>
      </c>
      <c r="J593" t="b">
        <v>0</v>
      </c>
      <c r="K593" t="b">
        <v>0</v>
      </c>
      <c r="L593" t="b">
        <v>0</v>
      </c>
      <c r="M593">
        <v>15</v>
      </c>
      <c r="N593" t="s">
        <v>1118</v>
      </c>
      <c r="O593" s="1">
        <v>46269.660416666673</v>
      </c>
      <c r="P593" t="b">
        <v>0</v>
      </c>
      <c r="Q593" t="s">
        <v>1179</v>
      </c>
      <c r="R593" t="s">
        <v>1120</v>
      </c>
      <c r="S593" t="s">
        <v>1132</v>
      </c>
      <c r="T593" t="s">
        <v>1122</v>
      </c>
      <c r="U593" t="s">
        <v>1247</v>
      </c>
      <c r="V593" t="s">
        <v>1124</v>
      </c>
      <c r="W593" t="s">
        <v>1125</v>
      </c>
      <c r="X593">
        <v>15</v>
      </c>
      <c r="Y593" t="s">
        <v>1142</v>
      </c>
      <c r="Z593" t="s">
        <v>1127</v>
      </c>
      <c r="AA593">
        <v>1.4</v>
      </c>
    </row>
    <row r="594" spans="1:27" x14ac:dyDescent="0.3">
      <c r="A594" t="s">
        <v>619</v>
      </c>
      <c r="B594" t="s">
        <v>1443</v>
      </c>
      <c r="C594" t="s">
        <v>1063</v>
      </c>
      <c r="D594" t="s">
        <v>1280</v>
      </c>
      <c r="E594" t="s">
        <v>1249</v>
      </c>
      <c r="F594" s="1">
        <v>46288.101388888892</v>
      </c>
      <c r="G594" s="1">
        <v>46288.106249999997</v>
      </c>
      <c r="H594">
        <v>5</v>
      </c>
      <c r="I594">
        <v>7</v>
      </c>
      <c r="J594" t="b">
        <v>0</v>
      </c>
      <c r="K594" t="b">
        <v>0</v>
      </c>
      <c r="L594" t="b">
        <v>0</v>
      </c>
      <c r="M594">
        <v>5</v>
      </c>
      <c r="N594" t="s">
        <v>1168</v>
      </c>
      <c r="O594" s="1">
        <v>46288.077777777777</v>
      </c>
      <c r="P594" t="b">
        <v>0</v>
      </c>
      <c r="Q594" t="s">
        <v>1169</v>
      </c>
      <c r="R594" t="s">
        <v>1131</v>
      </c>
      <c r="S594" t="s">
        <v>1157</v>
      </c>
      <c r="T594" t="s">
        <v>1122</v>
      </c>
      <c r="U594" t="s">
        <v>1172</v>
      </c>
      <c r="V594" t="s">
        <v>1151</v>
      </c>
      <c r="W594" t="s">
        <v>1257</v>
      </c>
      <c r="X594">
        <v>1</v>
      </c>
      <c r="Y594" t="s">
        <v>1161</v>
      </c>
      <c r="Z594" t="s">
        <v>1147</v>
      </c>
      <c r="AA594">
        <v>1.4</v>
      </c>
    </row>
    <row r="595" spans="1:27" x14ac:dyDescent="0.3">
      <c r="A595" t="s">
        <v>305</v>
      </c>
      <c r="B595" t="s">
        <v>1128</v>
      </c>
      <c r="C595" t="s">
        <v>1071</v>
      </c>
      <c r="D595" t="s">
        <v>1238</v>
      </c>
      <c r="E595" t="s">
        <v>1192</v>
      </c>
      <c r="F595" s="1">
        <v>46285.853472222218</v>
      </c>
      <c r="G595" s="1">
        <v>46285.85833333333</v>
      </c>
      <c r="H595">
        <v>1</v>
      </c>
      <c r="I595">
        <v>7</v>
      </c>
      <c r="J595" t="b">
        <v>0</v>
      </c>
      <c r="K595" t="b">
        <v>0</v>
      </c>
      <c r="L595" t="b">
        <v>0</v>
      </c>
      <c r="M595">
        <v>6</v>
      </c>
      <c r="N595" t="s">
        <v>1130</v>
      </c>
      <c r="O595" s="1">
        <v>46285.751388888893</v>
      </c>
      <c r="P595" t="b">
        <v>0</v>
      </c>
      <c r="Q595" t="s">
        <v>1151</v>
      </c>
      <c r="R595" t="s">
        <v>1139</v>
      </c>
      <c r="S595" t="s">
        <v>1132</v>
      </c>
      <c r="T595" t="s">
        <v>1122</v>
      </c>
      <c r="U595" t="s">
        <v>1145</v>
      </c>
      <c r="V595" t="s">
        <v>1151</v>
      </c>
      <c r="W595" t="s">
        <v>1131</v>
      </c>
      <c r="X595">
        <v>18</v>
      </c>
      <c r="Y595" t="s">
        <v>1133</v>
      </c>
      <c r="Z595" t="s">
        <v>1134</v>
      </c>
      <c r="AA595">
        <v>7</v>
      </c>
    </row>
    <row r="596" spans="1:27" x14ac:dyDescent="0.3">
      <c r="A596" t="s">
        <v>308</v>
      </c>
      <c r="B596" t="s">
        <v>1350</v>
      </c>
      <c r="C596" t="s">
        <v>1078</v>
      </c>
      <c r="D596" t="s">
        <v>1283</v>
      </c>
      <c r="E596" t="s">
        <v>1209</v>
      </c>
      <c r="F596" s="1">
        <v>46277.318749999999</v>
      </c>
      <c r="G596" s="1">
        <v>46277.323611111111</v>
      </c>
      <c r="H596">
        <v>6</v>
      </c>
      <c r="I596">
        <v>7</v>
      </c>
      <c r="J596" t="b">
        <v>0</v>
      </c>
      <c r="K596" t="b">
        <v>0</v>
      </c>
      <c r="L596" t="b">
        <v>0</v>
      </c>
      <c r="M596">
        <v>8</v>
      </c>
      <c r="N596" t="s">
        <v>1130</v>
      </c>
      <c r="O596" s="1">
        <v>46277.207638888889</v>
      </c>
      <c r="P596" t="b">
        <v>0</v>
      </c>
      <c r="Q596" t="s">
        <v>1138</v>
      </c>
      <c r="R596" t="s">
        <v>1131</v>
      </c>
      <c r="S596" t="s">
        <v>1132</v>
      </c>
      <c r="T596" t="s">
        <v>1145</v>
      </c>
      <c r="U596" t="s">
        <v>1172</v>
      </c>
      <c r="V596" t="s">
        <v>1284</v>
      </c>
      <c r="W596" t="s">
        <v>1131</v>
      </c>
      <c r="X596">
        <v>4</v>
      </c>
      <c r="Y596" t="s">
        <v>1173</v>
      </c>
      <c r="Z596" t="s">
        <v>1134</v>
      </c>
      <c r="AA596">
        <v>1.166666666666667</v>
      </c>
    </row>
    <row r="597" spans="1:27" x14ac:dyDescent="0.3">
      <c r="A597" t="s">
        <v>312</v>
      </c>
      <c r="B597" t="s">
        <v>1350</v>
      </c>
      <c r="C597" t="s">
        <v>1079</v>
      </c>
      <c r="D597" t="s">
        <v>1238</v>
      </c>
      <c r="E597" t="s">
        <v>1227</v>
      </c>
      <c r="F597" s="1">
        <v>46277.210416666669</v>
      </c>
      <c r="G597" s="1">
        <v>46277.215277777781</v>
      </c>
      <c r="H597">
        <v>4</v>
      </c>
      <c r="I597">
        <v>7</v>
      </c>
      <c r="J597" t="b">
        <v>0</v>
      </c>
      <c r="K597" t="b">
        <v>0</v>
      </c>
      <c r="L597" t="b">
        <v>0</v>
      </c>
      <c r="M597">
        <v>8</v>
      </c>
      <c r="N597" t="s">
        <v>1130</v>
      </c>
      <c r="O597" s="1">
        <v>46277.207638888889</v>
      </c>
      <c r="P597" t="b">
        <v>0</v>
      </c>
      <c r="Q597" t="s">
        <v>1145</v>
      </c>
      <c r="R597" t="s">
        <v>1131</v>
      </c>
      <c r="S597" t="s">
        <v>1121</v>
      </c>
      <c r="T597" t="s">
        <v>1145</v>
      </c>
      <c r="U597" t="s">
        <v>1123</v>
      </c>
      <c r="V597" t="s">
        <v>1151</v>
      </c>
      <c r="W597" t="s">
        <v>1131</v>
      </c>
      <c r="X597">
        <v>4</v>
      </c>
      <c r="Y597" t="s">
        <v>1173</v>
      </c>
      <c r="Z597" t="s">
        <v>1134</v>
      </c>
      <c r="AA597">
        <v>1.75</v>
      </c>
    </row>
    <row r="598" spans="1:27" x14ac:dyDescent="0.3">
      <c r="A598" t="s">
        <v>623</v>
      </c>
      <c r="B598" t="s">
        <v>1402</v>
      </c>
      <c r="C598" t="s">
        <v>1084</v>
      </c>
      <c r="D598" t="s">
        <v>1255</v>
      </c>
      <c r="E598" t="s">
        <v>1340</v>
      </c>
      <c r="F598" s="1">
        <v>46289.057638888888</v>
      </c>
      <c r="G598" s="1">
        <v>46289.0625</v>
      </c>
      <c r="H598">
        <v>1</v>
      </c>
      <c r="I598">
        <v>7</v>
      </c>
      <c r="J598" t="b">
        <v>0</v>
      </c>
      <c r="K598" t="b">
        <v>0</v>
      </c>
      <c r="L598" t="b">
        <v>0</v>
      </c>
      <c r="M598">
        <v>12</v>
      </c>
      <c r="N598" t="s">
        <v>1118</v>
      </c>
      <c r="O598" s="1">
        <v>46289.047222222223</v>
      </c>
      <c r="P598" t="b">
        <v>0</v>
      </c>
      <c r="Q598" t="s">
        <v>1145</v>
      </c>
      <c r="R598" t="s">
        <v>1131</v>
      </c>
      <c r="S598" t="s">
        <v>1121</v>
      </c>
      <c r="T598" t="s">
        <v>1122</v>
      </c>
      <c r="U598" t="s">
        <v>1247</v>
      </c>
      <c r="V598" t="s">
        <v>1141</v>
      </c>
      <c r="W598" t="s">
        <v>1257</v>
      </c>
      <c r="X598">
        <v>1</v>
      </c>
      <c r="Y598" t="s">
        <v>1146</v>
      </c>
      <c r="Z598" t="s">
        <v>1127</v>
      </c>
      <c r="AA598">
        <v>7</v>
      </c>
    </row>
    <row r="599" spans="1:27" x14ac:dyDescent="0.3">
      <c r="A599" t="s">
        <v>229</v>
      </c>
      <c r="B599" t="s">
        <v>1160</v>
      </c>
      <c r="C599" t="s">
        <v>1081</v>
      </c>
      <c r="D599" t="s">
        <v>1136</v>
      </c>
      <c r="E599" t="s">
        <v>1216</v>
      </c>
      <c r="F599" s="1">
        <v>46274.550694444442</v>
      </c>
      <c r="G599" s="1">
        <v>46274.555555555547</v>
      </c>
      <c r="H599">
        <v>4</v>
      </c>
      <c r="I599">
        <v>7</v>
      </c>
      <c r="J599" t="b">
        <v>0</v>
      </c>
      <c r="K599" t="b">
        <v>0</v>
      </c>
      <c r="L599" t="b">
        <v>0</v>
      </c>
      <c r="M599">
        <v>10</v>
      </c>
      <c r="N599" t="s">
        <v>1155</v>
      </c>
      <c r="O599" s="1">
        <v>46274.531944444447</v>
      </c>
      <c r="P599" t="b">
        <v>0</v>
      </c>
      <c r="Q599" t="s">
        <v>1119</v>
      </c>
      <c r="R599" t="s">
        <v>1131</v>
      </c>
      <c r="S599" t="s">
        <v>1157</v>
      </c>
      <c r="T599" t="s">
        <v>1180</v>
      </c>
      <c r="U599" t="s">
        <v>1247</v>
      </c>
      <c r="V599" t="s">
        <v>1141</v>
      </c>
      <c r="W599" t="s">
        <v>1125</v>
      </c>
      <c r="X599">
        <v>12</v>
      </c>
      <c r="Y599" t="s">
        <v>1161</v>
      </c>
      <c r="Z599" t="s">
        <v>1134</v>
      </c>
      <c r="AA599">
        <v>1.75</v>
      </c>
    </row>
    <row r="600" spans="1:27" x14ac:dyDescent="0.3">
      <c r="A600" t="s">
        <v>230</v>
      </c>
      <c r="B600" t="s">
        <v>1160</v>
      </c>
      <c r="C600" t="s">
        <v>1063</v>
      </c>
      <c r="D600" t="s">
        <v>1238</v>
      </c>
      <c r="E600" t="s">
        <v>1154</v>
      </c>
      <c r="F600" s="1">
        <v>46274.573611111111</v>
      </c>
      <c r="G600" s="1">
        <v>46274.578472222223</v>
      </c>
      <c r="H600">
        <v>1</v>
      </c>
      <c r="I600">
        <v>7</v>
      </c>
      <c r="J600" t="b">
        <v>0</v>
      </c>
      <c r="K600" t="b">
        <v>0</v>
      </c>
      <c r="L600" t="b">
        <v>0</v>
      </c>
      <c r="M600">
        <v>10</v>
      </c>
      <c r="N600" t="s">
        <v>1155</v>
      </c>
      <c r="O600" s="1">
        <v>46274.531944444447</v>
      </c>
      <c r="P600" t="b">
        <v>0</v>
      </c>
      <c r="Q600" t="s">
        <v>1156</v>
      </c>
      <c r="R600" t="s">
        <v>1131</v>
      </c>
      <c r="S600" t="s">
        <v>1157</v>
      </c>
      <c r="T600" t="s">
        <v>1122</v>
      </c>
      <c r="U600" t="s">
        <v>1172</v>
      </c>
      <c r="V600" t="s">
        <v>1151</v>
      </c>
      <c r="W600" t="s">
        <v>1131</v>
      </c>
      <c r="X600">
        <v>12</v>
      </c>
      <c r="Y600" t="s">
        <v>1161</v>
      </c>
      <c r="Z600" t="s">
        <v>1134</v>
      </c>
      <c r="AA600">
        <v>7</v>
      </c>
    </row>
    <row r="601" spans="1:27" x14ac:dyDescent="0.3">
      <c r="A601" t="s">
        <v>239</v>
      </c>
      <c r="B601" t="s">
        <v>1440</v>
      </c>
      <c r="C601" t="s">
        <v>1074</v>
      </c>
      <c r="D601" t="s">
        <v>1238</v>
      </c>
      <c r="E601" t="s">
        <v>1309</v>
      </c>
      <c r="F601" s="1">
        <v>46272.724305555559</v>
      </c>
      <c r="G601" s="1">
        <v>46272.729166666657</v>
      </c>
      <c r="H601">
        <v>3</v>
      </c>
      <c r="I601">
        <v>7</v>
      </c>
      <c r="J601" t="b">
        <v>0</v>
      </c>
      <c r="K601" t="b">
        <v>0</v>
      </c>
      <c r="L601" t="b">
        <v>0</v>
      </c>
      <c r="M601">
        <v>3</v>
      </c>
      <c r="N601" t="s">
        <v>1130</v>
      </c>
      <c r="O601" s="1">
        <v>46272.611111111109</v>
      </c>
      <c r="P601" t="b">
        <v>0</v>
      </c>
      <c r="Q601" t="s">
        <v>1119</v>
      </c>
      <c r="R601" t="s">
        <v>1120</v>
      </c>
      <c r="S601" t="s">
        <v>1157</v>
      </c>
      <c r="T601" t="s">
        <v>1145</v>
      </c>
      <c r="U601" t="s">
        <v>1145</v>
      </c>
      <c r="V601" t="s">
        <v>1151</v>
      </c>
      <c r="W601" t="s">
        <v>1131</v>
      </c>
      <c r="X601">
        <v>14</v>
      </c>
      <c r="Y601" t="s">
        <v>1185</v>
      </c>
      <c r="Z601" t="s">
        <v>1147</v>
      </c>
      <c r="AA601">
        <v>2.333333333333333</v>
      </c>
    </row>
    <row r="602" spans="1:27" x14ac:dyDescent="0.3">
      <c r="A602" t="s">
        <v>241</v>
      </c>
      <c r="B602" t="s">
        <v>1461</v>
      </c>
      <c r="C602" t="s">
        <v>1057</v>
      </c>
      <c r="D602" t="s">
        <v>1280</v>
      </c>
      <c r="E602" t="s">
        <v>1274</v>
      </c>
      <c r="F602" s="1">
        <v>46277.698611111111</v>
      </c>
      <c r="G602" s="1">
        <v>46277.703472222223</v>
      </c>
      <c r="H602">
        <v>6</v>
      </c>
      <c r="I602">
        <v>7</v>
      </c>
      <c r="J602" t="b">
        <v>0</v>
      </c>
      <c r="K602" t="b">
        <v>0</v>
      </c>
      <c r="L602" t="b">
        <v>0</v>
      </c>
      <c r="M602">
        <v>1</v>
      </c>
      <c r="N602" t="s">
        <v>1118</v>
      </c>
      <c r="O602" s="1">
        <v>46277.636805555558</v>
      </c>
      <c r="P602" t="b">
        <v>0</v>
      </c>
      <c r="Q602" t="s">
        <v>1138</v>
      </c>
      <c r="R602" t="s">
        <v>1120</v>
      </c>
      <c r="S602" t="s">
        <v>1157</v>
      </c>
      <c r="T602" t="s">
        <v>1122</v>
      </c>
      <c r="U602" t="s">
        <v>1172</v>
      </c>
      <c r="V602" t="s">
        <v>1151</v>
      </c>
      <c r="W602" t="s">
        <v>1257</v>
      </c>
      <c r="X602">
        <v>15</v>
      </c>
      <c r="Y602" t="s">
        <v>1173</v>
      </c>
      <c r="Z602" t="s">
        <v>1147</v>
      </c>
      <c r="AA602">
        <v>1.166666666666667</v>
      </c>
    </row>
    <row r="603" spans="1:27" x14ac:dyDescent="0.3">
      <c r="A603" t="s">
        <v>242</v>
      </c>
      <c r="B603" t="s">
        <v>1428</v>
      </c>
      <c r="C603" t="s">
        <v>1061</v>
      </c>
      <c r="D603" t="s">
        <v>1280</v>
      </c>
      <c r="E603" t="s">
        <v>1189</v>
      </c>
      <c r="F603" s="1">
        <v>46283.324999999997</v>
      </c>
      <c r="G603" s="1">
        <v>46283.329861111109</v>
      </c>
      <c r="H603">
        <v>6</v>
      </c>
      <c r="I603">
        <v>7</v>
      </c>
      <c r="J603" t="b">
        <v>0</v>
      </c>
      <c r="K603" t="b">
        <v>0</v>
      </c>
      <c r="L603" t="b">
        <v>0</v>
      </c>
      <c r="M603">
        <v>20</v>
      </c>
      <c r="N603" t="s">
        <v>1130</v>
      </c>
      <c r="O603" s="1">
        <v>46283.30972222222</v>
      </c>
      <c r="P603" t="b">
        <v>0</v>
      </c>
      <c r="Q603" t="s">
        <v>1138</v>
      </c>
      <c r="R603" t="s">
        <v>1131</v>
      </c>
      <c r="S603" t="s">
        <v>1152</v>
      </c>
      <c r="T603" t="s">
        <v>1145</v>
      </c>
      <c r="U603" t="s">
        <v>1172</v>
      </c>
      <c r="V603" t="s">
        <v>1151</v>
      </c>
      <c r="W603" t="s">
        <v>1257</v>
      </c>
      <c r="X603">
        <v>7</v>
      </c>
      <c r="Y603" t="s">
        <v>1142</v>
      </c>
      <c r="Z603" t="s">
        <v>1127</v>
      </c>
      <c r="AA603">
        <v>1.166666666666667</v>
      </c>
    </row>
    <row r="604" spans="1:27" x14ac:dyDescent="0.3">
      <c r="A604" t="s">
        <v>922</v>
      </c>
      <c r="B604" t="s">
        <v>1316</v>
      </c>
      <c r="C604" t="s">
        <v>1057</v>
      </c>
      <c r="D604" t="s">
        <v>1238</v>
      </c>
      <c r="E604" t="s">
        <v>1398</v>
      </c>
      <c r="F604" s="1">
        <v>46288.943749999999</v>
      </c>
      <c r="G604" s="1">
        <v>46288.948611111111</v>
      </c>
      <c r="H604">
        <v>5</v>
      </c>
      <c r="I604">
        <v>7</v>
      </c>
      <c r="J604" t="b">
        <v>0</v>
      </c>
      <c r="K604" t="b">
        <v>0</v>
      </c>
      <c r="L604" t="b">
        <v>0</v>
      </c>
      <c r="M604">
        <v>6</v>
      </c>
      <c r="N604" t="s">
        <v>1118</v>
      </c>
      <c r="O604" s="1">
        <v>46288.84097222222</v>
      </c>
      <c r="P604" t="b">
        <v>0</v>
      </c>
      <c r="Q604" t="s">
        <v>1169</v>
      </c>
      <c r="R604" t="s">
        <v>1120</v>
      </c>
      <c r="S604" t="s">
        <v>1132</v>
      </c>
      <c r="T604" t="s">
        <v>1122</v>
      </c>
      <c r="U604" t="s">
        <v>1172</v>
      </c>
      <c r="V604" t="s">
        <v>1151</v>
      </c>
      <c r="W604" t="s">
        <v>1131</v>
      </c>
      <c r="X604">
        <v>20</v>
      </c>
      <c r="Y604" t="s">
        <v>1161</v>
      </c>
      <c r="Z604" t="s">
        <v>1134</v>
      </c>
      <c r="AA604">
        <v>1.4</v>
      </c>
    </row>
    <row r="605" spans="1:27" x14ac:dyDescent="0.3">
      <c r="A605" t="s">
        <v>923</v>
      </c>
      <c r="B605" t="s">
        <v>1462</v>
      </c>
      <c r="C605" t="s">
        <v>1058</v>
      </c>
      <c r="D605" t="s">
        <v>1238</v>
      </c>
      <c r="E605" t="s">
        <v>1159</v>
      </c>
      <c r="F605" s="1">
        <v>46278.740972222222</v>
      </c>
      <c r="G605" s="1">
        <v>46278.745833333327</v>
      </c>
      <c r="H605">
        <v>2</v>
      </c>
      <c r="I605">
        <v>7</v>
      </c>
      <c r="J605" t="b">
        <v>0</v>
      </c>
      <c r="K605" t="b">
        <v>0</v>
      </c>
      <c r="L605" t="b">
        <v>0</v>
      </c>
      <c r="M605">
        <v>1</v>
      </c>
      <c r="N605" t="s">
        <v>1168</v>
      </c>
      <c r="P605" t="b">
        <v>0</v>
      </c>
      <c r="Q605" t="s">
        <v>1138</v>
      </c>
      <c r="R605" t="s">
        <v>1120</v>
      </c>
      <c r="S605" t="s">
        <v>1132</v>
      </c>
      <c r="T605" t="s">
        <v>1122</v>
      </c>
      <c r="U605" t="s">
        <v>1145</v>
      </c>
      <c r="V605" t="s">
        <v>1151</v>
      </c>
      <c r="W605" t="s">
        <v>1131</v>
      </c>
      <c r="Z605" t="s">
        <v>1147</v>
      </c>
      <c r="AA605">
        <v>3.5</v>
      </c>
    </row>
    <row r="606" spans="1:27" x14ac:dyDescent="0.3">
      <c r="A606" t="s">
        <v>924</v>
      </c>
      <c r="B606" t="s">
        <v>1439</v>
      </c>
      <c r="C606" t="s">
        <v>1057</v>
      </c>
      <c r="D606" t="s">
        <v>1339</v>
      </c>
      <c r="E606" t="s">
        <v>1253</v>
      </c>
      <c r="F606" s="1">
        <v>46276.394444444442</v>
      </c>
      <c r="G606" s="1">
        <v>46276.399305555547</v>
      </c>
      <c r="H606">
        <v>6</v>
      </c>
      <c r="I606">
        <v>7</v>
      </c>
      <c r="J606" t="b">
        <v>0</v>
      </c>
      <c r="K606" t="b">
        <v>0</v>
      </c>
      <c r="L606" t="b">
        <v>0</v>
      </c>
      <c r="M606">
        <v>3</v>
      </c>
      <c r="N606" t="s">
        <v>1118</v>
      </c>
      <c r="O606" s="1">
        <v>46276.328472222223</v>
      </c>
      <c r="P606" t="b">
        <v>0</v>
      </c>
      <c r="Q606" t="s">
        <v>1156</v>
      </c>
      <c r="R606" t="s">
        <v>1139</v>
      </c>
      <c r="S606" t="s">
        <v>1121</v>
      </c>
      <c r="T606" t="s">
        <v>1122</v>
      </c>
      <c r="U606" t="s">
        <v>1172</v>
      </c>
      <c r="V606" t="s">
        <v>1284</v>
      </c>
      <c r="W606" t="s">
        <v>1257</v>
      </c>
      <c r="X606">
        <v>7</v>
      </c>
      <c r="Y606" t="s">
        <v>1142</v>
      </c>
      <c r="Z606" t="s">
        <v>1147</v>
      </c>
      <c r="AA606">
        <v>1.166666666666667</v>
      </c>
    </row>
    <row r="607" spans="1:27" x14ac:dyDescent="0.3">
      <c r="A607" t="s">
        <v>123</v>
      </c>
      <c r="B607" t="s">
        <v>1243</v>
      </c>
      <c r="C607" t="s">
        <v>1069</v>
      </c>
      <c r="D607" t="s">
        <v>1238</v>
      </c>
      <c r="E607" t="s">
        <v>1371</v>
      </c>
      <c r="F607" s="1">
        <v>46286.224999999999</v>
      </c>
      <c r="G607" s="1">
        <v>46286.229861111111</v>
      </c>
      <c r="H607">
        <v>2</v>
      </c>
      <c r="I607">
        <v>7</v>
      </c>
      <c r="J607" t="b">
        <v>0</v>
      </c>
      <c r="K607" t="b">
        <v>0</v>
      </c>
      <c r="L607" t="b">
        <v>0</v>
      </c>
      <c r="M607">
        <v>20</v>
      </c>
      <c r="N607" t="s">
        <v>1155</v>
      </c>
      <c r="O607" s="1">
        <v>46286.134722222218</v>
      </c>
      <c r="P607" t="b">
        <v>0</v>
      </c>
      <c r="Q607" t="s">
        <v>1138</v>
      </c>
      <c r="R607" t="s">
        <v>1131</v>
      </c>
      <c r="S607" t="s">
        <v>1157</v>
      </c>
      <c r="T607" t="s">
        <v>1140</v>
      </c>
      <c r="U607" t="s">
        <v>1172</v>
      </c>
      <c r="V607" t="s">
        <v>1151</v>
      </c>
      <c r="W607" t="s">
        <v>1131</v>
      </c>
      <c r="X607">
        <v>3</v>
      </c>
      <c r="Y607" t="s">
        <v>1185</v>
      </c>
      <c r="Z607" t="s">
        <v>1127</v>
      </c>
      <c r="AA607">
        <v>3.5</v>
      </c>
    </row>
    <row r="608" spans="1:27" x14ac:dyDescent="0.3">
      <c r="A608" t="s">
        <v>125</v>
      </c>
      <c r="B608" t="s">
        <v>1243</v>
      </c>
      <c r="C608" t="s">
        <v>1082</v>
      </c>
      <c r="D608" t="s">
        <v>1116</v>
      </c>
      <c r="E608" t="s">
        <v>1218</v>
      </c>
      <c r="F608" s="1">
        <v>46286.158333333333</v>
      </c>
      <c r="G608" s="1">
        <v>46286.163194444453</v>
      </c>
      <c r="H608">
        <v>1</v>
      </c>
      <c r="I608">
        <v>7</v>
      </c>
      <c r="J608" t="b">
        <v>0</v>
      </c>
      <c r="K608" t="b">
        <v>0</v>
      </c>
      <c r="L608" t="b">
        <v>0</v>
      </c>
      <c r="M608">
        <v>20</v>
      </c>
      <c r="N608" t="s">
        <v>1155</v>
      </c>
      <c r="O608" s="1">
        <v>46286.134722222218</v>
      </c>
      <c r="P608" t="b">
        <v>0</v>
      </c>
      <c r="Q608" t="s">
        <v>1169</v>
      </c>
      <c r="R608" t="s">
        <v>1120</v>
      </c>
      <c r="S608" t="s">
        <v>1152</v>
      </c>
      <c r="T608" t="s">
        <v>1122</v>
      </c>
      <c r="U608" t="s">
        <v>1145</v>
      </c>
      <c r="V608" t="s">
        <v>1124</v>
      </c>
      <c r="W608" t="s">
        <v>1125</v>
      </c>
      <c r="X608">
        <v>3</v>
      </c>
      <c r="Y608" t="s">
        <v>1185</v>
      </c>
      <c r="Z608" t="s">
        <v>1127</v>
      </c>
      <c r="AA608">
        <v>7</v>
      </c>
    </row>
    <row r="609" spans="1:27" x14ac:dyDescent="0.3">
      <c r="A609" t="s">
        <v>128</v>
      </c>
      <c r="B609" t="s">
        <v>1243</v>
      </c>
      <c r="C609" t="s">
        <v>1085</v>
      </c>
      <c r="D609" t="s">
        <v>1116</v>
      </c>
      <c r="E609" t="s">
        <v>1184</v>
      </c>
      <c r="F609" s="1">
        <v>46286.160416666673</v>
      </c>
      <c r="G609" s="1">
        <v>46286.165277777778</v>
      </c>
      <c r="H609">
        <v>1</v>
      </c>
      <c r="I609">
        <v>7</v>
      </c>
      <c r="J609" t="b">
        <v>0</v>
      </c>
      <c r="K609" t="b">
        <v>0</v>
      </c>
      <c r="L609" t="b">
        <v>0</v>
      </c>
      <c r="M609">
        <v>20</v>
      </c>
      <c r="N609" t="s">
        <v>1155</v>
      </c>
      <c r="O609" s="1">
        <v>46286.134722222218</v>
      </c>
      <c r="P609" t="b">
        <v>0</v>
      </c>
      <c r="Q609" t="s">
        <v>1156</v>
      </c>
      <c r="R609" t="s">
        <v>1131</v>
      </c>
      <c r="S609" t="s">
        <v>1132</v>
      </c>
      <c r="T609" t="s">
        <v>1122</v>
      </c>
      <c r="U609" t="s">
        <v>1247</v>
      </c>
      <c r="V609" t="s">
        <v>1124</v>
      </c>
      <c r="W609" t="s">
        <v>1125</v>
      </c>
      <c r="X609">
        <v>3</v>
      </c>
      <c r="Y609" t="s">
        <v>1185</v>
      </c>
      <c r="Z609" t="s">
        <v>1127</v>
      </c>
      <c r="AA609">
        <v>7</v>
      </c>
    </row>
    <row r="610" spans="1:27" x14ac:dyDescent="0.3">
      <c r="A610" t="s">
        <v>512</v>
      </c>
      <c r="B610" t="s">
        <v>1273</v>
      </c>
      <c r="C610" t="s">
        <v>1088</v>
      </c>
      <c r="D610" t="s">
        <v>1238</v>
      </c>
      <c r="E610" t="s">
        <v>1379</v>
      </c>
      <c r="F610" s="1">
        <v>46284.722222222219</v>
      </c>
      <c r="G610" s="1">
        <v>46284.727083333331</v>
      </c>
      <c r="H610">
        <v>2</v>
      </c>
      <c r="I610">
        <v>7</v>
      </c>
      <c r="J610" t="b">
        <v>0</v>
      </c>
      <c r="K610" t="b">
        <v>0</v>
      </c>
      <c r="L610" t="b">
        <v>0</v>
      </c>
      <c r="M610">
        <v>20</v>
      </c>
      <c r="N610" t="s">
        <v>1168</v>
      </c>
      <c r="O610" s="1">
        <v>46284.599305555559</v>
      </c>
      <c r="P610" t="b">
        <v>0</v>
      </c>
      <c r="Q610" t="s">
        <v>1179</v>
      </c>
      <c r="R610" t="s">
        <v>1120</v>
      </c>
      <c r="S610" t="s">
        <v>1145</v>
      </c>
      <c r="T610" t="s">
        <v>1140</v>
      </c>
      <c r="U610" t="s">
        <v>1123</v>
      </c>
      <c r="V610" t="s">
        <v>1151</v>
      </c>
      <c r="W610" t="s">
        <v>1131</v>
      </c>
      <c r="X610">
        <v>14</v>
      </c>
      <c r="Y610" t="s">
        <v>1173</v>
      </c>
      <c r="Z610" t="s">
        <v>1127</v>
      </c>
      <c r="AA610">
        <v>3.5</v>
      </c>
    </row>
    <row r="611" spans="1:27" x14ac:dyDescent="0.3">
      <c r="A611" t="s">
        <v>513</v>
      </c>
      <c r="B611" t="s">
        <v>1367</v>
      </c>
      <c r="C611" t="s">
        <v>1078</v>
      </c>
      <c r="D611" t="s">
        <v>1255</v>
      </c>
      <c r="E611" t="s">
        <v>1129</v>
      </c>
      <c r="F611" s="1">
        <v>46278.45</v>
      </c>
      <c r="G611" s="1">
        <v>46278.454861111109</v>
      </c>
      <c r="H611">
        <v>7</v>
      </c>
      <c r="I611">
        <v>7</v>
      </c>
      <c r="J611" t="b">
        <v>0</v>
      </c>
      <c r="K611" t="b">
        <v>0</v>
      </c>
      <c r="L611" t="b">
        <v>0</v>
      </c>
      <c r="M611">
        <v>15</v>
      </c>
      <c r="N611" t="s">
        <v>1155</v>
      </c>
      <c r="O611" s="1">
        <v>46278.393055555563</v>
      </c>
      <c r="P611" t="b">
        <v>0</v>
      </c>
      <c r="Q611" t="s">
        <v>1119</v>
      </c>
      <c r="R611" t="s">
        <v>1131</v>
      </c>
      <c r="S611" t="s">
        <v>1132</v>
      </c>
      <c r="T611" t="s">
        <v>1145</v>
      </c>
      <c r="U611" t="s">
        <v>1172</v>
      </c>
      <c r="V611" t="s">
        <v>1141</v>
      </c>
      <c r="W611" t="s">
        <v>1257</v>
      </c>
      <c r="X611">
        <v>9</v>
      </c>
      <c r="Y611" t="s">
        <v>1133</v>
      </c>
      <c r="Z611" t="s">
        <v>1127</v>
      </c>
      <c r="AA611">
        <v>1</v>
      </c>
    </row>
    <row r="612" spans="1:27" x14ac:dyDescent="0.3">
      <c r="A612" t="s">
        <v>768</v>
      </c>
      <c r="B612" t="s">
        <v>1375</v>
      </c>
      <c r="C612" t="s">
        <v>1071</v>
      </c>
      <c r="D612" t="s">
        <v>1283</v>
      </c>
      <c r="E612" t="s">
        <v>1366</v>
      </c>
      <c r="F612" s="1">
        <v>46267.249305555553</v>
      </c>
      <c r="G612" s="1">
        <v>46267.254166666673</v>
      </c>
      <c r="H612">
        <v>2</v>
      </c>
      <c r="I612">
        <v>7</v>
      </c>
      <c r="J612" t="b">
        <v>0</v>
      </c>
      <c r="K612" t="b">
        <v>0</v>
      </c>
      <c r="L612" t="b">
        <v>0</v>
      </c>
      <c r="M612">
        <v>8</v>
      </c>
      <c r="N612" t="s">
        <v>1130</v>
      </c>
      <c r="O612" s="1">
        <v>46267.217361111107</v>
      </c>
      <c r="P612" t="b">
        <v>0</v>
      </c>
      <c r="Q612" t="s">
        <v>1151</v>
      </c>
      <c r="R612" t="s">
        <v>1120</v>
      </c>
      <c r="S612" t="s">
        <v>1145</v>
      </c>
      <c r="T612" t="s">
        <v>1122</v>
      </c>
      <c r="U612" t="s">
        <v>1145</v>
      </c>
      <c r="V612" t="s">
        <v>1284</v>
      </c>
      <c r="W612" t="s">
        <v>1131</v>
      </c>
      <c r="X612">
        <v>5</v>
      </c>
      <c r="Y612" t="s">
        <v>1161</v>
      </c>
      <c r="Z612" t="s">
        <v>1134</v>
      </c>
      <c r="AA612">
        <v>3.5</v>
      </c>
    </row>
    <row r="613" spans="1:27" x14ac:dyDescent="0.3">
      <c r="A613" t="s">
        <v>631</v>
      </c>
      <c r="B613" t="s">
        <v>1397</v>
      </c>
      <c r="C613" t="s">
        <v>1086</v>
      </c>
      <c r="D613" t="s">
        <v>1255</v>
      </c>
      <c r="E613" t="s">
        <v>1256</v>
      </c>
      <c r="F613" s="1">
        <v>46267.959027777782</v>
      </c>
      <c r="G613" s="1">
        <v>46267.963888888888</v>
      </c>
      <c r="H613">
        <v>2</v>
      </c>
      <c r="I613">
        <v>7</v>
      </c>
      <c r="J613" t="b">
        <v>0</v>
      </c>
      <c r="K613" t="b">
        <v>0</v>
      </c>
      <c r="L613" t="b">
        <v>0</v>
      </c>
      <c r="M613">
        <v>6</v>
      </c>
      <c r="N613" t="s">
        <v>1118</v>
      </c>
      <c r="O613" s="1">
        <v>46267.880555555559</v>
      </c>
      <c r="P613" t="b">
        <v>0</v>
      </c>
      <c r="Q613" t="s">
        <v>1145</v>
      </c>
      <c r="R613" t="s">
        <v>1139</v>
      </c>
      <c r="S613" t="s">
        <v>1157</v>
      </c>
      <c r="T613" t="s">
        <v>1122</v>
      </c>
      <c r="U613" t="s">
        <v>1145</v>
      </c>
      <c r="V613" t="s">
        <v>1141</v>
      </c>
      <c r="W613" t="s">
        <v>1257</v>
      </c>
      <c r="X613">
        <v>21</v>
      </c>
      <c r="Y613" t="s">
        <v>1161</v>
      </c>
      <c r="Z613" t="s">
        <v>1134</v>
      </c>
      <c r="AA613">
        <v>3.5</v>
      </c>
    </row>
    <row r="614" spans="1:27" x14ac:dyDescent="0.3">
      <c r="A614" t="s">
        <v>634</v>
      </c>
      <c r="B614" t="s">
        <v>1203</v>
      </c>
      <c r="C614" t="s">
        <v>1058</v>
      </c>
      <c r="D614" t="s">
        <v>1283</v>
      </c>
      <c r="E614" t="s">
        <v>1231</v>
      </c>
      <c r="F614" s="1">
        <v>46287.20208333333</v>
      </c>
      <c r="G614" s="1">
        <v>46287.206944444442</v>
      </c>
      <c r="H614">
        <v>1</v>
      </c>
      <c r="I614">
        <v>7</v>
      </c>
      <c r="J614" t="b">
        <v>0</v>
      </c>
      <c r="K614" t="b">
        <v>0</v>
      </c>
      <c r="L614" t="b">
        <v>0</v>
      </c>
      <c r="M614">
        <v>12</v>
      </c>
      <c r="N614" t="s">
        <v>1145</v>
      </c>
      <c r="O614" s="1">
        <v>46287.080555555563</v>
      </c>
      <c r="P614" t="b">
        <v>0</v>
      </c>
      <c r="Q614" t="s">
        <v>1169</v>
      </c>
      <c r="R614" t="s">
        <v>1131</v>
      </c>
      <c r="S614" t="s">
        <v>1152</v>
      </c>
      <c r="T614" t="s">
        <v>1122</v>
      </c>
      <c r="U614" t="s">
        <v>1145</v>
      </c>
      <c r="V614" t="s">
        <v>1284</v>
      </c>
      <c r="W614" t="s">
        <v>1131</v>
      </c>
      <c r="X614">
        <v>1</v>
      </c>
      <c r="Y614" t="s">
        <v>1126</v>
      </c>
      <c r="Z614" t="s">
        <v>1127</v>
      </c>
      <c r="AA614">
        <v>7</v>
      </c>
    </row>
    <row r="615" spans="1:27" x14ac:dyDescent="0.3">
      <c r="A615" t="s">
        <v>639</v>
      </c>
      <c r="B615" t="s">
        <v>1463</v>
      </c>
      <c r="C615" t="s">
        <v>1084</v>
      </c>
      <c r="D615" t="s">
        <v>1280</v>
      </c>
      <c r="E615" t="s">
        <v>1228</v>
      </c>
      <c r="F615" s="1">
        <v>46282.019444444442</v>
      </c>
      <c r="G615" s="1">
        <v>46282.024305555547</v>
      </c>
      <c r="H615">
        <v>7</v>
      </c>
      <c r="I615">
        <v>7</v>
      </c>
      <c r="J615" t="b">
        <v>0</v>
      </c>
      <c r="K615" t="b">
        <v>0</v>
      </c>
      <c r="L615" t="b">
        <v>0</v>
      </c>
      <c r="M615">
        <v>2</v>
      </c>
      <c r="N615" t="s">
        <v>1168</v>
      </c>
      <c r="O615" s="1">
        <v>46281.97152777778</v>
      </c>
      <c r="P615" t="b">
        <v>0</v>
      </c>
      <c r="Q615" t="s">
        <v>1179</v>
      </c>
      <c r="R615" t="s">
        <v>1145</v>
      </c>
      <c r="S615" t="s">
        <v>1157</v>
      </c>
      <c r="T615" t="s">
        <v>1122</v>
      </c>
      <c r="U615" t="s">
        <v>1247</v>
      </c>
      <c r="V615" t="s">
        <v>1151</v>
      </c>
      <c r="W615" t="s">
        <v>1257</v>
      </c>
      <c r="X615">
        <v>23</v>
      </c>
      <c r="Y615" t="s">
        <v>1161</v>
      </c>
      <c r="Z615" t="s">
        <v>1147</v>
      </c>
      <c r="AA615">
        <v>1</v>
      </c>
    </row>
    <row r="616" spans="1:27" x14ac:dyDescent="0.3">
      <c r="A616" t="s">
        <v>774</v>
      </c>
      <c r="B616" t="s">
        <v>1376</v>
      </c>
      <c r="C616" t="s">
        <v>1087</v>
      </c>
      <c r="D616" t="s">
        <v>1280</v>
      </c>
      <c r="E616" t="s">
        <v>1287</v>
      </c>
      <c r="F616" s="1">
        <v>46278.348611111112</v>
      </c>
      <c r="G616" s="1">
        <v>46278.353472222218</v>
      </c>
      <c r="H616">
        <v>3</v>
      </c>
      <c r="I616">
        <v>7</v>
      </c>
      <c r="J616" t="b">
        <v>0</v>
      </c>
      <c r="K616" t="b">
        <v>0</v>
      </c>
      <c r="L616" t="b">
        <v>0</v>
      </c>
      <c r="M616">
        <v>10</v>
      </c>
      <c r="N616" t="s">
        <v>1130</v>
      </c>
      <c r="O616" s="1">
        <v>46278.228472222218</v>
      </c>
      <c r="P616" t="b">
        <v>0</v>
      </c>
      <c r="Q616" t="s">
        <v>1179</v>
      </c>
      <c r="R616" t="s">
        <v>1120</v>
      </c>
      <c r="S616" t="s">
        <v>1145</v>
      </c>
      <c r="T616" t="s">
        <v>1145</v>
      </c>
      <c r="U616" t="s">
        <v>1247</v>
      </c>
      <c r="V616" t="s">
        <v>1151</v>
      </c>
      <c r="W616" t="s">
        <v>1257</v>
      </c>
      <c r="X616">
        <v>5</v>
      </c>
      <c r="Y616" t="s">
        <v>1133</v>
      </c>
      <c r="Z616" t="s">
        <v>1134</v>
      </c>
      <c r="AA616">
        <v>2.333333333333333</v>
      </c>
    </row>
    <row r="617" spans="1:27" x14ac:dyDescent="0.3">
      <c r="A617" t="s">
        <v>780</v>
      </c>
      <c r="B617" t="s">
        <v>1435</v>
      </c>
      <c r="C617" t="s">
        <v>1065</v>
      </c>
      <c r="D617" t="s">
        <v>1238</v>
      </c>
      <c r="E617" t="s">
        <v>1336</v>
      </c>
      <c r="F617" s="1">
        <v>46291.384027777778</v>
      </c>
      <c r="G617" s="1">
        <v>46291.388888888891</v>
      </c>
      <c r="H617">
        <v>4</v>
      </c>
      <c r="I617">
        <v>7</v>
      </c>
      <c r="J617" t="b">
        <v>0</v>
      </c>
      <c r="K617" t="b">
        <v>0</v>
      </c>
      <c r="L617" t="b">
        <v>0</v>
      </c>
      <c r="M617">
        <v>5</v>
      </c>
      <c r="N617" t="s">
        <v>1118</v>
      </c>
      <c r="O617" s="1">
        <v>46291.277083333327</v>
      </c>
      <c r="P617" t="b">
        <v>0</v>
      </c>
      <c r="Q617" t="s">
        <v>1179</v>
      </c>
      <c r="R617" t="s">
        <v>1120</v>
      </c>
      <c r="S617" t="s">
        <v>1152</v>
      </c>
      <c r="T617" t="s">
        <v>1180</v>
      </c>
      <c r="U617" t="s">
        <v>1247</v>
      </c>
      <c r="V617" t="s">
        <v>1151</v>
      </c>
      <c r="W617" t="s">
        <v>1131</v>
      </c>
      <c r="X617">
        <v>6</v>
      </c>
      <c r="Y617" t="s">
        <v>1173</v>
      </c>
      <c r="Z617" t="s">
        <v>1147</v>
      </c>
      <c r="AA617">
        <v>1.75</v>
      </c>
    </row>
    <row r="618" spans="1:27" x14ac:dyDescent="0.3">
      <c r="A618" t="s">
        <v>755</v>
      </c>
      <c r="B618" t="s">
        <v>1464</v>
      </c>
      <c r="C618" t="s">
        <v>1060</v>
      </c>
      <c r="D618" t="s">
        <v>1255</v>
      </c>
      <c r="E618" t="s">
        <v>1216</v>
      </c>
      <c r="F618" s="1">
        <v>46292.068749999999</v>
      </c>
      <c r="G618" s="1">
        <v>46292.073611111111</v>
      </c>
      <c r="H618">
        <v>6</v>
      </c>
      <c r="I618">
        <v>7</v>
      </c>
      <c r="J618" t="b">
        <v>0</v>
      </c>
      <c r="K618" t="b">
        <v>0</v>
      </c>
      <c r="L618" t="b">
        <v>0</v>
      </c>
      <c r="M618">
        <v>6</v>
      </c>
      <c r="N618" t="s">
        <v>1168</v>
      </c>
      <c r="O618" s="1">
        <v>46291.963194444441</v>
      </c>
      <c r="P618" t="b">
        <v>0</v>
      </c>
      <c r="Q618" t="s">
        <v>1119</v>
      </c>
      <c r="R618" t="s">
        <v>1131</v>
      </c>
      <c r="S618" t="s">
        <v>1157</v>
      </c>
      <c r="T618" t="s">
        <v>1140</v>
      </c>
      <c r="U618" t="s">
        <v>1145</v>
      </c>
      <c r="V618" t="s">
        <v>1141</v>
      </c>
      <c r="W618" t="s">
        <v>1257</v>
      </c>
      <c r="X618">
        <v>23</v>
      </c>
      <c r="Y618" t="s">
        <v>1173</v>
      </c>
      <c r="Z618" t="s">
        <v>1134</v>
      </c>
      <c r="AA618">
        <v>1.166666666666667</v>
      </c>
    </row>
    <row r="619" spans="1:27" x14ac:dyDescent="0.3">
      <c r="A619" t="s">
        <v>291</v>
      </c>
      <c r="B619" t="s">
        <v>1434</v>
      </c>
      <c r="C619" t="s">
        <v>1080</v>
      </c>
      <c r="D619" t="s">
        <v>1255</v>
      </c>
      <c r="E619" t="s">
        <v>1207</v>
      </c>
      <c r="F619" s="1">
        <v>46276.022222222222</v>
      </c>
      <c r="G619" s="1">
        <v>46276.027083333327</v>
      </c>
      <c r="H619">
        <v>7</v>
      </c>
      <c r="I619">
        <v>7</v>
      </c>
      <c r="J619" t="b">
        <v>0</v>
      </c>
      <c r="K619" t="b">
        <v>0</v>
      </c>
      <c r="L619" t="b">
        <v>0</v>
      </c>
      <c r="M619">
        <v>6</v>
      </c>
      <c r="N619" t="s">
        <v>1155</v>
      </c>
      <c r="O619" s="1">
        <v>46275.96597222222</v>
      </c>
      <c r="P619" t="b">
        <v>0</v>
      </c>
      <c r="Q619" t="s">
        <v>1179</v>
      </c>
      <c r="R619" t="s">
        <v>1131</v>
      </c>
      <c r="S619" t="s">
        <v>1157</v>
      </c>
      <c r="T619" t="s">
        <v>1122</v>
      </c>
      <c r="U619" t="s">
        <v>1247</v>
      </c>
      <c r="V619" t="s">
        <v>1141</v>
      </c>
      <c r="W619" t="s">
        <v>1257</v>
      </c>
      <c r="X619">
        <v>23</v>
      </c>
      <c r="Y619" t="s">
        <v>1146</v>
      </c>
      <c r="Z619" t="s">
        <v>1134</v>
      </c>
      <c r="AA619">
        <v>1</v>
      </c>
    </row>
    <row r="620" spans="1:27" x14ac:dyDescent="0.3">
      <c r="A620" t="s">
        <v>294</v>
      </c>
      <c r="B620" t="s">
        <v>1433</v>
      </c>
      <c r="C620" t="s">
        <v>1085</v>
      </c>
      <c r="D620" t="s">
        <v>1116</v>
      </c>
      <c r="E620" t="s">
        <v>1453</v>
      </c>
      <c r="F620" s="1">
        <v>46275.427777777782</v>
      </c>
      <c r="G620" s="1">
        <v>46275.432638888888</v>
      </c>
      <c r="H620">
        <v>2</v>
      </c>
      <c r="I620">
        <v>7</v>
      </c>
      <c r="J620" t="b">
        <v>0</v>
      </c>
      <c r="K620" t="b">
        <v>0</v>
      </c>
      <c r="L620" t="b">
        <v>0</v>
      </c>
      <c r="M620">
        <v>3</v>
      </c>
      <c r="N620" t="s">
        <v>1155</v>
      </c>
      <c r="O620" s="1">
        <v>46275.42083333333</v>
      </c>
      <c r="P620" t="b">
        <v>0</v>
      </c>
      <c r="Q620" t="s">
        <v>1156</v>
      </c>
      <c r="R620" t="s">
        <v>1131</v>
      </c>
      <c r="S620" t="s">
        <v>1121</v>
      </c>
      <c r="T620" t="s">
        <v>1122</v>
      </c>
      <c r="U620" t="s">
        <v>1247</v>
      </c>
      <c r="V620" t="s">
        <v>1124</v>
      </c>
      <c r="W620" t="s">
        <v>1125</v>
      </c>
      <c r="X620">
        <v>10</v>
      </c>
      <c r="Y620" t="s">
        <v>1146</v>
      </c>
      <c r="Z620" t="s">
        <v>1147</v>
      </c>
      <c r="AA620">
        <v>3.5</v>
      </c>
    </row>
    <row r="621" spans="1:27" x14ac:dyDescent="0.3">
      <c r="A621" t="s">
        <v>295</v>
      </c>
      <c r="B621" t="s">
        <v>1433</v>
      </c>
      <c r="C621" t="s">
        <v>1083</v>
      </c>
      <c r="D621" t="s">
        <v>1283</v>
      </c>
      <c r="E621" t="s">
        <v>1175</v>
      </c>
      <c r="F621" s="1">
        <v>46275.451388888891</v>
      </c>
      <c r="G621" s="1">
        <v>46275.456250000003</v>
      </c>
      <c r="H621">
        <v>2</v>
      </c>
      <c r="I621">
        <v>7</v>
      </c>
      <c r="J621" t="b">
        <v>0</v>
      </c>
      <c r="K621" t="b">
        <v>0</v>
      </c>
      <c r="L621" t="b">
        <v>0</v>
      </c>
      <c r="M621">
        <v>3</v>
      </c>
      <c r="N621" t="s">
        <v>1155</v>
      </c>
      <c r="O621" s="1">
        <v>46275.42083333333</v>
      </c>
      <c r="P621" t="b">
        <v>0</v>
      </c>
      <c r="Q621" t="s">
        <v>1169</v>
      </c>
      <c r="R621" t="s">
        <v>1139</v>
      </c>
      <c r="S621" t="s">
        <v>1152</v>
      </c>
      <c r="T621" t="s">
        <v>1180</v>
      </c>
      <c r="U621" t="s">
        <v>1123</v>
      </c>
      <c r="V621" t="s">
        <v>1284</v>
      </c>
      <c r="W621" t="s">
        <v>1131</v>
      </c>
      <c r="X621">
        <v>10</v>
      </c>
      <c r="Y621" t="s">
        <v>1146</v>
      </c>
      <c r="Z621" t="s">
        <v>1147</v>
      </c>
      <c r="AA621">
        <v>3.5</v>
      </c>
    </row>
    <row r="622" spans="1:27" x14ac:dyDescent="0.3">
      <c r="A622" t="s">
        <v>298</v>
      </c>
      <c r="B622" t="s">
        <v>1389</v>
      </c>
      <c r="C622" t="s">
        <v>1071</v>
      </c>
      <c r="D622" t="s">
        <v>1280</v>
      </c>
      <c r="E622" t="s">
        <v>1309</v>
      </c>
      <c r="F622" s="1">
        <v>46291.715277777781</v>
      </c>
      <c r="G622" s="1">
        <v>46291.720138888893</v>
      </c>
      <c r="H622">
        <v>3</v>
      </c>
      <c r="I622">
        <v>7</v>
      </c>
      <c r="J622" t="b">
        <v>0</v>
      </c>
      <c r="K622" t="b">
        <v>0</v>
      </c>
      <c r="L622" t="b">
        <v>0</v>
      </c>
      <c r="M622">
        <v>4</v>
      </c>
      <c r="N622" t="s">
        <v>1118</v>
      </c>
      <c r="O622" s="1">
        <v>46291.708333333343</v>
      </c>
      <c r="P622" t="b">
        <v>0</v>
      </c>
      <c r="Q622" t="s">
        <v>1119</v>
      </c>
      <c r="R622" t="s">
        <v>1120</v>
      </c>
      <c r="S622" t="s">
        <v>1157</v>
      </c>
      <c r="T622" t="s">
        <v>1122</v>
      </c>
      <c r="U622" t="s">
        <v>1145</v>
      </c>
      <c r="V622" t="s">
        <v>1151</v>
      </c>
      <c r="W622" t="s">
        <v>1257</v>
      </c>
      <c r="X622">
        <v>17</v>
      </c>
      <c r="Y622" t="s">
        <v>1173</v>
      </c>
      <c r="Z622" t="s">
        <v>1147</v>
      </c>
      <c r="AA622">
        <v>2.333333333333333</v>
      </c>
    </row>
    <row r="623" spans="1:27" x14ac:dyDescent="0.3">
      <c r="A623" t="s">
        <v>756</v>
      </c>
      <c r="B623" t="s">
        <v>1464</v>
      </c>
      <c r="C623" t="s">
        <v>1075</v>
      </c>
      <c r="D623" t="s">
        <v>1238</v>
      </c>
      <c r="E623" t="s">
        <v>1221</v>
      </c>
      <c r="F623" s="1">
        <v>46291.972916666673</v>
      </c>
      <c r="G623" s="1">
        <v>46291.977777777778</v>
      </c>
      <c r="H623">
        <v>1</v>
      </c>
      <c r="I623">
        <v>7</v>
      </c>
      <c r="J623" t="b">
        <v>0</v>
      </c>
      <c r="K623" t="b">
        <v>0</v>
      </c>
      <c r="L623" t="b">
        <v>0</v>
      </c>
      <c r="M623">
        <v>6</v>
      </c>
      <c r="N623" t="s">
        <v>1168</v>
      </c>
      <c r="O623" s="1">
        <v>46291.963194444441</v>
      </c>
      <c r="P623" t="b">
        <v>0</v>
      </c>
      <c r="Q623" t="s">
        <v>1151</v>
      </c>
      <c r="R623" t="s">
        <v>1131</v>
      </c>
      <c r="S623" t="s">
        <v>1121</v>
      </c>
      <c r="T623" t="s">
        <v>1122</v>
      </c>
      <c r="U623" t="s">
        <v>1172</v>
      </c>
      <c r="V623" t="s">
        <v>1151</v>
      </c>
      <c r="W623" t="s">
        <v>1131</v>
      </c>
      <c r="X623">
        <v>23</v>
      </c>
      <c r="Y623" t="s">
        <v>1173</v>
      </c>
      <c r="Z623" t="s">
        <v>1134</v>
      </c>
      <c r="AA623">
        <v>7</v>
      </c>
    </row>
    <row r="624" spans="1:27" x14ac:dyDescent="0.3">
      <c r="A624" t="s">
        <v>758</v>
      </c>
      <c r="B624" t="s">
        <v>1345</v>
      </c>
      <c r="C624" t="s">
        <v>1064</v>
      </c>
      <c r="D624" t="s">
        <v>1280</v>
      </c>
      <c r="E624" t="s">
        <v>1192</v>
      </c>
      <c r="F624" s="1">
        <v>46267.745138888888</v>
      </c>
      <c r="G624" s="1">
        <v>46267.75</v>
      </c>
      <c r="H624">
        <v>5</v>
      </c>
      <c r="I624">
        <v>7</v>
      </c>
      <c r="J624" t="b">
        <v>0</v>
      </c>
      <c r="K624" t="b">
        <v>0</v>
      </c>
      <c r="L624" t="b">
        <v>0</v>
      </c>
      <c r="M624">
        <v>10</v>
      </c>
      <c r="N624" t="s">
        <v>1155</v>
      </c>
      <c r="O624" s="1">
        <v>46267.725694444453</v>
      </c>
      <c r="P624" t="b">
        <v>0</v>
      </c>
      <c r="Q624" t="s">
        <v>1151</v>
      </c>
      <c r="R624" t="s">
        <v>1139</v>
      </c>
      <c r="S624" t="s">
        <v>1132</v>
      </c>
      <c r="T624" t="s">
        <v>1122</v>
      </c>
      <c r="U624" t="s">
        <v>1123</v>
      </c>
      <c r="V624" t="s">
        <v>1151</v>
      </c>
      <c r="W624" t="s">
        <v>1257</v>
      </c>
      <c r="X624">
        <v>17</v>
      </c>
      <c r="Y624" t="s">
        <v>1161</v>
      </c>
      <c r="Z624" t="s">
        <v>1134</v>
      </c>
      <c r="AA624">
        <v>1.4</v>
      </c>
    </row>
    <row r="625" spans="1:27" x14ac:dyDescent="0.3">
      <c r="A625" t="s">
        <v>759</v>
      </c>
      <c r="B625" t="s">
        <v>1345</v>
      </c>
      <c r="C625" t="s">
        <v>1058</v>
      </c>
      <c r="D625" t="s">
        <v>1283</v>
      </c>
      <c r="E625" t="s">
        <v>1235</v>
      </c>
      <c r="F625" s="1">
        <v>46267.824305555558</v>
      </c>
      <c r="G625" s="1">
        <v>46267.82916666667</v>
      </c>
      <c r="H625">
        <v>7</v>
      </c>
      <c r="I625">
        <v>7</v>
      </c>
      <c r="J625" t="b">
        <v>0</v>
      </c>
      <c r="K625" t="b">
        <v>0</v>
      </c>
      <c r="L625" t="b">
        <v>0</v>
      </c>
      <c r="M625">
        <v>10</v>
      </c>
      <c r="N625" t="s">
        <v>1155</v>
      </c>
      <c r="O625" s="1">
        <v>46267.725694444453</v>
      </c>
      <c r="P625" t="b">
        <v>0</v>
      </c>
      <c r="Q625" t="s">
        <v>1151</v>
      </c>
      <c r="R625" t="s">
        <v>1131</v>
      </c>
      <c r="S625" t="s">
        <v>1152</v>
      </c>
      <c r="T625" t="s">
        <v>1122</v>
      </c>
      <c r="U625" t="s">
        <v>1145</v>
      </c>
      <c r="V625" t="s">
        <v>1284</v>
      </c>
      <c r="W625" t="s">
        <v>1131</v>
      </c>
      <c r="X625">
        <v>17</v>
      </c>
      <c r="Y625" t="s">
        <v>1161</v>
      </c>
      <c r="Z625" t="s">
        <v>1134</v>
      </c>
      <c r="AA625">
        <v>1</v>
      </c>
    </row>
    <row r="626" spans="1:27" x14ac:dyDescent="0.3">
      <c r="A626" t="s">
        <v>760</v>
      </c>
      <c r="B626" t="s">
        <v>1345</v>
      </c>
      <c r="C626" t="s">
        <v>1084</v>
      </c>
      <c r="D626" t="s">
        <v>1255</v>
      </c>
      <c r="E626" t="s">
        <v>1209</v>
      </c>
      <c r="F626" s="1">
        <v>46267.803472222222</v>
      </c>
      <c r="G626" s="1">
        <v>46267.808333333327</v>
      </c>
      <c r="H626">
        <v>7</v>
      </c>
      <c r="I626">
        <v>7</v>
      </c>
      <c r="J626" t="b">
        <v>0</v>
      </c>
      <c r="K626" t="b">
        <v>0</v>
      </c>
      <c r="L626" t="b">
        <v>0</v>
      </c>
      <c r="M626">
        <v>10</v>
      </c>
      <c r="N626" t="s">
        <v>1155</v>
      </c>
      <c r="O626" s="1">
        <v>46267.725694444453</v>
      </c>
      <c r="P626" t="b">
        <v>0</v>
      </c>
      <c r="Q626" t="s">
        <v>1138</v>
      </c>
      <c r="R626" t="s">
        <v>1131</v>
      </c>
      <c r="S626" t="s">
        <v>1132</v>
      </c>
      <c r="T626" t="s">
        <v>1122</v>
      </c>
      <c r="U626" t="s">
        <v>1247</v>
      </c>
      <c r="V626" t="s">
        <v>1141</v>
      </c>
      <c r="W626" t="s">
        <v>1257</v>
      </c>
      <c r="X626">
        <v>17</v>
      </c>
      <c r="Y626" t="s">
        <v>1161</v>
      </c>
      <c r="Z626" t="s">
        <v>1134</v>
      </c>
      <c r="AA626">
        <v>1</v>
      </c>
    </row>
    <row r="627" spans="1:27" x14ac:dyDescent="0.3">
      <c r="A627" t="s">
        <v>766</v>
      </c>
      <c r="B627" t="s">
        <v>1375</v>
      </c>
      <c r="C627" t="s">
        <v>1074</v>
      </c>
      <c r="D627" t="s">
        <v>1339</v>
      </c>
      <c r="E627" t="s">
        <v>1163</v>
      </c>
      <c r="F627" s="1">
        <v>46267.217361111107</v>
      </c>
      <c r="G627" s="1">
        <v>46267.222222222219</v>
      </c>
      <c r="H627">
        <v>5</v>
      </c>
      <c r="I627">
        <v>7</v>
      </c>
      <c r="J627" t="b">
        <v>0</v>
      </c>
      <c r="K627" t="b">
        <v>0</v>
      </c>
      <c r="L627" t="b">
        <v>0</v>
      </c>
      <c r="M627">
        <v>8</v>
      </c>
      <c r="N627" t="s">
        <v>1130</v>
      </c>
      <c r="O627" s="1">
        <v>46267.217361111107</v>
      </c>
      <c r="P627" t="b">
        <v>0</v>
      </c>
      <c r="Q627" t="s">
        <v>1119</v>
      </c>
      <c r="R627" t="s">
        <v>1131</v>
      </c>
      <c r="S627" t="s">
        <v>1132</v>
      </c>
      <c r="T627" t="s">
        <v>1145</v>
      </c>
      <c r="U627" t="s">
        <v>1145</v>
      </c>
      <c r="V627" t="s">
        <v>1284</v>
      </c>
      <c r="W627" t="s">
        <v>1257</v>
      </c>
      <c r="X627">
        <v>5</v>
      </c>
      <c r="Y627" t="s">
        <v>1161</v>
      </c>
      <c r="Z627" t="s">
        <v>1134</v>
      </c>
      <c r="AA627">
        <v>1.4</v>
      </c>
    </row>
    <row r="628" spans="1:27" x14ac:dyDescent="0.3">
      <c r="A628" t="s">
        <v>937</v>
      </c>
      <c r="B628" t="s">
        <v>1162</v>
      </c>
      <c r="C628" t="s">
        <v>1063</v>
      </c>
      <c r="D628" t="s">
        <v>1280</v>
      </c>
      <c r="E628" t="s">
        <v>1309</v>
      </c>
      <c r="F628" s="1">
        <v>46268.013194444437</v>
      </c>
      <c r="G628" s="1">
        <v>46268.018055555563</v>
      </c>
      <c r="H628">
        <v>6</v>
      </c>
      <c r="I628">
        <v>7</v>
      </c>
      <c r="J628" t="b">
        <v>0</v>
      </c>
      <c r="K628" t="b">
        <v>0</v>
      </c>
      <c r="L628" t="b">
        <v>0</v>
      </c>
      <c r="M628">
        <v>15</v>
      </c>
      <c r="N628" t="s">
        <v>1130</v>
      </c>
      <c r="O628" s="1">
        <v>46267.895833333343</v>
      </c>
      <c r="P628" t="b">
        <v>0</v>
      </c>
      <c r="Q628" t="s">
        <v>1119</v>
      </c>
      <c r="R628" t="s">
        <v>1120</v>
      </c>
      <c r="S628" t="s">
        <v>1157</v>
      </c>
      <c r="T628" t="s">
        <v>1122</v>
      </c>
      <c r="U628" t="s">
        <v>1172</v>
      </c>
      <c r="V628" t="s">
        <v>1151</v>
      </c>
      <c r="W628" t="s">
        <v>1257</v>
      </c>
      <c r="X628">
        <v>21</v>
      </c>
      <c r="Y628" t="s">
        <v>1161</v>
      </c>
      <c r="Z628" t="s">
        <v>1127</v>
      </c>
      <c r="AA628">
        <v>1.166666666666667</v>
      </c>
    </row>
    <row r="629" spans="1:27" x14ac:dyDescent="0.3">
      <c r="A629" t="s">
        <v>941</v>
      </c>
      <c r="B629" t="s">
        <v>1315</v>
      </c>
      <c r="C629" t="s">
        <v>1062</v>
      </c>
      <c r="D629" t="s">
        <v>1238</v>
      </c>
      <c r="E629" t="s">
        <v>1379</v>
      </c>
      <c r="F629" s="1">
        <v>46278.415972222218</v>
      </c>
      <c r="G629" s="1">
        <v>46278.42083333333</v>
      </c>
      <c r="H629">
        <v>1</v>
      </c>
      <c r="I629">
        <v>7</v>
      </c>
      <c r="J629" t="b">
        <v>0</v>
      </c>
      <c r="K629" t="b">
        <v>0</v>
      </c>
      <c r="L629" t="b">
        <v>0</v>
      </c>
      <c r="N629" t="s">
        <v>1118</v>
      </c>
      <c r="O629" s="1">
        <v>46278.355555555558</v>
      </c>
      <c r="P629" t="b">
        <v>1</v>
      </c>
      <c r="Q629" t="s">
        <v>1179</v>
      </c>
      <c r="R629" t="s">
        <v>1120</v>
      </c>
      <c r="S629" t="s">
        <v>1145</v>
      </c>
      <c r="T629" t="s">
        <v>1122</v>
      </c>
      <c r="U629" t="s">
        <v>1123</v>
      </c>
      <c r="V629" t="s">
        <v>1151</v>
      </c>
      <c r="W629" t="s">
        <v>1131</v>
      </c>
      <c r="X629">
        <v>8</v>
      </c>
      <c r="Y629" t="s">
        <v>1133</v>
      </c>
      <c r="AA629">
        <v>7</v>
      </c>
    </row>
    <row r="630" spans="1:27" x14ac:dyDescent="0.3">
      <c r="A630" t="s">
        <v>943</v>
      </c>
      <c r="B630" t="s">
        <v>1315</v>
      </c>
      <c r="C630" t="s">
        <v>1070</v>
      </c>
      <c r="D630" t="s">
        <v>1255</v>
      </c>
      <c r="E630" t="s">
        <v>1225</v>
      </c>
      <c r="F630" s="1">
        <v>46278.463194444441</v>
      </c>
      <c r="G630" s="1">
        <v>46278.468055555553</v>
      </c>
      <c r="H630">
        <v>1</v>
      </c>
      <c r="I630">
        <v>7</v>
      </c>
      <c r="J630" t="b">
        <v>0</v>
      </c>
      <c r="K630" t="b">
        <v>0</v>
      </c>
      <c r="L630" t="b">
        <v>0</v>
      </c>
      <c r="N630" t="s">
        <v>1118</v>
      </c>
      <c r="O630" s="1">
        <v>46278.355555555558</v>
      </c>
      <c r="P630" t="b">
        <v>1</v>
      </c>
      <c r="Q630" t="s">
        <v>1151</v>
      </c>
      <c r="R630" t="s">
        <v>1120</v>
      </c>
      <c r="S630" t="s">
        <v>1152</v>
      </c>
      <c r="T630" t="s">
        <v>1180</v>
      </c>
      <c r="U630" t="s">
        <v>1145</v>
      </c>
      <c r="V630" t="s">
        <v>1141</v>
      </c>
      <c r="W630" t="s">
        <v>1257</v>
      </c>
      <c r="X630">
        <v>8</v>
      </c>
      <c r="Y630" t="s">
        <v>1133</v>
      </c>
      <c r="AA630">
        <v>7</v>
      </c>
    </row>
    <row r="631" spans="1:27" x14ac:dyDescent="0.3">
      <c r="A631" t="s">
        <v>112</v>
      </c>
      <c r="B631" t="s">
        <v>1465</v>
      </c>
      <c r="C631" t="s">
        <v>1074</v>
      </c>
      <c r="D631" t="s">
        <v>1280</v>
      </c>
      <c r="E631" t="s">
        <v>1301</v>
      </c>
      <c r="F631" s="1">
        <v>46271.411111111112</v>
      </c>
      <c r="G631" s="1">
        <v>46271.415972222218</v>
      </c>
      <c r="H631">
        <v>6</v>
      </c>
      <c r="I631">
        <v>7</v>
      </c>
      <c r="J631" t="b">
        <v>0</v>
      </c>
      <c r="K631" t="b">
        <v>0</v>
      </c>
      <c r="L631" t="b">
        <v>0</v>
      </c>
      <c r="M631">
        <v>5</v>
      </c>
      <c r="N631" t="s">
        <v>1118</v>
      </c>
      <c r="O631" s="1">
        <v>46271.359027777777</v>
      </c>
      <c r="P631" t="b">
        <v>0</v>
      </c>
      <c r="Q631" t="s">
        <v>1169</v>
      </c>
      <c r="R631" t="s">
        <v>1131</v>
      </c>
      <c r="S631" t="s">
        <v>1145</v>
      </c>
      <c r="T631" t="s">
        <v>1145</v>
      </c>
      <c r="U631" t="s">
        <v>1145</v>
      </c>
      <c r="V631" t="s">
        <v>1151</v>
      </c>
      <c r="W631" t="s">
        <v>1257</v>
      </c>
      <c r="X631">
        <v>8</v>
      </c>
      <c r="Y631" t="s">
        <v>1133</v>
      </c>
      <c r="Z631" t="s">
        <v>1147</v>
      </c>
      <c r="AA631">
        <v>1.166666666666667</v>
      </c>
    </row>
    <row r="632" spans="1:27" x14ac:dyDescent="0.3">
      <c r="A632" t="s">
        <v>118</v>
      </c>
      <c r="B632" t="s">
        <v>1466</v>
      </c>
      <c r="C632" t="s">
        <v>1084</v>
      </c>
      <c r="D632" t="s">
        <v>1116</v>
      </c>
      <c r="E632" t="s">
        <v>1312</v>
      </c>
      <c r="F632" s="1">
        <v>46281.768750000003</v>
      </c>
      <c r="G632" s="1">
        <v>46281.773611111108</v>
      </c>
      <c r="H632">
        <v>5</v>
      </c>
      <c r="I632">
        <v>7</v>
      </c>
      <c r="J632" t="b">
        <v>0</v>
      </c>
      <c r="K632" t="b">
        <v>0</v>
      </c>
      <c r="L632" t="b">
        <v>0</v>
      </c>
      <c r="M632">
        <v>3</v>
      </c>
      <c r="N632" t="s">
        <v>1130</v>
      </c>
      <c r="O632" s="1">
        <v>46281.665972222218</v>
      </c>
      <c r="P632" t="b">
        <v>0</v>
      </c>
      <c r="Q632" t="s">
        <v>1119</v>
      </c>
      <c r="R632" t="s">
        <v>1120</v>
      </c>
      <c r="S632" t="s">
        <v>1157</v>
      </c>
      <c r="T632" t="s">
        <v>1122</v>
      </c>
      <c r="U632" t="s">
        <v>1247</v>
      </c>
      <c r="V632" t="s">
        <v>1124</v>
      </c>
      <c r="W632" t="s">
        <v>1125</v>
      </c>
      <c r="X632">
        <v>15</v>
      </c>
      <c r="Y632" t="s">
        <v>1161</v>
      </c>
      <c r="Z632" t="s">
        <v>1147</v>
      </c>
      <c r="AA632">
        <v>1.4</v>
      </c>
    </row>
    <row r="633" spans="1:27" x14ac:dyDescent="0.3">
      <c r="A633" t="s">
        <v>119</v>
      </c>
      <c r="B633" t="s">
        <v>1466</v>
      </c>
      <c r="C633" t="s">
        <v>1058</v>
      </c>
      <c r="D633" t="s">
        <v>1255</v>
      </c>
      <c r="E633" t="s">
        <v>1175</v>
      </c>
      <c r="F633" s="1">
        <v>46281.690972222219</v>
      </c>
      <c r="G633" s="1">
        <v>46281.695833333331</v>
      </c>
      <c r="H633">
        <v>5</v>
      </c>
      <c r="I633">
        <v>7</v>
      </c>
      <c r="J633" t="b">
        <v>0</v>
      </c>
      <c r="K633" t="b">
        <v>0</v>
      </c>
      <c r="L633" t="b">
        <v>0</v>
      </c>
      <c r="M633">
        <v>3</v>
      </c>
      <c r="N633" t="s">
        <v>1130</v>
      </c>
      <c r="O633" s="1">
        <v>46281.665972222218</v>
      </c>
      <c r="P633" t="b">
        <v>0</v>
      </c>
      <c r="Q633" t="s">
        <v>1169</v>
      </c>
      <c r="R633" t="s">
        <v>1139</v>
      </c>
      <c r="S633" t="s">
        <v>1152</v>
      </c>
      <c r="T633" t="s">
        <v>1122</v>
      </c>
      <c r="U633" t="s">
        <v>1145</v>
      </c>
      <c r="V633" t="s">
        <v>1141</v>
      </c>
      <c r="W633" t="s">
        <v>1257</v>
      </c>
      <c r="X633">
        <v>15</v>
      </c>
      <c r="Y633" t="s">
        <v>1161</v>
      </c>
      <c r="Z633" t="s">
        <v>1147</v>
      </c>
      <c r="AA633">
        <v>1.4</v>
      </c>
    </row>
    <row r="634" spans="1:27" x14ac:dyDescent="0.3">
      <c r="A634" t="s">
        <v>481</v>
      </c>
      <c r="B634" t="s">
        <v>1384</v>
      </c>
      <c r="C634" t="s">
        <v>1068</v>
      </c>
      <c r="D634" t="s">
        <v>1280</v>
      </c>
      <c r="E634" t="s">
        <v>1272</v>
      </c>
      <c r="F634" s="1">
        <v>46284.245833333327</v>
      </c>
      <c r="G634" s="1">
        <v>46284.250694444447</v>
      </c>
      <c r="H634">
        <v>6</v>
      </c>
      <c r="I634">
        <v>7</v>
      </c>
      <c r="J634" t="b">
        <v>0</v>
      </c>
      <c r="K634" t="b">
        <v>0</v>
      </c>
      <c r="L634" t="b">
        <v>0</v>
      </c>
      <c r="M634">
        <v>4</v>
      </c>
      <c r="N634" t="s">
        <v>1130</v>
      </c>
      <c r="O634" s="1">
        <v>46284.208333333343</v>
      </c>
      <c r="P634" t="b">
        <v>0</v>
      </c>
      <c r="Q634" t="s">
        <v>1179</v>
      </c>
      <c r="R634" t="s">
        <v>1120</v>
      </c>
      <c r="S634" t="s">
        <v>1157</v>
      </c>
      <c r="T634" t="s">
        <v>1122</v>
      </c>
      <c r="U634" t="s">
        <v>1123</v>
      </c>
      <c r="V634" t="s">
        <v>1151</v>
      </c>
      <c r="W634" t="s">
        <v>1257</v>
      </c>
      <c r="X634">
        <v>5</v>
      </c>
      <c r="Y634" t="s">
        <v>1173</v>
      </c>
      <c r="Z634" t="s">
        <v>1147</v>
      </c>
      <c r="AA634">
        <v>1.166666666666667</v>
      </c>
    </row>
    <row r="635" spans="1:27" x14ac:dyDescent="0.3">
      <c r="A635" t="s">
        <v>483</v>
      </c>
      <c r="B635" t="s">
        <v>1304</v>
      </c>
      <c r="C635" t="s">
        <v>1079</v>
      </c>
      <c r="D635" t="s">
        <v>1283</v>
      </c>
      <c r="E635" t="s">
        <v>1237</v>
      </c>
      <c r="F635" s="1">
        <v>46268.131249999999</v>
      </c>
      <c r="G635" s="1">
        <v>46268.136111111111</v>
      </c>
      <c r="H635">
        <v>1</v>
      </c>
      <c r="I635">
        <v>7</v>
      </c>
      <c r="J635" t="b">
        <v>0</v>
      </c>
      <c r="K635" t="b">
        <v>0</v>
      </c>
      <c r="L635" t="b">
        <v>0</v>
      </c>
      <c r="M635">
        <v>15</v>
      </c>
      <c r="N635" t="s">
        <v>1118</v>
      </c>
      <c r="O635" s="1">
        <v>46268.107638888891</v>
      </c>
      <c r="P635" t="b">
        <v>0</v>
      </c>
      <c r="Q635" t="s">
        <v>1151</v>
      </c>
      <c r="R635" t="s">
        <v>1120</v>
      </c>
      <c r="S635" t="s">
        <v>1152</v>
      </c>
      <c r="T635" t="s">
        <v>1145</v>
      </c>
      <c r="U635" t="s">
        <v>1123</v>
      </c>
      <c r="V635" t="s">
        <v>1284</v>
      </c>
      <c r="W635" t="s">
        <v>1131</v>
      </c>
      <c r="X635">
        <v>2</v>
      </c>
      <c r="Y635" t="s">
        <v>1146</v>
      </c>
      <c r="Z635" t="s">
        <v>1127</v>
      </c>
      <c r="AA635">
        <v>7</v>
      </c>
    </row>
    <row r="636" spans="1:27" x14ac:dyDescent="0.3">
      <c r="A636" t="s">
        <v>408</v>
      </c>
      <c r="B636" t="s">
        <v>1467</v>
      </c>
      <c r="C636" t="s">
        <v>1074</v>
      </c>
      <c r="D636" t="s">
        <v>1283</v>
      </c>
      <c r="E636" t="s">
        <v>1249</v>
      </c>
      <c r="F636" s="1">
        <v>46269.132638888892</v>
      </c>
      <c r="G636" s="1">
        <v>46269.137499999997</v>
      </c>
      <c r="H636">
        <v>7</v>
      </c>
      <c r="I636">
        <v>7</v>
      </c>
      <c r="J636" t="b">
        <v>0</v>
      </c>
      <c r="K636" t="b">
        <v>0</v>
      </c>
      <c r="L636" t="b">
        <v>0</v>
      </c>
      <c r="M636">
        <v>1</v>
      </c>
      <c r="N636" t="s">
        <v>1118</v>
      </c>
      <c r="O636" s="1">
        <v>46269.072916666657</v>
      </c>
      <c r="P636" t="b">
        <v>0</v>
      </c>
      <c r="Q636" t="s">
        <v>1169</v>
      </c>
      <c r="R636" t="s">
        <v>1131</v>
      </c>
      <c r="S636" t="s">
        <v>1157</v>
      </c>
      <c r="T636" t="s">
        <v>1145</v>
      </c>
      <c r="U636" t="s">
        <v>1145</v>
      </c>
      <c r="V636" t="s">
        <v>1284</v>
      </c>
      <c r="W636" t="s">
        <v>1131</v>
      </c>
      <c r="X636">
        <v>1</v>
      </c>
      <c r="Y636" t="s">
        <v>1142</v>
      </c>
      <c r="Z636" t="s">
        <v>1147</v>
      </c>
      <c r="AA636">
        <v>1</v>
      </c>
    </row>
    <row r="637" spans="1:27" x14ac:dyDescent="0.3">
      <c r="A637" t="s">
        <v>409</v>
      </c>
      <c r="B637" t="s">
        <v>1194</v>
      </c>
      <c r="C637" t="s">
        <v>1063</v>
      </c>
      <c r="D637" t="s">
        <v>1280</v>
      </c>
      <c r="E637" t="s">
        <v>1209</v>
      </c>
      <c r="F637" s="1">
        <v>46293.809027777781</v>
      </c>
      <c r="G637" s="1">
        <v>46293.813888888893</v>
      </c>
      <c r="H637">
        <v>6</v>
      </c>
      <c r="I637">
        <v>7</v>
      </c>
      <c r="J637" t="b">
        <v>0</v>
      </c>
      <c r="K637" t="b">
        <v>0</v>
      </c>
      <c r="L637" t="b">
        <v>0</v>
      </c>
      <c r="M637">
        <v>3</v>
      </c>
      <c r="N637" t="s">
        <v>1118</v>
      </c>
      <c r="O637" s="1">
        <v>46293.740277777782</v>
      </c>
      <c r="P637" t="b">
        <v>0</v>
      </c>
      <c r="Q637" t="s">
        <v>1138</v>
      </c>
      <c r="R637" t="s">
        <v>1131</v>
      </c>
      <c r="S637" t="s">
        <v>1132</v>
      </c>
      <c r="T637" t="s">
        <v>1122</v>
      </c>
      <c r="U637" t="s">
        <v>1172</v>
      </c>
      <c r="V637" t="s">
        <v>1151</v>
      </c>
      <c r="W637" t="s">
        <v>1257</v>
      </c>
      <c r="X637">
        <v>17</v>
      </c>
      <c r="Y637" t="s">
        <v>1185</v>
      </c>
      <c r="Z637" t="s">
        <v>1147</v>
      </c>
      <c r="AA637">
        <v>1.166666666666667</v>
      </c>
    </row>
    <row r="638" spans="1:27" x14ac:dyDescent="0.3">
      <c r="A638" t="s">
        <v>488</v>
      </c>
      <c r="B638" t="s">
        <v>1304</v>
      </c>
      <c r="C638" t="s">
        <v>1082</v>
      </c>
      <c r="D638" t="s">
        <v>1255</v>
      </c>
      <c r="E638" t="s">
        <v>1165</v>
      </c>
      <c r="F638" s="1">
        <v>46268.136111111111</v>
      </c>
      <c r="G638" s="1">
        <v>46268.140972222223</v>
      </c>
      <c r="H638">
        <v>7</v>
      </c>
      <c r="I638">
        <v>7</v>
      </c>
      <c r="J638" t="b">
        <v>0</v>
      </c>
      <c r="K638" t="b">
        <v>0</v>
      </c>
      <c r="L638" t="b">
        <v>0</v>
      </c>
      <c r="M638">
        <v>15</v>
      </c>
      <c r="N638" t="s">
        <v>1118</v>
      </c>
      <c r="O638" s="1">
        <v>46268.107638888891</v>
      </c>
      <c r="P638" t="b">
        <v>0</v>
      </c>
      <c r="Q638" t="s">
        <v>1138</v>
      </c>
      <c r="R638" t="s">
        <v>1120</v>
      </c>
      <c r="S638" t="s">
        <v>1152</v>
      </c>
      <c r="T638" t="s">
        <v>1122</v>
      </c>
      <c r="U638" t="s">
        <v>1145</v>
      </c>
      <c r="V638" t="s">
        <v>1141</v>
      </c>
      <c r="W638" t="s">
        <v>1257</v>
      </c>
      <c r="X638">
        <v>2</v>
      </c>
      <c r="Y638" t="s">
        <v>1146</v>
      </c>
      <c r="Z638" t="s">
        <v>1127</v>
      </c>
      <c r="AA638">
        <v>1</v>
      </c>
    </row>
    <row r="639" spans="1:27" x14ac:dyDescent="0.3">
      <c r="A639" t="s">
        <v>952</v>
      </c>
      <c r="B639" t="s">
        <v>1263</v>
      </c>
      <c r="C639" t="s">
        <v>1086</v>
      </c>
      <c r="D639" t="s">
        <v>1116</v>
      </c>
      <c r="E639" t="s">
        <v>1346</v>
      </c>
      <c r="F639" s="1">
        <v>46269.256944444453</v>
      </c>
      <c r="G639" s="1">
        <v>46269.261805555558</v>
      </c>
      <c r="H639">
        <v>2</v>
      </c>
      <c r="I639">
        <v>7</v>
      </c>
      <c r="J639" t="b">
        <v>0</v>
      </c>
      <c r="K639" t="b">
        <v>0</v>
      </c>
      <c r="L639" t="b">
        <v>0</v>
      </c>
      <c r="M639">
        <v>8</v>
      </c>
      <c r="N639" t="s">
        <v>1118</v>
      </c>
      <c r="O639" s="1">
        <v>46269.193055555559</v>
      </c>
      <c r="P639" t="b">
        <v>0</v>
      </c>
      <c r="Q639" t="s">
        <v>1179</v>
      </c>
      <c r="R639" t="s">
        <v>1120</v>
      </c>
      <c r="S639" t="s">
        <v>1121</v>
      </c>
      <c r="T639" t="s">
        <v>1122</v>
      </c>
      <c r="U639" t="s">
        <v>1145</v>
      </c>
      <c r="V639" t="s">
        <v>1124</v>
      </c>
      <c r="W639" t="s">
        <v>1125</v>
      </c>
      <c r="X639">
        <v>4</v>
      </c>
      <c r="Y639" t="s">
        <v>1142</v>
      </c>
      <c r="Z639" t="s">
        <v>1134</v>
      </c>
      <c r="AA639">
        <v>3.5</v>
      </c>
    </row>
    <row r="640" spans="1:27" x14ac:dyDescent="0.3">
      <c r="A640" t="s">
        <v>652</v>
      </c>
      <c r="B640" t="s">
        <v>1327</v>
      </c>
      <c r="C640" t="s">
        <v>1077</v>
      </c>
      <c r="D640" t="s">
        <v>1255</v>
      </c>
      <c r="E640" t="s">
        <v>1253</v>
      </c>
      <c r="F640" s="1">
        <v>46269.368055555547</v>
      </c>
      <c r="G640" s="1">
        <v>46269.372916666667</v>
      </c>
      <c r="H640">
        <v>1</v>
      </c>
      <c r="I640">
        <v>7</v>
      </c>
      <c r="J640" t="b">
        <v>0</v>
      </c>
      <c r="K640" t="b">
        <v>0</v>
      </c>
      <c r="L640" t="b">
        <v>0</v>
      </c>
      <c r="M640">
        <v>12</v>
      </c>
      <c r="N640" t="s">
        <v>1130</v>
      </c>
      <c r="O640" s="1">
        <v>46269.290277777778</v>
      </c>
      <c r="P640" t="b">
        <v>0</v>
      </c>
      <c r="Q640" t="s">
        <v>1156</v>
      </c>
      <c r="R640" t="s">
        <v>1139</v>
      </c>
      <c r="S640" t="s">
        <v>1121</v>
      </c>
      <c r="T640" t="s">
        <v>1122</v>
      </c>
      <c r="U640" t="s">
        <v>1172</v>
      </c>
      <c r="V640" t="s">
        <v>1141</v>
      </c>
      <c r="W640" t="s">
        <v>1257</v>
      </c>
      <c r="X640">
        <v>6</v>
      </c>
      <c r="Y640" t="s">
        <v>1142</v>
      </c>
      <c r="Z640" t="s">
        <v>1127</v>
      </c>
      <c r="AA640">
        <v>7</v>
      </c>
    </row>
    <row r="641" spans="1:27" x14ac:dyDescent="0.3">
      <c r="A641" t="s">
        <v>664</v>
      </c>
      <c r="B641" t="s">
        <v>1341</v>
      </c>
      <c r="C641" t="s">
        <v>1078</v>
      </c>
      <c r="D641" t="s">
        <v>1283</v>
      </c>
      <c r="E641" t="s">
        <v>1274</v>
      </c>
      <c r="F641" s="1">
        <v>46294.061805555553</v>
      </c>
      <c r="G641" s="1">
        <v>46294.066666666673</v>
      </c>
      <c r="H641">
        <v>4</v>
      </c>
      <c r="I641">
        <v>7</v>
      </c>
      <c r="J641" t="b">
        <v>0</v>
      </c>
      <c r="K641" t="b">
        <v>0</v>
      </c>
      <c r="L641" t="b">
        <v>0</v>
      </c>
      <c r="M641">
        <v>4</v>
      </c>
      <c r="N641" t="s">
        <v>1130</v>
      </c>
      <c r="O641" s="1">
        <v>46293.981944444437</v>
      </c>
      <c r="P641" t="b">
        <v>0</v>
      </c>
      <c r="Q641" t="s">
        <v>1138</v>
      </c>
      <c r="R641" t="s">
        <v>1120</v>
      </c>
      <c r="S641" t="s">
        <v>1157</v>
      </c>
      <c r="T641" t="s">
        <v>1145</v>
      </c>
      <c r="U641" t="s">
        <v>1172</v>
      </c>
      <c r="V641" t="s">
        <v>1284</v>
      </c>
      <c r="W641" t="s">
        <v>1131</v>
      </c>
      <c r="X641">
        <v>23</v>
      </c>
      <c r="Y641" t="s">
        <v>1185</v>
      </c>
      <c r="Z641" t="s">
        <v>1147</v>
      </c>
      <c r="AA641">
        <v>1.75</v>
      </c>
    </row>
    <row r="642" spans="1:27" x14ac:dyDescent="0.3">
      <c r="A642" t="s">
        <v>672</v>
      </c>
      <c r="B642" t="s">
        <v>1242</v>
      </c>
      <c r="C642" t="s">
        <v>1063</v>
      </c>
      <c r="D642" t="s">
        <v>1255</v>
      </c>
      <c r="E642" t="s">
        <v>1154</v>
      </c>
      <c r="F642" s="1">
        <v>46273.128472222219</v>
      </c>
      <c r="G642" s="1">
        <v>46273.133333333331</v>
      </c>
      <c r="H642">
        <v>4</v>
      </c>
      <c r="I642">
        <v>7</v>
      </c>
      <c r="J642" t="b">
        <v>0</v>
      </c>
      <c r="K642" t="b">
        <v>0</v>
      </c>
      <c r="L642" t="b">
        <v>0</v>
      </c>
      <c r="M642">
        <v>10</v>
      </c>
      <c r="N642" t="s">
        <v>1168</v>
      </c>
      <c r="O642" s="1">
        <v>46273.044444444437</v>
      </c>
      <c r="P642" t="b">
        <v>0</v>
      </c>
      <c r="Q642" t="s">
        <v>1156</v>
      </c>
      <c r="R642" t="s">
        <v>1131</v>
      </c>
      <c r="S642" t="s">
        <v>1157</v>
      </c>
      <c r="T642" t="s">
        <v>1122</v>
      </c>
      <c r="U642" t="s">
        <v>1172</v>
      </c>
      <c r="V642" t="s">
        <v>1141</v>
      </c>
      <c r="W642" t="s">
        <v>1257</v>
      </c>
      <c r="X642">
        <v>1</v>
      </c>
      <c r="Y642" t="s">
        <v>1126</v>
      </c>
      <c r="Z642" t="s">
        <v>1134</v>
      </c>
      <c r="AA642">
        <v>1.75</v>
      </c>
    </row>
    <row r="643" spans="1:27" x14ac:dyDescent="0.3">
      <c r="A643" t="s">
        <v>248</v>
      </c>
      <c r="B643" t="s">
        <v>1428</v>
      </c>
      <c r="C643" t="s">
        <v>1081</v>
      </c>
      <c r="D643" t="s">
        <v>1136</v>
      </c>
      <c r="E643" t="s">
        <v>1305</v>
      </c>
      <c r="F643" s="1">
        <v>46283.371527777781</v>
      </c>
      <c r="G643" s="1">
        <v>46283.376388888893</v>
      </c>
      <c r="H643">
        <v>2</v>
      </c>
      <c r="I643">
        <v>7</v>
      </c>
      <c r="J643" t="b">
        <v>0</v>
      </c>
      <c r="K643" t="b">
        <v>0</v>
      </c>
      <c r="L643" t="b">
        <v>0</v>
      </c>
      <c r="M643">
        <v>20</v>
      </c>
      <c r="N643" t="s">
        <v>1130</v>
      </c>
      <c r="O643" s="1">
        <v>46283.30972222222</v>
      </c>
      <c r="P643" t="b">
        <v>0</v>
      </c>
      <c r="Q643" t="s">
        <v>1156</v>
      </c>
      <c r="R643" t="s">
        <v>1131</v>
      </c>
      <c r="S643" t="s">
        <v>1157</v>
      </c>
      <c r="T643" t="s">
        <v>1180</v>
      </c>
      <c r="U643" t="s">
        <v>1247</v>
      </c>
      <c r="V643" t="s">
        <v>1141</v>
      </c>
      <c r="W643" t="s">
        <v>1125</v>
      </c>
      <c r="X643">
        <v>7</v>
      </c>
      <c r="Y643" t="s">
        <v>1142</v>
      </c>
      <c r="Z643" t="s">
        <v>1127</v>
      </c>
      <c r="AA643">
        <v>3.5</v>
      </c>
    </row>
    <row r="644" spans="1:27" x14ac:dyDescent="0.3">
      <c r="A644" t="s">
        <v>251</v>
      </c>
      <c r="B644" t="s">
        <v>1432</v>
      </c>
      <c r="C644" t="s">
        <v>1086</v>
      </c>
      <c r="D644" t="s">
        <v>1339</v>
      </c>
      <c r="E644" t="s">
        <v>1117</v>
      </c>
      <c r="F644" s="1">
        <v>46276.043749999997</v>
      </c>
      <c r="G644" s="1">
        <v>46276.048611111109</v>
      </c>
      <c r="H644">
        <v>6</v>
      </c>
      <c r="I644">
        <v>7</v>
      </c>
      <c r="J644" t="b">
        <v>0</v>
      </c>
      <c r="K644" t="b">
        <v>0</v>
      </c>
      <c r="L644" t="b">
        <v>0</v>
      </c>
      <c r="M644">
        <v>10</v>
      </c>
      <c r="N644" t="s">
        <v>1118</v>
      </c>
      <c r="O644" s="1">
        <v>46276.001388888893</v>
      </c>
      <c r="P644" t="b">
        <v>0</v>
      </c>
      <c r="Q644" t="s">
        <v>1119</v>
      </c>
      <c r="R644" t="s">
        <v>1120</v>
      </c>
      <c r="S644" t="s">
        <v>1121</v>
      </c>
      <c r="T644" t="s">
        <v>1122</v>
      </c>
      <c r="U644" t="s">
        <v>1145</v>
      </c>
      <c r="V644" t="s">
        <v>1284</v>
      </c>
      <c r="W644" t="s">
        <v>1257</v>
      </c>
      <c r="X644">
        <v>0</v>
      </c>
      <c r="Y644" t="s">
        <v>1142</v>
      </c>
      <c r="Z644" t="s">
        <v>1134</v>
      </c>
      <c r="AA644">
        <v>1.166666666666667</v>
      </c>
    </row>
    <row r="645" spans="1:27" x14ac:dyDescent="0.3">
      <c r="A645" t="s">
        <v>252</v>
      </c>
      <c r="B645" t="s">
        <v>1432</v>
      </c>
      <c r="C645" t="s">
        <v>1080</v>
      </c>
      <c r="D645" t="s">
        <v>1238</v>
      </c>
      <c r="E645" t="s">
        <v>1253</v>
      </c>
      <c r="F645" s="1">
        <v>46276.067361111112</v>
      </c>
      <c r="G645" s="1">
        <v>46276.072222222218</v>
      </c>
      <c r="H645">
        <v>5</v>
      </c>
      <c r="I645">
        <v>7</v>
      </c>
      <c r="J645" t="b">
        <v>0</v>
      </c>
      <c r="K645" t="b">
        <v>0</v>
      </c>
      <c r="L645" t="b">
        <v>0</v>
      </c>
      <c r="M645">
        <v>10</v>
      </c>
      <c r="N645" t="s">
        <v>1118</v>
      </c>
      <c r="O645" s="1">
        <v>46276.001388888893</v>
      </c>
      <c r="P645" t="b">
        <v>0</v>
      </c>
      <c r="Q645" t="s">
        <v>1156</v>
      </c>
      <c r="R645" t="s">
        <v>1139</v>
      </c>
      <c r="S645" t="s">
        <v>1121</v>
      </c>
      <c r="T645" t="s">
        <v>1122</v>
      </c>
      <c r="U645" t="s">
        <v>1247</v>
      </c>
      <c r="V645" t="s">
        <v>1151</v>
      </c>
      <c r="W645" t="s">
        <v>1131</v>
      </c>
      <c r="X645">
        <v>0</v>
      </c>
      <c r="Y645" t="s">
        <v>1142</v>
      </c>
      <c r="Z645" t="s">
        <v>1134</v>
      </c>
      <c r="AA645">
        <v>1.4</v>
      </c>
    </row>
    <row r="646" spans="1:27" x14ac:dyDescent="0.3">
      <c r="A646" t="s">
        <v>257</v>
      </c>
      <c r="B646" t="s">
        <v>1431</v>
      </c>
      <c r="C646" t="s">
        <v>1074</v>
      </c>
      <c r="D646" t="s">
        <v>1136</v>
      </c>
      <c r="E646" t="s">
        <v>1453</v>
      </c>
      <c r="F646" s="1">
        <v>46276.756944444453</v>
      </c>
      <c r="G646" s="1">
        <v>46276.761805555558</v>
      </c>
      <c r="H646">
        <v>5</v>
      </c>
      <c r="I646">
        <v>7</v>
      </c>
      <c r="J646" t="b">
        <v>0</v>
      </c>
      <c r="K646" t="b">
        <v>0</v>
      </c>
      <c r="L646" t="b">
        <v>0</v>
      </c>
      <c r="M646">
        <v>6</v>
      </c>
      <c r="N646" t="s">
        <v>1118</v>
      </c>
      <c r="O646" s="1">
        <v>46276.694444444453</v>
      </c>
      <c r="P646" t="b">
        <v>0</v>
      </c>
      <c r="Q646" t="s">
        <v>1156</v>
      </c>
      <c r="R646" t="s">
        <v>1131</v>
      </c>
      <c r="S646" t="s">
        <v>1121</v>
      </c>
      <c r="T646" t="s">
        <v>1145</v>
      </c>
      <c r="U646" t="s">
        <v>1145</v>
      </c>
      <c r="V646" t="s">
        <v>1141</v>
      </c>
      <c r="W646" t="s">
        <v>1125</v>
      </c>
      <c r="X646">
        <v>16</v>
      </c>
      <c r="Y646" t="s">
        <v>1142</v>
      </c>
      <c r="Z646" t="s">
        <v>1134</v>
      </c>
      <c r="AA646">
        <v>1.4</v>
      </c>
    </row>
    <row r="647" spans="1:27" x14ac:dyDescent="0.3">
      <c r="A647" t="s">
        <v>957</v>
      </c>
      <c r="B647" t="s">
        <v>1252</v>
      </c>
      <c r="C647" t="s">
        <v>1086</v>
      </c>
      <c r="D647" t="s">
        <v>1136</v>
      </c>
      <c r="E647" t="s">
        <v>1246</v>
      </c>
      <c r="F647" s="1">
        <v>46282.228472222218</v>
      </c>
      <c r="G647" s="1">
        <v>46282.23333333333</v>
      </c>
      <c r="H647">
        <v>6</v>
      </c>
      <c r="I647">
        <v>7</v>
      </c>
      <c r="J647" t="b">
        <v>0</v>
      </c>
      <c r="K647" t="b">
        <v>0</v>
      </c>
      <c r="L647" t="b">
        <v>0</v>
      </c>
      <c r="M647">
        <v>20</v>
      </c>
      <c r="N647" t="s">
        <v>1168</v>
      </c>
      <c r="O647" s="1">
        <v>46282.218055555553</v>
      </c>
      <c r="P647" t="b">
        <v>0</v>
      </c>
      <c r="Q647" t="s">
        <v>1145</v>
      </c>
      <c r="R647" t="s">
        <v>1120</v>
      </c>
      <c r="S647" t="s">
        <v>1157</v>
      </c>
      <c r="T647" t="s">
        <v>1122</v>
      </c>
      <c r="U647" t="s">
        <v>1145</v>
      </c>
      <c r="V647" t="s">
        <v>1141</v>
      </c>
      <c r="W647" t="s">
        <v>1125</v>
      </c>
      <c r="X647">
        <v>5</v>
      </c>
      <c r="Y647" t="s">
        <v>1146</v>
      </c>
      <c r="Z647" t="s">
        <v>1127</v>
      </c>
      <c r="AA647">
        <v>1.166666666666667</v>
      </c>
    </row>
    <row r="648" spans="1:27" x14ac:dyDescent="0.3">
      <c r="A648" t="s">
        <v>96</v>
      </c>
      <c r="B648" t="s">
        <v>1419</v>
      </c>
      <c r="C648" t="s">
        <v>1061</v>
      </c>
      <c r="D648" t="s">
        <v>1280</v>
      </c>
      <c r="E648" t="s">
        <v>1235</v>
      </c>
      <c r="F648" s="1">
        <v>46280.756944444453</v>
      </c>
      <c r="G648" s="1">
        <v>46280.761805555558</v>
      </c>
      <c r="H648">
        <v>4</v>
      </c>
      <c r="I648">
        <v>7</v>
      </c>
      <c r="J648" t="b">
        <v>0</v>
      </c>
      <c r="K648" t="b">
        <v>0</v>
      </c>
      <c r="L648" t="b">
        <v>0</v>
      </c>
      <c r="N648" t="s">
        <v>1118</v>
      </c>
      <c r="O648" s="1">
        <v>46280.645138888889</v>
      </c>
      <c r="P648" t="b">
        <v>1</v>
      </c>
      <c r="Q648" t="s">
        <v>1151</v>
      </c>
      <c r="R648" t="s">
        <v>1131</v>
      </c>
      <c r="S648" t="s">
        <v>1152</v>
      </c>
      <c r="T648" t="s">
        <v>1145</v>
      </c>
      <c r="U648" t="s">
        <v>1172</v>
      </c>
      <c r="V648" t="s">
        <v>1151</v>
      </c>
      <c r="W648" t="s">
        <v>1257</v>
      </c>
      <c r="X648">
        <v>15</v>
      </c>
      <c r="Y648" t="s">
        <v>1126</v>
      </c>
      <c r="AA648">
        <v>1.75</v>
      </c>
    </row>
    <row r="649" spans="1:27" x14ac:dyDescent="0.3">
      <c r="A649" t="s">
        <v>100</v>
      </c>
      <c r="B649" t="s">
        <v>1202</v>
      </c>
      <c r="C649" t="s">
        <v>1082</v>
      </c>
      <c r="D649" t="s">
        <v>1339</v>
      </c>
      <c r="E649" t="s">
        <v>1383</v>
      </c>
      <c r="F649" s="1">
        <v>46293.162499999999</v>
      </c>
      <c r="G649" s="1">
        <v>46293.167361111111</v>
      </c>
      <c r="H649">
        <v>7</v>
      </c>
      <c r="I649">
        <v>7</v>
      </c>
      <c r="J649" t="b">
        <v>0</v>
      </c>
      <c r="K649" t="b">
        <v>0</v>
      </c>
      <c r="L649" t="b">
        <v>0</v>
      </c>
      <c r="M649">
        <v>8</v>
      </c>
      <c r="N649" t="s">
        <v>1118</v>
      </c>
      <c r="O649" s="1">
        <v>46293.128472222219</v>
      </c>
      <c r="P649" t="b">
        <v>0</v>
      </c>
      <c r="Q649" t="s">
        <v>1119</v>
      </c>
      <c r="R649" t="s">
        <v>1131</v>
      </c>
      <c r="S649" t="s">
        <v>1132</v>
      </c>
      <c r="T649" t="s">
        <v>1122</v>
      </c>
      <c r="U649" t="s">
        <v>1145</v>
      </c>
      <c r="V649" t="s">
        <v>1284</v>
      </c>
      <c r="W649" t="s">
        <v>1257</v>
      </c>
      <c r="X649">
        <v>3</v>
      </c>
      <c r="Y649" t="s">
        <v>1185</v>
      </c>
      <c r="Z649" t="s">
        <v>1134</v>
      </c>
      <c r="AA649">
        <v>1</v>
      </c>
    </row>
    <row r="650" spans="1:27" x14ac:dyDescent="0.3">
      <c r="A650" t="s">
        <v>462</v>
      </c>
      <c r="B650" t="s">
        <v>1338</v>
      </c>
      <c r="C650" t="s">
        <v>1064</v>
      </c>
      <c r="D650" t="s">
        <v>1283</v>
      </c>
      <c r="E650" t="s">
        <v>1165</v>
      </c>
      <c r="F650" s="1">
        <v>46289.430555555547</v>
      </c>
      <c r="G650" s="1">
        <v>46289.435416666667</v>
      </c>
      <c r="H650">
        <v>1</v>
      </c>
      <c r="I650">
        <v>7</v>
      </c>
      <c r="J650" t="b">
        <v>0</v>
      </c>
      <c r="K650" t="b">
        <v>0</v>
      </c>
      <c r="L650" t="b">
        <v>0</v>
      </c>
      <c r="M650">
        <v>6</v>
      </c>
      <c r="N650" t="s">
        <v>1118</v>
      </c>
      <c r="O650" s="1">
        <v>46289.347222222219</v>
      </c>
      <c r="P650" t="b">
        <v>0</v>
      </c>
      <c r="Q650" t="s">
        <v>1138</v>
      </c>
      <c r="R650" t="s">
        <v>1120</v>
      </c>
      <c r="S650" t="s">
        <v>1152</v>
      </c>
      <c r="T650" t="s">
        <v>1122</v>
      </c>
      <c r="U650" t="s">
        <v>1123</v>
      </c>
      <c r="V650" t="s">
        <v>1284</v>
      </c>
      <c r="W650" t="s">
        <v>1131</v>
      </c>
      <c r="X650">
        <v>8</v>
      </c>
      <c r="Y650" t="s">
        <v>1146</v>
      </c>
      <c r="Z650" t="s">
        <v>1134</v>
      </c>
      <c r="AA650">
        <v>7</v>
      </c>
    </row>
    <row r="651" spans="1:27" x14ac:dyDescent="0.3">
      <c r="A651" t="s">
        <v>469</v>
      </c>
      <c r="B651" t="s">
        <v>1430</v>
      </c>
      <c r="C651" t="s">
        <v>1063</v>
      </c>
      <c r="D651" t="s">
        <v>1339</v>
      </c>
      <c r="E651" t="s">
        <v>1398</v>
      </c>
      <c r="F651" s="1">
        <v>46289.591666666667</v>
      </c>
      <c r="G651" s="1">
        <v>46289.59652777778</v>
      </c>
      <c r="H651">
        <v>3</v>
      </c>
      <c r="I651">
        <v>7</v>
      </c>
      <c r="J651" t="b">
        <v>0</v>
      </c>
      <c r="K651" t="b">
        <v>0</v>
      </c>
      <c r="L651" t="b">
        <v>0</v>
      </c>
      <c r="M651">
        <v>3</v>
      </c>
      <c r="N651" t="s">
        <v>1130</v>
      </c>
      <c r="O651" s="1">
        <v>46289.537499999999</v>
      </c>
      <c r="P651" t="b">
        <v>0</v>
      </c>
      <c r="Q651" t="s">
        <v>1169</v>
      </c>
      <c r="R651" t="s">
        <v>1120</v>
      </c>
      <c r="S651" t="s">
        <v>1132</v>
      </c>
      <c r="T651" t="s">
        <v>1122</v>
      </c>
      <c r="U651" t="s">
        <v>1172</v>
      </c>
      <c r="V651" t="s">
        <v>1284</v>
      </c>
      <c r="W651" t="s">
        <v>1257</v>
      </c>
      <c r="X651">
        <v>12</v>
      </c>
      <c r="Y651" t="s">
        <v>1146</v>
      </c>
      <c r="Z651" t="s">
        <v>1147</v>
      </c>
      <c r="AA651">
        <v>2.333333333333333</v>
      </c>
    </row>
    <row r="652" spans="1:27" x14ac:dyDescent="0.3">
      <c r="A652" t="s">
        <v>471</v>
      </c>
      <c r="B652" t="s">
        <v>1468</v>
      </c>
      <c r="C652" t="s">
        <v>1065</v>
      </c>
      <c r="D652" t="s">
        <v>1255</v>
      </c>
      <c r="E652" t="s">
        <v>1305</v>
      </c>
      <c r="F652" s="1">
        <v>46292.018750000003</v>
      </c>
      <c r="G652" s="1">
        <v>46292.023611111108</v>
      </c>
      <c r="H652">
        <v>4</v>
      </c>
      <c r="I652">
        <v>7</v>
      </c>
      <c r="J652" t="b">
        <v>0</v>
      </c>
      <c r="K652" t="b">
        <v>0</v>
      </c>
      <c r="L652" t="b">
        <v>0</v>
      </c>
      <c r="M652">
        <v>3</v>
      </c>
      <c r="N652" t="s">
        <v>1118</v>
      </c>
      <c r="O652" s="1">
        <v>46291.96597222222</v>
      </c>
      <c r="P652" t="b">
        <v>0</v>
      </c>
      <c r="Q652" t="s">
        <v>1156</v>
      </c>
      <c r="R652" t="s">
        <v>1131</v>
      </c>
      <c r="S652" t="s">
        <v>1157</v>
      </c>
      <c r="T652" t="s">
        <v>1180</v>
      </c>
      <c r="U652" t="s">
        <v>1247</v>
      </c>
      <c r="V652" t="s">
        <v>1141</v>
      </c>
      <c r="W652" t="s">
        <v>1257</v>
      </c>
      <c r="X652">
        <v>23</v>
      </c>
      <c r="Y652" t="s">
        <v>1173</v>
      </c>
      <c r="Z652" t="s">
        <v>1147</v>
      </c>
      <c r="AA652">
        <v>1.75</v>
      </c>
    </row>
    <row r="653" spans="1:27" x14ac:dyDescent="0.3">
      <c r="A653" t="s">
        <v>962</v>
      </c>
      <c r="B653" t="s">
        <v>1421</v>
      </c>
      <c r="C653" t="s">
        <v>1061</v>
      </c>
      <c r="D653" t="s">
        <v>1280</v>
      </c>
      <c r="E653" t="s">
        <v>1204</v>
      </c>
      <c r="F653" s="1">
        <v>46270.338888888888</v>
      </c>
      <c r="G653" s="1">
        <v>46270.34375</v>
      </c>
      <c r="H653">
        <v>4</v>
      </c>
      <c r="I653">
        <v>7</v>
      </c>
      <c r="J653" t="b">
        <v>0</v>
      </c>
      <c r="K653" t="b">
        <v>0</v>
      </c>
      <c r="L653" t="b">
        <v>0</v>
      </c>
      <c r="M653">
        <v>10</v>
      </c>
      <c r="N653" t="s">
        <v>1118</v>
      </c>
      <c r="O653" s="1">
        <v>46270.323611111111</v>
      </c>
      <c r="P653" t="b">
        <v>0</v>
      </c>
      <c r="Q653" t="s">
        <v>1169</v>
      </c>
      <c r="R653" t="s">
        <v>1131</v>
      </c>
      <c r="S653" t="s">
        <v>1157</v>
      </c>
      <c r="T653" t="s">
        <v>1145</v>
      </c>
      <c r="U653" t="s">
        <v>1172</v>
      </c>
      <c r="V653" t="s">
        <v>1151</v>
      </c>
      <c r="W653" t="s">
        <v>1257</v>
      </c>
      <c r="X653">
        <v>7</v>
      </c>
      <c r="Y653" t="s">
        <v>1173</v>
      </c>
      <c r="Z653" t="s">
        <v>1134</v>
      </c>
      <c r="AA653">
        <v>1.75</v>
      </c>
    </row>
    <row r="654" spans="1:27" x14ac:dyDescent="0.3">
      <c r="A654" t="s">
        <v>967</v>
      </c>
      <c r="B654" t="s">
        <v>1421</v>
      </c>
      <c r="C654" t="s">
        <v>1077</v>
      </c>
      <c r="D654" t="s">
        <v>1255</v>
      </c>
      <c r="E654" t="s">
        <v>1150</v>
      </c>
      <c r="F654" s="1">
        <v>46270.445138888892</v>
      </c>
      <c r="G654" s="1">
        <v>46270.45</v>
      </c>
      <c r="H654">
        <v>1</v>
      </c>
      <c r="I654">
        <v>7</v>
      </c>
      <c r="J654" t="b">
        <v>0</v>
      </c>
      <c r="K654" t="b">
        <v>0</v>
      </c>
      <c r="L654" t="b">
        <v>0</v>
      </c>
      <c r="M654">
        <v>10</v>
      </c>
      <c r="N654" t="s">
        <v>1118</v>
      </c>
      <c r="O654" s="1">
        <v>46270.323611111111</v>
      </c>
      <c r="P654" t="b">
        <v>0</v>
      </c>
      <c r="Q654" t="s">
        <v>1151</v>
      </c>
      <c r="R654" t="s">
        <v>1131</v>
      </c>
      <c r="S654" t="s">
        <v>1121</v>
      </c>
      <c r="T654" t="s">
        <v>1122</v>
      </c>
      <c r="U654" t="s">
        <v>1172</v>
      </c>
      <c r="V654" t="s">
        <v>1141</v>
      </c>
      <c r="W654" t="s">
        <v>1257</v>
      </c>
      <c r="X654">
        <v>7</v>
      </c>
      <c r="Y654" t="s">
        <v>1173</v>
      </c>
      <c r="Z654" t="s">
        <v>1134</v>
      </c>
      <c r="AA654">
        <v>7</v>
      </c>
    </row>
    <row r="655" spans="1:27" x14ac:dyDescent="0.3">
      <c r="A655" t="s">
        <v>272</v>
      </c>
      <c r="B655" t="s">
        <v>1469</v>
      </c>
      <c r="C655" t="s">
        <v>1074</v>
      </c>
      <c r="D655" t="s">
        <v>1280</v>
      </c>
      <c r="E655" t="s">
        <v>1159</v>
      </c>
      <c r="F655" s="1">
        <v>46292.198611111111</v>
      </c>
      <c r="G655" s="1">
        <v>46292.203472222223</v>
      </c>
      <c r="H655">
        <v>5</v>
      </c>
      <c r="I655">
        <v>7</v>
      </c>
      <c r="J655" t="b">
        <v>0</v>
      </c>
      <c r="K655" t="b">
        <v>0</v>
      </c>
      <c r="L655" t="b">
        <v>0</v>
      </c>
      <c r="M655">
        <v>1</v>
      </c>
      <c r="N655" t="s">
        <v>1118</v>
      </c>
      <c r="O655" s="1">
        <v>46292.109027777777</v>
      </c>
      <c r="P655" t="b">
        <v>0</v>
      </c>
      <c r="Q655" t="s">
        <v>1138</v>
      </c>
      <c r="R655" t="s">
        <v>1120</v>
      </c>
      <c r="S655" t="s">
        <v>1132</v>
      </c>
      <c r="T655" t="s">
        <v>1145</v>
      </c>
      <c r="U655" t="s">
        <v>1145</v>
      </c>
      <c r="V655" t="s">
        <v>1151</v>
      </c>
      <c r="W655" t="s">
        <v>1257</v>
      </c>
      <c r="X655">
        <v>2</v>
      </c>
      <c r="Y655" t="s">
        <v>1133</v>
      </c>
      <c r="Z655" t="s">
        <v>1147</v>
      </c>
      <c r="AA655">
        <v>1.4</v>
      </c>
    </row>
    <row r="656" spans="1:27" x14ac:dyDescent="0.3">
      <c r="A656" t="s">
        <v>735</v>
      </c>
      <c r="B656" t="s">
        <v>1264</v>
      </c>
      <c r="C656" t="s">
        <v>1080</v>
      </c>
      <c r="D656" t="s">
        <v>1283</v>
      </c>
      <c r="E656" t="s">
        <v>1182</v>
      </c>
      <c r="F656" s="1">
        <v>46272.593055555553</v>
      </c>
      <c r="G656" s="1">
        <v>46272.597916666673</v>
      </c>
      <c r="H656">
        <v>6</v>
      </c>
      <c r="I656">
        <v>7</v>
      </c>
      <c r="J656" t="b">
        <v>0</v>
      </c>
      <c r="K656" t="b">
        <v>0</v>
      </c>
      <c r="L656" t="b">
        <v>0</v>
      </c>
      <c r="M656">
        <v>6</v>
      </c>
      <c r="N656" t="s">
        <v>1155</v>
      </c>
      <c r="O656" s="1">
        <v>46272.520138888889</v>
      </c>
      <c r="P656" t="b">
        <v>0</v>
      </c>
      <c r="Q656" t="s">
        <v>1119</v>
      </c>
      <c r="R656" t="s">
        <v>1131</v>
      </c>
      <c r="S656" t="s">
        <v>1121</v>
      </c>
      <c r="T656" t="s">
        <v>1122</v>
      </c>
      <c r="U656" t="s">
        <v>1247</v>
      </c>
      <c r="V656" t="s">
        <v>1284</v>
      </c>
      <c r="W656" t="s">
        <v>1131</v>
      </c>
      <c r="X656">
        <v>12</v>
      </c>
      <c r="Y656" t="s">
        <v>1185</v>
      </c>
      <c r="Z656" t="s">
        <v>1134</v>
      </c>
      <c r="AA656">
        <v>1.166666666666667</v>
      </c>
    </row>
    <row r="657" spans="1:27" x14ac:dyDescent="0.3">
      <c r="A657" t="s">
        <v>736</v>
      </c>
      <c r="B657" t="s">
        <v>1268</v>
      </c>
      <c r="C657" t="s">
        <v>1087</v>
      </c>
      <c r="D657" t="s">
        <v>1136</v>
      </c>
      <c r="E657" t="s">
        <v>1366</v>
      </c>
      <c r="F657" s="1">
        <v>46269.993750000001</v>
      </c>
      <c r="G657" s="1">
        <v>46269.998611111107</v>
      </c>
      <c r="H657">
        <v>3</v>
      </c>
      <c r="I657">
        <v>7</v>
      </c>
      <c r="J657" t="b">
        <v>0</v>
      </c>
      <c r="K657" t="b">
        <v>0</v>
      </c>
      <c r="L657" t="b">
        <v>0</v>
      </c>
      <c r="M657">
        <v>4</v>
      </c>
      <c r="N657" t="s">
        <v>1130</v>
      </c>
      <c r="O657" s="1">
        <v>46269.984722222223</v>
      </c>
      <c r="P657" t="b">
        <v>0</v>
      </c>
      <c r="Q657" t="s">
        <v>1151</v>
      </c>
      <c r="R657" t="s">
        <v>1120</v>
      </c>
      <c r="S657" t="s">
        <v>1145</v>
      </c>
      <c r="T657" t="s">
        <v>1145</v>
      </c>
      <c r="U657" t="s">
        <v>1247</v>
      </c>
      <c r="V657" t="s">
        <v>1141</v>
      </c>
      <c r="W657" t="s">
        <v>1125</v>
      </c>
      <c r="X657">
        <v>23</v>
      </c>
      <c r="Y657" t="s">
        <v>1142</v>
      </c>
      <c r="Z657" t="s">
        <v>1147</v>
      </c>
      <c r="AA657">
        <v>2.333333333333333</v>
      </c>
    </row>
    <row r="658" spans="1:27" x14ac:dyDescent="0.3">
      <c r="A658" t="s">
        <v>751</v>
      </c>
      <c r="B658" t="s">
        <v>1373</v>
      </c>
      <c r="C658" t="s">
        <v>1063</v>
      </c>
      <c r="D658" t="s">
        <v>1255</v>
      </c>
      <c r="E658" t="s">
        <v>1364</v>
      </c>
      <c r="F658" s="1">
        <v>46285.493055555547</v>
      </c>
      <c r="G658" s="1">
        <v>46285.497916666667</v>
      </c>
      <c r="H658">
        <v>1</v>
      </c>
      <c r="I658">
        <v>7</v>
      </c>
      <c r="J658" t="b">
        <v>0</v>
      </c>
      <c r="K658" t="b">
        <v>0</v>
      </c>
      <c r="L658" t="b">
        <v>0</v>
      </c>
      <c r="M658">
        <v>8</v>
      </c>
      <c r="N658" t="s">
        <v>1118</v>
      </c>
      <c r="O658" s="1">
        <v>46285.378472222219</v>
      </c>
      <c r="P658" t="b">
        <v>0</v>
      </c>
      <c r="Q658" t="s">
        <v>1179</v>
      </c>
      <c r="R658" t="s">
        <v>1139</v>
      </c>
      <c r="S658" t="s">
        <v>1121</v>
      </c>
      <c r="T658" t="s">
        <v>1122</v>
      </c>
      <c r="U658" t="s">
        <v>1172</v>
      </c>
      <c r="V658" t="s">
        <v>1141</v>
      </c>
      <c r="W658" t="s">
        <v>1257</v>
      </c>
      <c r="X658">
        <v>9</v>
      </c>
      <c r="Y658" t="s">
        <v>1133</v>
      </c>
      <c r="Z658" t="s">
        <v>1134</v>
      </c>
      <c r="AA658">
        <v>7</v>
      </c>
    </row>
    <row r="659" spans="1:27" x14ac:dyDescent="0.3">
      <c r="A659" t="s">
        <v>684</v>
      </c>
      <c r="B659" t="s">
        <v>1470</v>
      </c>
      <c r="C659" t="s">
        <v>1083</v>
      </c>
      <c r="D659" t="s">
        <v>1283</v>
      </c>
      <c r="E659" t="s">
        <v>1321</v>
      </c>
      <c r="F659" s="1">
        <v>46279.536111111112</v>
      </c>
      <c r="G659" s="1">
        <v>46279.540972222218</v>
      </c>
      <c r="H659">
        <v>1</v>
      </c>
      <c r="I659">
        <v>7</v>
      </c>
      <c r="J659" t="b">
        <v>0</v>
      </c>
      <c r="K659" t="b">
        <v>0</v>
      </c>
      <c r="L659" t="b">
        <v>0</v>
      </c>
      <c r="M659">
        <v>4</v>
      </c>
      <c r="N659" t="s">
        <v>1118</v>
      </c>
      <c r="O659" s="1">
        <v>46279.511111111111</v>
      </c>
      <c r="P659" t="b">
        <v>0</v>
      </c>
      <c r="Q659" t="s">
        <v>1179</v>
      </c>
      <c r="R659" t="s">
        <v>1139</v>
      </c>
      <c r="S659" t="s">
        <v>1157</v>
      </c>
      <c r="T659" t="s">
        <v>1180</v>
      </c>
      <c r="U659" t="s">
        <v>1123</v>
      </c>
      <c r="V659" t="s">
        <v>1284</v>
      </c>
      <c r="W659" t="s">
        <v>1131</v>
      </c>
      <c r="X659">
        <v>12</v>
      </c>
      <c r="Y659" t="s">
        <v>1185</v>
      </c>
      <c r="Z659" t="s">
        <v>1147</v>
      </c>
      <c r="AA659">
        <v>7</v>
      </c>
    </row>
    <row r="660" spans="1:27" x14ac:dyDescent="0.3">
      <c r="A660" t="s">
        <v>687</v>
      </c>
      <c r="B660" t="s">
        <v>1427</v>
      </c>
      <c r="C660" t="s">
        <v>1085</v>
      </c>
      <c r="D660" t="s">
        <v>1136</v>
      </c>
      <c r="E660" t="s">
        <v>1198</v>
      </c>
      <c r="F660" s="1">
        <v>46281.195833333331</v>
      </c>
      <c r="G660" s="1">
        <v>46281.200694444437</v>
      </c>
      <c r="H660">
        <v>5</v>
      </c>
      <c r="I660">
        <v>7</v>
      </c>
      <c r="J660" t="b">
        <v>0</v>
      </c>
      <c r="K660" t="b">
        <v>0</v>
      </c>
      <c r="L660" t="b">
        <v>0</v>
      </c>
      <c r="M660">
        <v>5</v>
      </c>
      <c r="N660" t="s">
        <v>1130</v>
      </c>
      <c r="O660" s="1">
        <v>46281.169444444437</v>
      </c>
      <c r="P660" t="b">
        <v>0</v>
      </c>
      <c r="Q660" t="s">
        <v>1169</v>
      </c>
      <c r="R660" t="s">
        <v>1131</v>
      </c>
      <c r="S660" t="s">
        <v>1145</v>
      </c>
      <c r="T660" t="s">
        <v>1122</v>
      </c>
      <c r="U660" t="s">
        <v>1247</v>
      </c>
      <c r="V660" t="s">
        <v>1141</v>
      </c>
      <c r="W660" t="s">
        <v>1125</v>
      </c>
      <c r="X660">
        <v>4</v>
      </c>
      <c r="Y660" t="s">
        <v>1161</v>
      </c>
      <c r="Z660" t="s">
        <v>1147</v>
      </c>
      <c r="AA660">
        <v>1.4</v>
      </c>
    </row>
    <row r="661" spans="1:27" x14ac:dyDescent="0.3">
      <c r="A661" t="s">
        <v>974</v>
      </c>
      <c r="B661" t="s">
        <v>1422</v>
      </c>
      <c r="C661" t="s">
        <v>1085</v>
      </c>
      <c r="D661" t="s">
        <v>1280</v>
      </c>
      <c r="E661" t="s">
        <v>1244</v>
      </c>
      <c r="F661" s="1">
        <v>46277.591666666667</v>
      </c>
      <c r="G661" s="1">
        <v>46277.59652777778</v>
      </c>
      <c r="H661">
        <v>6</v>
      </c>
      <c r="I661">
        <v>7</v>
      </c>
      <c r="J661" t="b">
        <v>0</v>
      </c>
      <c r="K661" t="b">
        <v>0</v>
      </c>
      <c r="L661" t="b">
        <v>0</v>
      </c>
      <c r="M661">
        <v>6</v>
      </c>
      <c r="N661" t="s">
        <v>1168</v>
      </c>
      <c r="O661" s="1">
        <v>46277.585416666669</v>
      </c>
      <c r="P661" t="b">
        <v>0</v>
      </c>
      <c r="Q661" t="s">
        <v>1119</v>
      </c>
      <c r="R661" t="s">
        <v>1120</v>
      </c>
      <c r="S661" t="s">
        <v>1121</v>
      </c>
      <c r="T661" t="s">
        <v>1122</v>
      </c>
      <c r="U661" t="s">
        <v>1247</v>
      </c>
      <c r="V661" t="s">
        <v>1151</v>
      </c>
      <c r="W661" t="s">
        <v>1257</v>
      </c>
      <c r="X661">
        <v>14</v>
      </c>
      <c r="Y661" t="s">
        <v>1173</v>
      </c>
      <c r="Z661" t="s">
        <v>1134</v>
      </c>
      <c r="AA661">
        <v>1.166666666666667</v>
      </c>
    </row>
    <row r="662" spans="1:27" x14ac:dyDescent="0.3">
      <c r="A662" t="s">
        <v>979</v>
      </c>
      <c r="B662" t="s">
        <v>1329</v>
      </c>
      <c r="C662" t="s">
        <v>1063</v>
      </c>
      <c r="D662" t="s">
        <v>1255</v>
      </c>
      <c r="E662" t="s">
        <v>1235</v>
      </c>
      <c r="F662" s="1">
        <v>46284.96875</v>
      </c>
      <c r="G662" s="1">
        <v>46284.973611111112</v>
      </c>
      <c r="H662">
        <v>2</v>
      </c>
      <c r="I662">
        <v>7</v>
      </c>
      <c r="J662" t="b">
        <v>0</v>
      </c>
      <c r="K662" t="b">
        <v>0</v>
      </c>
      <c r="L662" t="b">
        <v>0</v>
      </c>
      <c r="M662">
        <v>10</v>
      </c>
      <c r="N662" t="s">
        <v>1118</v>
      </c>
      <c r="O662" s="1">
        <v>46284.945833333331</v>
      </c>
      <c r="P662" t="b">
        <v>0</v>
      </c>
      <c r="Q662" t="s">
        <v>1151</v>
      </c>
      <c r="R662" t="s">
        <v>1131</v>
      </c>
      <c r="S662" t="s">
        <v>1152</v>
      </c>
      <c r="T662" t="s">
        <v>1122</v>
      </c>
      <c r="U662" t="s">
        <v>1172</v>
      </c>
      <c r="V662" t="s">
        <v>1141</v>
      </c>
      <c r="W662" t="s">
        <v>1257</v>
      </c>
      <c r="X662">
        <v>22</v>
      </c>
      <c r="Y662" t="s">
        <v>1173</v>
      </c>
      <c r="Z662" t="s">
        <v>1134</v>
      </c>
      <c r="AA662">
        <v>3.5</v>
      </c>
    </row>
    <row r="663" spans="1:27" x14ac:dyDescent="0.3">
      <c r="A663" t="s">
        <v>983</v>
      </c>
      <c r="B663" t="s">
        <v>1329</v>
      </c>
      <c r="C663" t="s">
        <v>1074</v>
      </c>
      <c r="D663" t="s">
        <v>1238</v>
      </c>
      <c r="E663" t="s">
        <v>1235</v>
      </c>
      <c r="F663" s="1">
        <v>46285.044444444437</v>
      </c>
      <c r="G663" s="1">
        <v>46285.049305555563</v>
      </c>
      <c r="H663">
        <v>2</v>
      </c>
      <c r="I663">
        <v>7</v>
      </c>
      <c r="J663" t="b">
        <v>0</v>
      </c>
      <c r="K663" t="b">
        <v>0</v>
      </c>
      <c r="L663" t="b">
        <v>0</v>
      </c>
      <c r="M663">
        <v>10</v>
      </c>
      <c r="N663" t="s">
        <v>1118</v>
      </c>
      <c r="O663" s="1">
        <v>46284.945833333331</v>
      </c>
      <c r="P663" t="b">
        <v>0</v>
      </c>
      <c r="Q663" t="s">
        <v>1151</v>
      </c>
      <c r="R663" t="s">
        <v>1131</v>
      </c>
      <c r="S663" t="s">
        <v>1152</v>
      </c>
      <c r="T663" t="s">
        <v>1145</v>
      </c>
      <c r="U663" t="s">
        <v>1145</v>
      </c>
      <c r="V663" t="s">
        <v>1151</v>
      </c>
      <c r="W663" t="s">
        <v>1131</v>
      </c>
      <c r="X663">
        <v>22</v>
      </c>
      <c r="Y663" t="s">
        <v>1173</v>
      </c>
      <c r="Z663" t="s">
        <v>1134</v>
      </c>
      <c r="AA663">
        <v>3.5</v>
      </c>
    </row>
    <row r="664" spans="1:27" x14ac:dyDescent="0.3">
      <c r="A664" t="s">
        <v>442</v>
      </c>
      <c r="B664" t="s">
        <v>1455</v>
      </c>
      <c r="C664" t="s">
        <v>1070</v>
      </c>
      <c r="D664" t="s">
        <v>1339</v>
      </c>
      <c r="E664" t="s">
        <v>1261</v>
      </c>
      <c r="F664" s="1">
        <v>46293.135416666657</v>
      </c>
      <c r="G664" s="1">
        <v>46293.140277777777</v>
      </c>
      <c r="H664">
        <v>4</v>
      </c>
      <c r="I664">
        <v>7</v>
      </c>
      <c r="J664" t="b">
        <v>0</v>
      </c>
      <c r="K664" t="b">
        <v>0</v>
      </c>
      <c r="L664" t="b">
        <v>0</v>
      </c>
      <c r="M664">
        <v>6</v>
      </c>
      <c r="N664" t="s">
        <v>1130</v>
      </c>
      <c r="O664" s="1">
        <v>46293.119444444441</v>
      </c>
      <c r="P664" t="b">
        <v>0</v>
      </c>
      <c r="Q664" t="s">
        <v>1151</v>
      </c>
      <c r="R664" t="s">
        <v>1120</v>
      </c>
      <c r="S664" t="s">
        <v>1157</v>
      </c>
      <c r="T664" t="s">
        <v>1180</v>
      </c>
      <c r="U664" t="s">
        <v>1145</v>
      </c>
      <c r="V664" t="s">
        <v>1284</v>
      </c>
      <c r="W664" t="s">
        <v>1257</v>
      </c>
      <c r="X664">
        <v>2</v>
      </c>
      <c r="Y664" t="s">
        <v>1185</v>
      </c>
      <c r="Z664" t="s">
        <v>1134</v>
      </c>
      <c r="AA664">
        <v>1.75</v>
      </c>
    </row>
    <row r="665" spans="1:27" x14ac:dyDescent="0.3">
      <c r="A665" t="s">
        <v>445</v>
      </c>
      <c r="B665" t="s">
        <v>1291</v>
      </c>
      <c r="C665" t="s">
        <v>1082</v>
      </c>
      <c r="D665" t="s">
        <v>1283</v>
      </c>
      <c r="E665" t="s">
        <v>1305</v>
      </c>
      <c r="F665" s="1">
        <v>46290.359027777777</v>
      </c>
      <c r="G665" s="1">
        <v>46290.363888888889</v>
      </c>
      <c r="H665">
        <v>5</v>
      </c>
      <c r="I665">
        <v>7</v>
      </c>
      <c r="J665" t="b">
        <v>0</v>
      </c>
      <c r="K665" t="b">
        <v>0</v>
      </c>
      <c r="L665" t="b">
        <v>0</v>
      </c>
      <c r="M665">
        <v>10</v>
      </c>
      <c r="N665" t="s">
        <v>1118</v>
      </c>
      <c r="O665" s="1">
        <v>46290.342361111107</v>
      </c>
      <c r="P665" t="b">
        <v>0</v>
      </c>
      <c r="Q665" t="s">
        <v>1156</v>
      </c>
      <c r="R665" t="s">
        <v>1131</v>
      </c>
      <c r="S665" t="s">
        <v>1157</v>
      </c>
      <c r="T665" t="s">
        <v>1122</v>
      </c>
      <c r="U665" t="s">
        <v>1145</v>
      </c>
      <c r="V665" t="s">
        <v>1284</v>
      </c>
      <c r="W665" t="s">
        <v>1131</v>
      </c>
      <c r="X665">
        <v>8</v>
      </c>
      <c r="Y665" t="s">
        <v>1142</v>
      </c>
      <c r="Z665" t="s">
        <v>1134</v>
      </c>
      <c r="AA665">
        <v>1.4</v>
      </c>
    </row>
    <row r="666" spans="1:27" x14ac:dyDescent="0.3">
      <c r="A666" t="s">
        <v>458</v>
      </c>
      <c r="B666" t="s">
        <v>1205</v>
      </c>
      <c r="C666" t="s">
        <v>1069</v>
      </c>
      <c r="D666" t="s">
        <v>1283</v>
      </c>
      <c r="E666" t="s">
        <v>1317</v>
      </c>
      <c r="F666" s="1">
        <v>46269.511111111111</v>
      </c>
      <c r="G666" s="1">
        <v>46269.515972222223</v>
      </c>
      <c r="H666">
        <v>7</v>
      </c>
      <c r="I666">
        <v>7</v>
      </c>
      <c r="J666" t="b">
        <v>0</v>
      </c>
      <c r="K666" t="b">
        <v>0</v>
      </c>
      <c r="L666" t="b">
        <v>0</v>
      </c>
      <c r="M666">
        <v>10</v>
      </c>
      <c r="N666" t="s">
        <v>1155</v>
      </c>
      <c r="O666" s="1">
        <v>46269.489583333343</v>
      </c>
      <c r="P666" t="b">
        <v>0</v>
      </c>
      <c r="Q666" t="s">
        <v>1156</v>
      </c>
      <c r="R666" t="s">
        <v>1120</v>
      </c>
      <c r="S666" t="s">
        <v>1152</v>
      </c>
      <c r="T666" t="s">
        <v>1140</v>
      </c>
      <c r="U666" t="s">
        <v>1172</v>
      </c>
      <c r="V666" t="s">
        <v>1284</v>
      </c>
      <c r="W666" t="s">
        <v>1131</v>
      </c>
      <c r="X666">
        <v>11</v>
      </c>
      <c r="Y666" t="s">
        <v>1142</v>
      </c>
      <c r="Z666" t="s">
        <v>1134</v>
      </c>
      <c r="AA666">
        <v>1</v>
      </c>
    </row>
    <row r="667" spans="1:27" x14ac:dyDescent="0.3">
      <c r="A667" t="s">
        <v>82</v>
      </c>
      <c r="B667" t="s">
        <v>1251</v>
      </c>
      <c r="C667" t="s">
        <v>1060</v>
      </c>
      <c r="D667" t="s">
        <v>1136</v>
      </c>
      <c r="E667" t="s">
        <v>1189</v>
      </c>
      <c r="F667" s="1">
        <v>46290.317361111112</v>
      </c>
      <c r="G667" s="1">
        <v>46290.322222222218</v>
      </c>
      <c r="H667">
        <v>1</v>
      </c>
      <c r="I667">
        <v>7</v>
      </c>
      <c r="J667" t="b">
        <v>0</v>
      </c>
      <c r="K667" t="b">
        <v>0</v>
      </c>
      <c r="L667" t="b">
        <v>0</v>
      </c>
      <c r="M667">
        <v>4</v>
      </c>
      <c r="N667" t="s">
        <v>1130</v>
      </c>
      <c r="O667" s="1">
        <v>46290.261111111111</v>
      </c>
      <c r="P667" t="b">
        <v>0</v>
      </c>
      <c r="Q667" t="s">
        <v>1138</v>
      </c>
      <c r="R667" t="s">
        <v>1131</v>
      </c>
      <c r="S667" t="s">
        <v>1152</v>
      </c>
      <c r="T667" t="s">
        <v>1140</v>
      </c>
      <c r="U667" t="s">
        <v>1145</v>
      </c>
      <c r="V667" t="s">
        <v>1141</v>
      </c>
      <c r="W667" t="s">
        <v>1125</v>
      </c>
      <c r="X667">
        <v>6</v>
      </c>
      <c r="Y667" t="s">
        <v>1142</v>
      </c>
      <c r="Z667" t="s">
        <v>1147</v>
      </c>
      <c r="AA667">
        <v>7</v>
      </c>
    </row>
    <row r="668" spans="1:27" x14ac:dyDescent="0.3">
      <c r="A668" t="s">
        <v>85</v>
      </c>
      <c r="B668" t="s">
        <v>1385</v>
      </c>
      <c r="C668" t="s">
        <v>1061</v>
      </c>
      <c r="D668" t="s">
        <v>1339</v>
      </c>
      <c r="E668" t="s">
        <v>1305</v>
      </c>
      <c r="F668" s="1">
        <v>46287.447916666657</v>
      </c>
      <c r="G668" s="1">
        <v>46287.452777777777</v>
      </c>
      <c r="H668">
        <v>3</v>
      </c>
      <c r="I668">
        <v>7</v>
      </c>
      <c r="J668" t="b">
        <v>0</v>
      </c>
      <c r="K668" t="b">
        <v>0</v>
      </c>
      <c r="L668" t="b">
        <v>0</v>
      </c>
      <c r="M668">
        <v>12</v>
      </c>
      <c r="N668" t="s">
        <v>1118</v>
      </c>
      <c r="O668" s="1">
        <v>46287.443749999999</v>
      </c>
      <c r="P668" t="b">
        <v>0</v>
      </c>
      <c r="Q668" t="s">
        <v>1156</v>
      </c>
      <c r="R668" t="s">
        <v>1131</v>
      </c>
      <c r="S668" t="s">
        <v>1157</v>
      </c>
      <c r="T668" t="s">
        <v>1145</v>
      </c>
      <c r="U668" t="s">
        <v>1172</v>
      </c>
      <c r="V668" t="s">
        <v>1284</v>
      </c>
      <c r="W668" t="s">
        <v>1257</v>
      </c>
      <c r="X668">
        <v>10</v>
      </c>
      <c r="Y668" t="s">
        <v>1126</v>
      </c>
      <c r="Z668" t="s">
        <v>1127</v>
      </c>
      <c r="AA668">
        <v>2.333333333333333</v>
      </c>
    </row>
    <row r="669" spans="1:27" x14ac:dyDescent="0.3">
      <c r="A669" t="s">
        <v>74</v>
      </c>
      <c r="B669" t="s">
        <v>1211</v>
      </c>
      <c r="C669" t="s">
        <v>1085</v>
      </c>
      <c r="D669" t="s">
        <v>1255</v>
      </c>
      <c r="E669" t="s">
        <v>1233</v>
      </c>
      <c r="F669" s="1">
        <v>46284.539583333331</v>
      </c>
      <c r="G669" s="1">
        <v>46284.544444444437</v>
      </c>
      <c r="H669">
        <v>5</v>
      </c>
      <c r="I669">
        <v>7</v>
      </c>
      <c r="J669" t="b">
        <v>0</v>
      </c>
      <c r="K669" t="b">
        <v>0</v>
      </c>
      <c r="L669" t="b">
        <v>0</v>
      </c>
      <c r="M669">
        <v>15</v>
      </c>
      <c r="N669" t="s">
        <v>1168</v>
      </c>
      <c r="O669" s="1">
        <v>46284.525694444441</v>
      </c>
      <c r="P669" t="b">
        <v>0</v>
      </c>
      <c r="Q669" t="s">
        <v>1179</v>
      </c>
      <c r="R669" t="s">
        <v>1120</v>
      </c>
      <c r="S669" t="s">
        <v>1132</v>
      </c>
      <c r="T669" t="s">
        <v>1122</v>
      </c>
      <c r="U669" t="s">
        <v>1247</v>
      </c>
      <c r="V669" t="s">
        <v>1141</v>
      </c>
      <c r="W669" t="s">
        <v>1257</v>
      </c>
      <c r="X669">
        <v>12</v>
      </c>
      <c r="Y669" t="s">
        <v>1173</v>
      </c>
      <c r="Z669" t="s">
        <v>1127</v>
      </c>
      <c r="AA669">
        <v>1.4</v>
      </c>
    </row>
    <row r="670" spans="1:27" x14ac:dyDescent="0.3">
      <c r="A670" t="s">
        <v>65</v>
      </c>
      <c r="B670" t="s">
        <v>1471</v>
      </c>
      <c r="C670" t="s">
        <v>1087</v>
      </c>
      <c r="D670" t="s">
        <v>1238</v>
      </c>
      <c r="E670" t="s">
        <v>1366</v>
      </c>
      <c r="F670" s="1">
        <v>46294.1</v>
      </c>
      <c r="G670" s="1">
        <v>46294.104861111111</v>
      </c>
      <c r="H670">
        <v>3</v>
      </c>
      <c r="I670">
        <v>7</v>
      </c>
      <c r="J670" t="b">
        <v>0</v>
      </c>
      <c r="K670" t="b">
        <v>0</v>
      </c>
      <c r="L670" t="b">
        <v>0</v>
      </c>
      <c r="M670">
        <v>15</v>
      </c>
      <c r="N670" t="s">
        <v>1118</v>
      </c>
      <c r="O670" s="1">
        <v>46293.995138888888</v>
      </c>
      <c r="P670" t="b">
        <v>0</v>
      </c>
      <c r="Q670" t="s">
        <v>1151</v>
      </c>
      <c r="R670" t="s">
        <v>1120</v>
      </c>
      <c r="S670" t="s">
        <v>1145</v>
      </c>
      <c r="T670" t="s">
        <v>1145</v>
      </c>
      <c r="U670" t="s">
        <v>1247</v>
      </c>
      <c r="V670" t="s">
        <v>1151</v>
      </c>
      <c r="W670" t="s">
        <v>1131</v>
      </c>
      <c r="X670">
        <v>23</v>
      </c>
      <c r="Y670" t="s">
        <v>1185</v>
      </c>
      <c r="Z670" t="s">
        <v>1127</v>
      </c>
      <c r="AA670">
        <v>2.333333333333333</v>
      </c>
    </row>
    <row r="671" spans="1:27" x14ac:dyDescent="0.3">
      <c r="A671" t="s">
        <v>1036</v>
      </c>
      <c r="B671" t="s">
        <v>1472</v>
      </c>
      <c r="C671" t="s">
        <v>1063</v>
      </c>
      <c r="D671" t="s">
        <v>1280</v>
      </c>
      <c r="E671" t="s">
        <v>1332</v>
      </c>
      <c r="F671" s="1">
        <v>46289.534722222219</v>
      </c>
      <c r="G671" s="1">
        <v>46289.539583333331</v>
      </c>
      <c r="H671">
        <v>3</v>
      </c>
      <c r="I671">
        <v>7</v>
      </c>
      <c r="J671" t="b">
        <v>0</v>
      </c>
      <c r="K671" t="b">
        <v>0</v>
      </c>
      <c r="L671" t="b">
        <v>0</v>
      </c>
      <c r="M671">
        <v>2</v>
      </c>
      <c r="N671" t="s">
        <v>1130</v>
      </c>
      <c r="O671" s="1">
        <v>46289.473611111112</v>
      </c>
      <c r="P671" t="b">
        <v>0</v>
      </c>
      <c r="Q671" t="s">
        <v>1179</v>
      </c>
      <c r="R671" t="s">
        <v>1120</v>
      </c>
      <c r="S671" t="s">
        <v>1132</v>
      </c>
      <c r="T671" t="s">
        <v>1122</v>
      </c>
      <c r="U671" t="s">
        <v>1172</v>
      </c>
      <c r="V671" t="s">
        <v>1151</v>
      </c>
      <c r="W671" t="s">
        <v>1257</v>
      </c>
      <c r="X671">
        <v>11</v>
      </c>
      <c r="Y671" t="s">
        <v>1146</v>
      </c>
      <c r="Z671" t="s">
        <v>1147</v>
      </c>
      <c r="AA671">
        <v>2.333333333333333</v>
      </c>
    </row>
    <row r="672" spans="1:27" x14ac:dyDescent="0.3">
      <c r="A672" t="s">
        <v>1037</v>
      </c>
      <c r="B672" t="s">
        <v>1473</v>
      </c>
      <c r="C672" t="s">
        <v>1067</v>
      </c>
      <c r="D672" t="s">
        <v>1339</v>
      </c>
      <c r="E672" t="s">
        <v>1216</v>
      </c>
      <c r="F672" s="1">
        <v>46290.379166666673</v>
      </c>
      <c r="G672" s="1">
        <v>46290.384027777778</v>
      </c>
      <c r="H672">
        <v>4</v>
      </c>
      <c r="I672">
        <v>7</v>
      </c>
      <c r="J672" t="b">
        <v>0</v>
      </c>
      <c r="K672" t="b">
        <v>0</v>
      </c>
      <c r="L672" t="b">
        <v>0</v>
      </c>
      <c r="M672">
        <v>1</v>
      </c>
      <c r="N672" t="s">
        <v>1118</v>
      </c>
      <c r="O672" s="1">
        <v>46290.301388888889</v>
      </c>
      <c r="P672" t="b">
        <v>0</v>
      </c>
      <c r="Q672" t="s">
        <v>1119</v>
      </c>
      <c r="R672" t="s">
        <v>1131</v>
      </c>
      <c r="S672" t="s">
        <v>1157</v>
      </c>
      <c r="T672" t="s">
        <v>1180</v>
      </c>
      <c r="U672" t="s">
        <v>1247</v>
      </c>
      <c r="V672" t="s">
        <v>1284</v>
      </c>
      <c r="W672" t="s">
        <v>1257</v>
      </c>
      <c r="X672">
        <v>7</v>
      </c>
      <c r="Y672" t="s">
        <v>1142</v>
      </c>
      <c r="Z672" t="s">
        <v>1147</v>
      </c>
      <c r="AA672">
        <v>1.75</v>
      </c>
    </row>
    <row r="673" spans="1:27" x14ac:dyDescent="0.3">
      <c r="A673" t="s">
        <v>1044</v>
      </c>
      <c r="B673" t="s">
        <v>1426</v>
      </c>
      <c r="C673" t="s">
        <v>1061</v>
      </c>
      <c r="D673" t="s">
        <v>1238</v>
      </c>
      <c r="E673" t="s">
        <v>1292</v>
      </c>
      <c r="F673" s="1">
        <v>46281.494444444441</v>
      </c>
      <c r="G673" s="1">
        <v>46281.499305555553</v>
      </c>
      <c r="H673">
        <v>2</v>
      </c>
      <c r="I673">
        <v>7</v>
      </c>
      <c r="J673" t="b">
        <v>0</v>
      </c>
      <c r="K673" t="b">
        <v>0</v>
      </c>
      <c r="L673" t="b">
        <v>0</v>
      </c>
      <c r="M673">
        <v>6</v>
      </c>
      <c r="N673" t="s">
        <v>1130</v>
      </c>
      <c r="P673" t="b">
        <v>0</v>
      </c>
      <c r="Q673" t="s">
        <v>1179</v>
      </c>
      <c r="R673" t="s">
        <v>1131</v>
      </c>
      <c r="S673" t="s">
        <v>1152</v>
      </c>
      <c r="T673" t="s">
        <v>1145</v>
      </c>
      <c r="U673" t="s">
        <v>1172</v>
      </c>
      <c r="V673" t="s">
        <v>1151</v>
      </c>
      <c r="W673" t="s">
        <v>1131</v>
      </c>
      <c r="Z673" t="s">
        <v>1134</v>
      </c>
      <c r="AA673">
        <v>3.5</v>
      </c>
    </row>
    <row r="674" spans="1:27" x14ac:dyDescent="0.3">
      <c r="A674" t="s">
        <v>1024</v>
      </c>
      <c r="B674" t="s">
        <v>1222</v>
      </c>
      <c r="C674" t="s">
        <v>1085</v>
      </c>
      <c r="D674" t="s">
        <v>1283</v>
      </c>
      <c r="E674" t="s">
        <v>1289</v>
      </c>
      <c r="F674" s="1">
        <v>46274.145138888889</v>
      </c>
      <c r="G674" s="1">
        <v>46274.15</v>
      </c>
      <c r="H674">
        <v>3</v>
      </c>
      <c r="I674">
        <v>7</v>
      </c>
      <c r="J674" t="b">
        <v>0</v>
      </c>
      <c r="K674" t="b">
        <v>0</v>
      </c>
      <c r="L674" t="b">
        <v>0</v>
      </c>
      <c r="M674">
        <v>6</v>
      </c>
      <c r="N674" t="s">
        <v>1168</v>
      </c>
      <c r="O674" s="1">
        <v>46274.064583333333</v>
      </c>
      <c r="P674" t="b">
        <v>0</v>
      </c>
      <c r="Q674" t="s">
        <v>1145</v>
      </c>
      <c r="R674" t="s">
        <v>1139</v>
      </c>
      <c r="S674" t="s">
        <v>1152</v>
      </c>
      <c r="T674" t="s">
        <v>1122</v>
      </c>
      <c r="U674" t="s">
        <v>1247</v>
      </c>
      <c r="V674" t="s">
        <v>1284</v>
      </c>
      <c r="W674" t="s">
        <v>1131</v>
      </c>
      <c r="X674">
        <v>1</v>
      </c>
      <c r="Y674" t="s">
        <v>1161</v>
      </c>
      <c r="Z674" t="s">
        <v>1134</v>
      </c>
      <c r="AA674">
        <v>2.333333333333333</v>
      </c>
    </row>
    <row r="675" spans="1:27" x14ac:dyDescent="0.3">
      <c r="A675" t="s">
        <v>1032</v>
      </c>
      <c r="B675" t="s">
        <v>1224</v>
      </c>
      <c r="C675" t="s">
        <v>1073</v>
      </c>
      <c r="D675" t="s">
        <v>1255</v>
      </c>
      <c r="E675" t="s">
        <v>1196</v>
      </c>
      <c r="F675" s="1">
        <v>46274.760416666657</v>
      </c>
      <c r="G675" s="1">
        <v>46274.765277777777</v>
      </c>
      <c r="H675">
        <v>6</v>
      </c>
      <c r="I675">
        <v>7</v>
      </c>
      <c r="J675" t="b">
        <v>0</v>
      </c>
      <c r="K675" t="b">
        <v>0</v>
      </c>
      <c r="L675" t="b">
        <v>0</v>
      </c>
      <c r="M675">
        <v>10</v>
      </c>
      <c r="N675" t="s">
        <v>1130</v>
      </c>
      <c r="O675" s="1">
        <v>46274.694444444453</v>
      </c>
      <c r="P675" t="b">
        <v>0</v>
      </c>
      <c r="Q675" t="s">
        <v>1138</v>
      </c>
      <c r="R675" t="s">
        <v>1120</v>
      </c>
      <c r="S675" t="s">
        <v>1121</v>
      </c>
      <c r="T675" t="s">
        <v>1122</v>
      </c>
      <c r="U675" t="s">
        <v>1247</v>
      </c>
      <c r="V675" t="s">
        <v>1141</v>
      </c>
      <c r="W675" t="s">
        <v>1257</v>
      </c>
      <c r="X675">
        <v>16</v>
      </c>
      <c r="Y675" t="s">
        <v>1161</v>
      </c>
      <c r="Z675" t="s">
        <v>1134</v>
      </c>
      <c r="AA675">
        <v>1.166666666666667</v>
      </c>
    </row>
    <row r="676" spans="1:27" x14ac:dyDescent="0.3">
      <c r="A676" t="s">
        <v>1053</v>
      </c>
      <c r="B676" t="s">
        <v>1197</v>
      </c>
      <c r="C676" t="s">
        <v>1065</v>
      </c>
      <c r="D676" t="s">
        <v>1280</v>
      </c>
      <c r="E676" t="s">
        <v>1117</v>
      </c>
      <c r="F676" s="1">
        <v>46287.949305555558</v>
      </c>
      <c r="G676" s="1">
        <v>46287.95416666667</v>
      </c>
      <c r="H676">
        <v>6</v>
      </c>
      <c r="I676">
        <v>7</v>
      </c>
      <c r="J676" t="b">
        <v>0</v>
      </c>
      <c r="K676" t="b">
        <v>0</v>
      </c>
      <c r="L676" t="b">
        <v>0</v>
      </c>
      <c r="M676">
        <v>20</v>
      </c>
      <c r="N676" t="s">
        <v>1130</v>
      </c>
      <c r="O676" s="1">
        <v>46287.886805555558</v>
      </c>
      <c r="P676" t="b">
        <v>0</v>
      </c>
      <c r="Q676" t="s">
        <v>1119</v>
      </c>
      <c r="R676" t="s">
        <v>1120</v>
      </c>
      <c r="S676" t="s">
        <v>1121</v>
      </c>
      <c r="T676" t="s">
        <v>1180</v>
      </c>
      <c r="U676" t="s">
        <v>1247</v>
      </c>
      <c r="V676" t="s">
        <v>1151</v>
      </c>
      <c r="W676" t="s">
        <v>1257</v>
      </c>
      <c r="X676">
        <v>21</v>
      </c>
      <c r="Y676" t="s">
        <v>1126</v>
      </c>
      <c r="Z676" t="s">
        <v>1127</v>
      </c>
      <c r="AA676">
        <v>1.166666666666667</v>
      </c>
    </row>
    <row r="677" spans="1:27" x14ac:dyDescent="0.3">
      <c r="A677" t="s">
        <v>700</v>
      </c>
      <c r="B677" t="s">
        <v>1474</v>
      </c>
      <c r="C677" t="s">
        <v>1058</v>
      </c>
      <c r="D677" t="s">
        <v>1238</v>
      </c>
      <c r="E677" t="s">
        <v>1249</v>
      </c>
      <c r="F677" s="1">
        <v>46271.175694444442</v>
      </c>
      <c r="G677" s="1">
        <v>46271.180555555547</v>
      </c>
      <c r="H677">
        <v>4</v>
      </c>
      <c r="I677">
        <v>7</v>
      </c>
      <c r="J677" t="b">
        <v>0</v>
      </c>
      <c r="K677" t="b">
        <v>0</v>
      </c>
      <c r="L677" t="b">
        <v>0</v>
      </c>
      <c r="M677">
        <v>3</v>
      </c>
      <c r="N677" t="s">
        <v>1118</v>
      </c>
      <c r="O677" s="1">
        <v>46271.07708333333</v>
      </c>
      <c r="P677" t="b">
        <v>0</v>
      </c>
      <c r="Q677" t="s">
        <v>1169</v>
      </c>
      <c r="R677" t="s">
        <v>1131</v>
      </c>
      <c r="S677" t="s">
        <v>1157</v>
      </c>
      <c r="T677" t="s">
        <v>1122</v>
      </c>
      <c r="U677" t="s">
        <v>1145</v>
      </c>
      <c r="V677" t="s">
        <v>1151</v>
      </c>
      <c r="W677" t="s">
        <v>1131</v>
      </c>
      <c r="X677">
        <v>1</v>
      </c>
      <c r="Y677" t="s">
        <v>1133</v>
      </c>
      <c r="Z677" t="s">
        <v>1147</v>
      </c>
      <c r="AA677">
        <v>1.75</v>
      </c>
    </row>
    <row r="678" spans="1:27" x14ac:dyDescent="0.3">
      <c r="A678" t="s">
        <v>701</v>
      </c>
      <c r="B678" t="s">
        <v>1425</v>
      </c>
      <c r="C678" t="s">
        <v>1067</v>
      </c>
      <c r="D678" t="s">
        <v>1280</v>
      </c>
      <c r="E678" t="s">
        <v>1117</v>
      </c>
      <c r="F678" s="1">
        <v>46271.080555555563</v>
      </c>
      <c r="G678" s="1">
        <v>46271.085416666669</v>
      </c>
      <c r="H678">
        <v>5</v>
      </c>
      <c r="I678">
        <v>7</v>
      </c>
      <c r="J678" t="b">
        <v>0</v>
      </c>
      <c r="K678" t="b">
        <v>0</v>
      </c>
      <c r="L678" t="b">
        <v>0</v>
      </c>
      <c r="M678">
        <v>6</v>
      </c>
      <c r="N678" t="s">
        <v>1130</v>
      </c>
      <c r="O678" s="1">
        <v>46270.959722222222</v>
      </c>
      <c r="P678" t="b">
        <v>0</v>
      </c>
      <c r="Q678" t="s">
        <v>1119</v>
      </c>
      <c r="R678" t="s">
        <v>1120</v>
      </c>
      <c r="S678" t="s">
        <v>1121</v>
      </c>
      <c r="T678" t="s">
        <v>1180</v>
      </c>
      <c r="U678" t="s">
        <v>1247</v>
      </c>
      <c r="V678" t="s">
        <v>1151</v>
      </c>
      <c r="W678" t="s">
        <v>1257</v>
      </c>
      <c r="X678">
        <v>23</v>
      </c>
      <c r="Y678" t="s">
        <v>1173</v>
      </c>
      <c r="Z678" t="s">
        <v>1134</v>
      </c>
      <c r="AA678">
        <v>1.4</v>
      </c>
    </row>
    <row r="679" spans="1:27" x14ac:dyDescent="0.3">
      <c r="A679" t="s">
        <v>705</v>
      </c>
      <c r="B679" t="s">
        <v>1401</v>
      </c>
      <c r="C679" t="s">
        <v>1078</v>
      </c>
      <c r="D679" t="s">
        <v>1238</v>
      </c>
      <c r="E679" t="s">
        <v>1200</v>
      </c>
      <c r="F679" s="1">
        <v>46271.93472222222</v>
      </c>
      <c r="G679" s="1">
        <v>46271.939583333333</v>
      </c>
      <c r="H679">
        <v>5</v>
      </c>
      <c r="I679">
        <v>7</v>
      </c>
      <c r="J679" t="b">
        <v>0</v>
      </c>
      <c r="K679" t="b">
        <v>0</v>
      </c>
      <c r="L679" t="b">
        <v>0</v>
      </c>
      <c r="M679">
        <v>6</v>
      </c>
      <c r="N679" t="s">
        <v>1118</v>
      </c>
      <c r="O679" s="1">
        <v>46271.886111111111</v>
      </c>
      <c r="P679" t="b">
        <v>0</v>
      </c>
      <c r="Q679" t="s">
        <v>1156</v>
      </c>
      <c r="R679" t="s">
        <v>1139</v>
      </c>
      <c r="S679" t="s">
        <v>1132</v>
      </c>
      <c r="T679" t="s">
        <v>1145</v>
      </c>
      <c r="U679" t="s">
        <v>1172</v>
      </c>
      <c r="V679" t="s">
        <v>1151</v>
      </c>
      <c r="W679" t="s">
        <v>1131</v>
      </c>
      <c r="X679">
        <v>21</v>
      </c>
      <c r="Y679" t="s">
        <v>1133</v>
      </c>
      <c r="Z679" t="s">
        <v>1134</v>
      </c>
      <c r="AA679">
        <v>1.4</v>
      </c>
    </row>
    <row r="680" spans="1:27" x14ac:dyDescent="0.3">
      <c r="A680" t="s">
        <v>1047</v>
      </c>
      <c r="B680" t="s">
        <v>1426</v>
      </c>
      <c r="C680" t="s">
        <v>1062</v>
      </c>
      <c r="D680" t="s">
        <v>1283</v>
      </c>
      <c r="E680" t="s">
        <v>1294</v>
      </c>
      <c r="F680" s="1">
        <v>46281.561111111107</v>
      </c>
      <c r="G680" s="1">
        <v>46281.56527777778</v>
      </c>
      <c r="H680">
        <v>7</v>
      </c>
      <c r="I680">
        <v>6</v>
      </c>
      <c r="J680" t="b">
        <v>0</v>
      </c>
      <c r="K680" t="b">
        <v>0</v>
      </c>
      <c r="L680" t="b">
        <v>0</v>
      </c>
      <c r="M680">
        <v>6</v>
      </c>
      <c r="N680" t="s">
        <v>1130</v>
      </c>
      <c r="P680" t="b">
        <v>0</v>
      </c>
      <c r="Q680" t="s">
        <v>1119</v>
      </c>
      <c r="R680" t="s">
        <v>1145</v>
      </c>
      <c r="S680" t="s">
        <v>1132</v>
      </c>
      <c r="T680" t="s">
        <v>1122</v>
      </c>
      <c r="U680" t="s">
        <v>1123</v>
      </c>
      <c r="V680" t="s">
        <v>1284</v>
      </c>
      <c r="W680" t="s">
        <v>1131</v>
      </c>
      <c r="Z680" t="s">
        <v>1134</v>
      </c>
      <c r="AA680">
        <v>0.8571428571428571</v>
      </c>
    </row>
    <row r="681" spans="1:27" x14ac:dyDescent="0.3">
      <c r="A681" t="s">
        <v>1011</v>
      </c>
      <c r="B681" t="s">
        <v>1396</v>
      </c>
      <c r="C681" t="s">
        <v>1077</v>
      </c>
      <c r="D681" t="s">
        <v>1283</v>
      </c>
      <c r="E681" t="s">
        <v>1244</v>
      </c>
      <c r="F681" s="1">
        <v>46279.353472222218</v>
      </c>
      <c r="G681" s="1">
        <v>46279.357638888891</v>
      </c>
      <c r="H681">
        <v>3</v>
      </c>
      <c r="I681">
        <v>6</v>
      </c>
      <c r="J681" t="b">
        <v>0</v>
      </c>
      <c r="K681" t="b">
        <v>0</v>
      </c>
      <c r="L681" t="b">
        <v>0</v>
      </c>
      <c r="M681">
        <v>8</v>
      </c>
      <c r="N681" t="s">
        <v>1118</v>
      </c>
      <c r="O681" s="1">
        <v>46279.265277777777</v>
      </c>
      <c r="P681" t="b">
        <v>0</v>
      </c>
      <c r="Q681" t="s">
        <v>1119</v>
      </c>
      <c r="R681" t="s">
        <v>1120</v>
      </c>
      <c r="S681" t="s">
        <v>1121</v>
      </c>
      <c r="T681" t="s">
        <v>1122</v>
      </c>
      <c r="U681" t="s">
        <v>1172</v>
      </c>
      <c r="V681" t="s">
        <v>1284</v>
      </c>
      <c r="W681" t="s">
        <v>1131</v>
      </c>
      <c r="X681">
        <v>6</v>
      </c>
      <c r="Y681" t="s">
        <v>1185</v>
      </c>
      <c r="Z681" t="s">
        <v>1134</v>
      </c>
      <c r="AA681">
        <v>2</v>
      </c>
    </row>
    <row r="682" spans="1:27" x14ac:dyDescent="0.3">
      <c r="A682" t="s">
        <v>281</v>
      </c>
      <c r="B682" t="s">
        <v>1475</v>
      </c>
      <c r="C682" t="s">
        <v>1075</v>
      </c>
      <c r="D682" t="s">
        <v>1339</v>
      </c>
      <c r="E682" t="s">
        <v>1332</v>
      </c>
      <c r="F682" s="1">
        <v>46271.222222222219</v>
      </c>
      <c r="G682" s="1">
        <v>46271.226388888892</v>
      </c>
      <c r="H682">
        <v>2</v>
      </c>
      <c r="I682">
        <v>6</v>
      </c>
      <c r="J682" t="b">
        <v>0</v>
      </c>
      <c r="K682" t="b">
        <v>0</v>
      </c>
      <c r="L682" t="b">
        <v>0</v>
      </c>
      <c r="M682">
        <v>2</v>
      </c>
      <c r="N682" t="s">
        <v>1130</v>
      </c>
      <c r="O682" s="1">
        <v>46271.198611111111</v>
      </c>
      <c r="P682" t="b">
        <v>0</v>
      </c>
      <c r="Q682" t="s">
        <v>1179</v>
      </c>
      <c r="R682" t="s">
        <v>1120</v>
      </c>
      <c r="S682" t="s">
        <v>1132</v>
      </c>
      <c r="T682" t="s">
        <v>1122</v>
      </c>
      <c r="U682" t="s">
        <v>1172</v>
      </c>
      <c r="V682" t="s">
        <v>1284</v>
      </c>
      <c r="W682" t="s">
        <v>1257</v>
      </c>
      <c r="X682">
        <v>4</v>
      </c>
      <c r="Y682" t="s">
        <v>1133</v>
      </c>
      <c r="Z682" t="s">
        <v>1147</v>
      </c>
      <c r="AA682">
        <v>3</v>
      </c>
    </row>
    <row r="683" spans="1:27" x14ac:dyDescent="0.3">
      <c r="A683" t="s">
        <v>279</v>
      </c>
      <c r="B683" t="s">
        <v>1333</v>
      </c>
      <c r="C683" t="s">
        <v>1073</v>
      </c>
      <c r="D683" t="s">
        <v>1255</v>
      </c>
      <c r="E683" t="s">
        <v>1244</v>
      </c>
      <c r="F683" s="1">
        <v>46290.902777777781</v>
      </c>
      <c r="G683" s="1">
        <v>46290.906944444447</v>
      </c>
      <c r="H683">
        <v>2</v>
      </c>
      <c r="I683">
        <v>6</v>
      </c>
      <c r="J683" t="b">
        <v>0</v>
      </c>
      <c r="K683" t="b">
        <v>0</v>
      </c>
      <c r="L683" t="b">
        <v>0</v>
      </c>
      <c r="M683">
        <v>20</v>
      </c>
      <c r="N683" t="s">
        <v>1118</v>
      </c>
      <c r="O683" s="1">
        <v>46290.806250000001</v>
      </c>
      <c r="P683" t="b">
        <v>0</v>
      </c>
      <c r="Q683" t="s">
        <v>1119</v>
      </c>
      <c r="R683" t="s">
        <v>1120</v>
      </c>
      <c r="S683" t="s">
        <v>1121</v>
      </c>
      <c r="T683" t="s">
        <v>1122</v>
      </c>
      <c r="U683" t="s">
        <v>1247</v>
      </c>
      <c r="V683" t="s">
        <v>1141</v>
      </c>
      <c r="W683" t="s">
        <v>1257</v>
      </c>
      <c r="X683">
        <v>19</v>
      </c>
      <c r="Y683" t="s">
        <v>1142</v>
      </c>
      <c r="Z683" t="s">
        <v>1127</v>
      </c>
      <c r="AA683">
        <v>3</v>
      </c>
    </row>
    <row r="684" spans="1:27" x14ac:dyDescent="0.3">
      <c r="A684" t="s">
        <v>275</v>
      </c>
      <c r="B684" t="s">
        <v>1333</v>
      </c>
      <c r="C684" t="s">
        <v>1070</v>
      </c>
      <c r="D684" t="s">
        <v>1283</v>
      </c>
      <c r="E684" t="s">
        <v>1336</v>
      </c>
      <c r="F684" s="1">
        <v>46290.842361111107</v>
      </c>
      <c r="G684" s="1">
        <v>46290.84652777778</v>
      </c>
      <c r="H684">
        <v>1</v>
      </c>
      <c r="I684">
        <v>6</v>
      </c>
      <c r="J684" t="b">
        <v>0</v>
      </c>
      <c r="K684" t="b">
        <v>0</v>
      </c>
      <c r="L684" t="b">
        <v>0</v>
      </c>
      <c r="M684">
        <v>20</v>
      </c>
      <c r="N684" t="s">
        <v>1118</v>
      </c>
      <c r="O684" s="1">
        <v>46290.806250000001</v>
      </c>
      <c r="P684" t="b">
        <v>0</v>
      </c>
      <c r="Q684" t="s">
        <v>1179</v>
      </c>
      <c r="R684" t="s">
        <v>1120</v>
      </c>
      <c r="S684" t="s">
        <v>1152</v>
      </c>
      <c r="T684" t="s">
        <v>1180</v>
      </c>
      <c r="U684" t="s">
        <v>1145</v>
      </c>
      <c r="V684" t="s">
        <v>1284</v>
      </c>
      <c r="W684" t="s">
        <v>1131</v>
      </c>
      <c r="X684">
        <v>19</v>
      </c>
      <c r="Y684" t="s">
        <v>1142</v>
      </c>
      <c r="Z684" t="s">
        <v>1127</v>
      </c>
      <c r="AA684">
        <v>6</v>
      </c>
    </row>
    <row r="685" spans="1:27" x14ac:dyDescent="0.3">
      <c r="A685" t="s">
        <v>273</v>
      </c>
      <c r="B685" t="s">
        <v>1333</v>
      </c>
      <c r="C685" t="s">
        <v>1080</v>
      </c>
      <c r="D685" t="s">
        <v>1283</v>
      </c>
      <c r="E685" t="s">
        <v>1317</v>
      </c>
      <c r="F685" s="1">
        <v>46290.897916666669</v>
      </c>
      <c r="G685" s="1">
        <v>46290.902083333327</v>
      </c>
      <c r="H685">
        <v>5</v>
      </c>
      <c r="I685">
        <v>6</v>
      </c>
      <c r="J685" t="b">
        <v>0</v>
      </c>
      <c r="K685" t="b">
        <v>0</v>
      </c>
      <c r="L685" t="b">
        <v>0</v>
      </c>
      <c r="M685">
        <v>20</v>
      </c>
      <c r="N685" t="s">
        <v>1118</v>
      </c>
      <c r="O685" s="1">
        <v>46290.806250000001</v>
      </c>
      <c r="P685" t="b">
        <v>0</v>
      </c>
      <c r="Q685" t="s">
        <v>1156</v>
      </c>
      <c r="R685" t="s">
        <v>1120</v>
      </c>
      <c r="S685" t="s">
        <v>1152</v>
      </c>
      <c r="T685" t="s">
        <v>1122</v>
      </c>
      <c r="U685" t="s">
        <v>1247</v>
      </c>
      <c r="V685" t="s">
        <v>1284</v>
      </c>
      <c r="W685" t="s">
        <v>1131</v>
      </c>
      <c r="X685">
        <v>19</v>
      </c>
      <c r="Y685" t="s">
        <v>1142</v>
      </c>
      <c r="Z685" t="s">
        <v>1127</v>
      </c>
      <c r="AA685">
        <v>1.2</v>
      </c>
    </row>
    <row r="686" spans="1:27" x14ac:dyDescent="0.3">
      <c r="A686" t="s">
        <v>723</v>
      </c>
      <c r="B686" t="s">
        <v>1370</v>
      </c>
      <c r="C686" t="s">
        <v>1074</v>
      </c>
      <c r="D686" t="s">
        <v>1339</v>
      </c>
      <c r="E686" t="s">
        <v>1154</v>
      </c>
      <c r="F686" s="1">
        <v>46280.106944444437</v>
      </c>
      <c r="G686" s="1">
        <v>46280.111111111109</v>
      </c>
      <c r="H686">
        <v>7</v>
      </c>
      <c r="I686">
        <v>6</v>
      </c>
      <c r="J686" t="b">
        <v>0</v>
      </c>
      <c r="K686" t="b">
        <v>0</v>
      </c>
      <c r="L686" t="b">
        <v>0</v>
      </c>
      <c r="M686">
        <v>6</v>
      </c>
      <c r="N686" t="s">
        <v>1168</v>
      </c>
      <c r="O686" s="1">
        <v>46280.078472222223</v>
      </c>
      <c r="P686" t="b">
        <v>0</v>
      </c>
      <c r="Q686" t="s">
        <v>1156</v>
      </c>
      <c r="R686" t="s">
        <v>1131</v>
      </c>
      <c r="S686" t="s">
        <v>1157</v>
      </c>
      <c r="T686" t="s">
        <v>1145</v>
      </c>
      <c r="U686" t="s">
        <v>1145</v>
      </c>
      <c r="V686" t="s">
        <v>1284</v>
      </c>
      <c r="W686" t="s">
        <v>1257</v>
      </c>
      <c r="X686">
        <v>1</v>
      </c>
      <c r="Y686" t="s">
        <v>1126</v>
      </c>
      <c r="Z686" t="s">
        <v>1134</v>
      </c>
      <c r="AA686">
        <v>0.8571428571428571</v>
      </c>
    </row>
    <row r="687" spans="1:27" x14ac:dyDescent="0.3">
      <c r="A687" t="s">
        <v>718</v>
      </c>
      <c r="B687" t="s">
        <v>1399</v>
      </c>
      <c r="C687" t="s">
        <v>1071</v>
      </c>
      <c r="D687" t="s">
        <v>1339</v>
      </c>
      <c r="E687" t="s">
        <v>1225</v>
      </c>
      <c r="F687" s="1">
        <v>46291.28402777778</v>
      </c>
      <c r="G687" s="1">
        <v>46291.288194444453</v>
      </c>
      <c r="H687">
        <v>4</v>
      </c>
      <c r="I687">
        <v>6</v>
      </c>
      <c r="J687" t="b">
        <v>0</v>
      </c>
      <c r="K687" t="b">
        <v>0</v>
      </c>
      <c r="L687" t="b">
        <v>0</v>
      </c>
      <c r="M687">
        <v>10</v>
      </c>
      <c r="N687" t="s">
        <v>1118</v>
      </c>
      <c r="O687" s="1">
        <v>46291.222916666673</v>
      </c>
      <c r="P687" t="b">
        <v>0</v>
      </c>
      <c r="Q687" t="s">
        <v>1151</v>
      </c>
      <c r="R687" t="s">
        <v>1120</v>
      </c>
      <c r="S687" t="s">
        <v>1152</v>
      </c>
      <c r="T687" t="s">
        <v>1122</v>
      </c>
      <c r="U687" t="s">
        <v>1145</v>
      </c>
      <c r="V687" t="s">
        <v>1284</v>
      </c>
      <c r="W687" t="s">
        <v>1257</v>
      </c>
      <c r="X687">
        <v>5</v>
      </c>
      <c r="Y687" t="s">
        <v>1173</v>
      </c>
      <c r="Z687" t="s">
        <v>1134</v>
      </c>
      <c r="AA687">
        <v>1.5</v>
      </c>
    </row>
    <row r="688" spans="1:27" x14ac:dyDescent="0.3">
      <c r="A688" t="s">
        <v>702</v>
      </c>
      <c r="B688" t="s">
        <v>1425</v>
      </c>
      <c r="C688" t="s">
        <v>1071</v>
      </c>
      <c r="D688" t="s">
        <v>1280</v>
      </c>
      <c r="E688" t="s">
        <v>1332</v>
      </c>
      <c r="F688" s="1">
        <v>46271.058333333327</v>
      </c>
      <c r="G688" s="1">
        <v>46271.0625</v>
      </c>
      <c r="H688">
        <v>2</v>
      </c>
      <c r="I688">
        <v>6</v>
      </c>
      <c r="J688" t="b">
        <v>0</v>
      </c>
      <c r="K688" t="b">
        <v>0</v>
      </c>
      <c r="L688" t="b">
        <v>0</v>
      </c>
      <c r="M688">
        <v>6</v>
      </c>
      <c r="N688" t="s">
        <v>1130</v>
      </c>
      <c r="O688" s="1">
        <v>46270.959722222222</v>
      </c>
      <c r="P688" t="b">
        <v>0</v>
      </c>
      <c r="Q688" t="s">
        <v>1179</v>
      </c>
      <c r="R688" t="s">
        <v>1120</v>
      </c>
      <c r="S688" t="s">
        <v>1132</v>
      </c>
      <c r="T688" t="s">
        <v>1122</v>
      </c>
      <c r="U688" t="s">
        <v>1145</v>
      </c>
      <c r="V688" t="s">
        <v>1151</v>
      </c>
      <c r="W688" t="s">
        <v>1257</v>
      </c>
      <c r="X688">
        <v>23</v>
      </c>
      <c r="Y688" t="s">
        <v>1173</v>
      </c>
      <c r="Z688" t="s">
        <v>1134</v>
      </c>
      <c r="AA688">
        <v>3</v>
      </c>
    </row>
    <row r="689" spans="1:27" x14ac:dyDescent="0.3">
      <c r="A689" t="s">
        <v>47</v>
      </c>
      <c r="B689" t="s">
        <v>1476</v>
      </c>
      <c r="C689" t="s">
        <v>1078</v>
      </c>
      <c r="D689" t="s">
        <v>1339</v>
      </c>
      <c r="E689" t="s">
        <v>1294</v>
      </c>
      <c r="F689" s="1">
        <v>46292.5625</v>
      </c>
      <c r="G689" s="1">
        <v>46292.566666666673</v>
      </c>
      <c r="H689">
        <v>1</v>
      </c>
      <c r="I689">
        <v>6</v>
      </c>
      <c r="J689" t="b">
        <v>0</v>
      </c>
      <c r="K689" t="b">
        <v>0</v>
      </c>
      <c r="L689" t="b">
        <v>0</v>
      </c>
      <c r="M689">
        <v>5</v>
      </c>
      <c r="N689" t="s">
        <v>1130</v>
      </c>
      <c r="O689" s="1">
        <v>46292.558333333327</v>
      </c>
      <c r="P689" t="b">
        <v>0</v>
      </c>
      <c r="Q689" t="s">
        <v>1119</v>
      </c>
      <c r="R689" t="s">
        <v>1145</v>
      </c>
      <c r="S689" t="s">
        <v>1132</v>
      </c>
      <c r="T689" t="s">
        <v>1145</v>
      </c>
      <c r="U689" t="s">
        <v>1172</v>
      </c>
      <c r="V689" t="s">
        <v>1284</v>
      </c>
      <c r="W689" t="s">
        <v>1257</v>
      </c>
      <c r="X689">
        <v>13</v>
      </c>
      <c r="Y689" t="s">
        <v>1133</v>
      </c>
      <c r="Z689" t="s">
        <v>1147</v>
      </c>
      <c r="AA689">
        <v>6</v>
      </c>
    </row>
    <row r="690" spans="1:27" x14ac:dyDescent="0.3">
      <c r="A690" t="s">
        <v>48</v>
      </c>
      <c r="B690" t="s">
        <v>1476</v>
      </c>
      <c r="C690" t="s">
        <v>1063</v>
      </c>
      <c r="D690" t="s">
        <v>1283</v>
      </c>
      <c r="E690" t="s">
        <v>1379</v>
      </c>
      <c r="F690" s="1">
        <v>46292.617361111108</v>
      </c>
      <c r="G690" s="1">
        <v>46292.621527777781</v>
      </c>
      <c r="H690">
        <v>2</v>
      </c>
      <c r="I690">
        <v>6</v>
      </c>
      <c r="J690" t="b">
        <v>0</v>
      </c>
      <c r="K690" t="b">
        <v>0</v>
      </c>
      <c r="L690" t="b">
        <v>0</v>
      </c>
      <c r="M690">
        <v>5</v>
      </c>
      <c r="N690" t="s">
        <v>1130</v>
      </c>
      <c r="O690" s="1">
        <v>46292.558333333327</v>
      </c>
      <c r="P690" t="b">
        <v>0</v>
      </c>
      <c r="Q690" t="s">
        <v>1179</v>
      </c>
      <c r="R690" t="s">
        <v>1120</v>
      </c>
      <c r="S690" t="s">
        <v>1145</v>
      </c>
      <c r="T690" t="s">
        <v>1122</v>
      </c>
      <c r="U690" t="s">
        <v>1172</v>
      </c>
      <c r="V690" t="s">
        <v>1284</v>
      </c>
      <c r="W690" t="s">
        <v>1131</v>
      </c>
      <c r="X690">
        <v>13</v>
      </c>
      <c r="Y690" t="s">
        <v>1133</v>
      </c>
      <c r="Z690" t="s">
        <v>1147</v>
      </c>
      <c r="AA690">
        <v>3</v>
      </c>
    </row>
    <row r="691" spans="1:27" x14ac:dyDescent="0.3">
      <c r="A691" t="s">
        <v>997</v>
      </c>
      <c r="B691" t="s">
        <v>1451</v>
      </c>
      <c r="C691" t="s">
        <v>1083</v>
      </c>
      <c r="D691" t="s">
        <v>1280</v>
      </c>
      <c r="E691" t="s">
        <v>1246</v>
      </c>
      <c r="F691" s="1">
        <v>46291.93472222222</v>
      </c>
      <c r="G691" s="1">
        <v>46291.938888888893</v>
      </c>
      <c r="H691">
        <v>3</v>
      </c>
      <c r="I691">
        <v>6</v>
      </c>
      <c r="J691" t="b">
        <v>0</v>
      </c>
      <c r="K691" t="b">
        <v>0</v>
      </c>
      <c r="L691" t="b">
        <v>0</v>
      </c>
      <c r="M691">
        <v>6</v>
      </c>
      <c r="N691" t="s">
        <v>1118</v>
      </c>
      <c r="O691" s="1">
        <v>46291.857638888891</v>
      </c>
      <c r="P691" t="b">
        <v>0</v>
      </c>
      <c r="Q691" t="s">
        <v>1145</v>
      </c>
      <c r="R691" t="s">
        <v>1120</v>
      </c>
      <c r="S691" t="s">
        <v>1157</v>
      </c>
      <c r="T691" t="s">
        <v>1180</v>
      </c>
      <c r="U691" t="s">
        <v>1123</v>
      </c>
      <c r="V691" t="s">
        <v>1151</v>
      </c>
      <c r="W691" t="s">
        <v>1257</v>
      </c>
      <c r="X691">
        <v>20</v>
      </c>
      <c r="Y691" t="s">
        <v>1173</v>
      </c>
      <c r="Z691" t="s">
        <v>1134</v>
      </c>
      <c r="AA691">
        <v>2</v>
      </c>
    </row>
    <row r="692" spans="1:27" x14ac:dyDescent="0.3">
      <c r="A692" t="s">
        <v>993</v>
      </c>
      <c r="B692" t="s">
        <v>1290</v>
      </c>
      <c r="C692" t="s">
        <v>1072</v>
      </c>
      <c r="D692" t="s">
        <v>1280</v>
      </c>
      <c r="E692" t="s">
        <v>1336</v>
      </c>
      <c r="F692" s="1">
        <v>46267.013888888891</v>
      </c>
      <c r="G692" s="1">
        <v>46267.018055555563</v>
      </c>
      <c r="H692">
        <v>1</v>
      </c>
      <c r="I692">
        <v>6</v>
      </c>
      <c r="J692" t="b">
        <v>0</v>
      </c>
      <c r="K692" t="b">
        <v>0</v>
      </c>
      <c r="L692" t="b">
        <v>0</v>
      </c>
      <c r="M692">
        <v>20</v>
      </c>
      <c r="N692" t="s">
        <v>1168</v>
      </c>
      <c r="O692" s="1">
        <v>46266.9</v>
      </c>
      <c r="P692" t="b">
        <v>0</v>
      </c>
      <c r="Q692" t="s">
        <v>1179</v>
      </c>
      <c r="R692" t="s">
        <v>1120</v>
      </c>
      <c r="S692" t="s">
        <v>1152</v>
      </c>
      <c r="T692" t="s">
        <v>1180</v>
      </c>
      <c r="U692" t="s">
        <v>1172</v>
      </c>
      <c r="V692" t="s">
        <v>1151</v>
      </c>
      <c r="W692" t="s">
        <v>1257</v>
      </c>
      <c r="X692">
        <v>21</v>
      </c>
      <c r="Y692" t="s">
        <v>1126</v>
      </c>
      <c r="Z692" t="s">
        <v>1127</v>
      </c>
      <c r="AA692">
        <v>6</v>
      </c>
    </row>
    <row r="693" spans="1:27" x14ac:dyDescent="0.3">
      <c r="A693" t="s">
        <v>992</v>
      </c>
      <c r="B693" t="s">
        <v>1290</v>
      </c>
      <c r="C693" t="s">
        <v>1084</v>
      </c>
      <c r="D693" t="s">
        <v>1255</v>
      </c>
      <c r="E693" t="s">
        <v>1301</v>
      </c>
      <c r="F693" s="1">
        <v>46266.940972222219</v>
      </c>
      <c r="G693" s="1">
        <v>46266.945138888892</v>
      </c>
      <c r="H693">
        <v>3</v>
      </c>
      <c r="I693">
        <v>6</v>
      </c>
      <c r="J693" t="b">
        <v>0</v>
      </c>
      <c r="K693" t="b">
        <v>0</v>
      </c>
      <c r="L693" t="b">
        <v>0</v>
      </c>
      <c r="M693">
        <v>20</v>
      </c>
      <c r="N693" t="s">
        <v>1168</v>
      </c>
      <c r="O693" s="1">
        <v>46266.9</v>
      </c>
      <c r="P693" t="b">
        <v>0</v>
      </c>
      <c r="Q693" t="s">
        <v>1169</v>
      </c>
      <c r="R693" t="s">
        <v>1131</v>
      </c>
      <c r="S693" t="s">
        <v>1145</v>
      </c>
      <c r="T693" t="s">
        <v>1122</v>
      </c>
      <c r="U693" t="s">
        <v>1247</v>
      </c>
      <c r="V693" t="s">
        <v>1141</v>
      </c>
      <c r="W693" t="s">
        <v>1257</v>
      </c>
      <c r="X693">
        <v>21</v>
      </c>
      <c r="Y693" t="s">
        <v>1126</v>
      </c>
      <c r="Z693" t="s">
        <v>1127</v>
      </c>
      <c r="AA693">
        <v>2</v>
      </c>
    </row>
    <row r="694" spans="1:27" x14ac:dyDescent="0.3">
      <c r="A694" t="s">
        <v>90</v>
      </c>
      <c r="B694" t="s">
        <v>1385</v>
      </c>
      <c r="C694" t="s">
        <v>1070</v>
      </c>
      <c r="D694" t="s">
        <v>1280</v>
      </c>
      <c r="E694" t="s">
        <v>1383</v>
      </c>
      <c r="F694" s="1">
        <v>46287.453472222223</v>
      </c>
      <c r="G694" s="1">
        <v>46287.457638888889</v>
      </c>
      <c r="H694">
        <v>4</v>
      </c>
      <c r="I694">
        <v>6</v>
      </c>
      <c r="J694" t="b">
        <v>0</v>
      </c>
      <c r="K694" t="b">
        <v>0</v>
      </c>
      <c r="L694" t="b">
        <v>0</v>
      </c>
      <c r="M694">
        <v>12</v>
      </c>
      <c r="N694" t="s">
        <v>1118</v>
      </c>
      <c r="O694" s="1">
        <v>46287.443749999999</v>
      </c>
      <c r="P694" t="b">
        <v>0</v>
      </c>
      <c r="Q694" t="s">
        <v>1119</v>
      </c>
      <c r="R694" t="s">
        <v>1131</v>
      </c>
      <c r="S694" t="s">
        <v>1132</v>
      </c>
      <c r="T694" t="s">
        <v>1180</v>
      </c>
      <c r="U694" t="s">
        <v>1145</v>
      </c>
      <c r="V694" t="s">
        <v>1151</v>
      </c>
      <c r="W694" t="s">
        <v>1257</v>
      </c>
      <c r="X694">
        <v>10</v>
      </c>
      <c r="Y694" t="s">
        <v>1126</v>
      </c>
      <c r="Z694" t="s">
        <v>1127</v>
      </c>
      <c r="AA694">
        <v>1.5</v>
      </c>
    </row>
    <row r="695" spans="1:27" x14ac:dyDescent="0.3">
      <c r="A695" t="s">
        <v>81</v>
      </c>
      <c r="B695" t="s">
        <v>1251</v>
      </c>
      <c r="C695" t="s">
        <v>1082</v>
      </c>
      <c r="D695" t="s">
        <v>1238</v>
      </c>
      <c r="E695" t="s">
        <v>1295</v>
      </c>
      <c r="F695" s="1">
        <v>46290.286805555559</v>
      </c>
      <c r="G695" s="1">
        <v>46290.290972222218</v>
      </c>
      <c r="H695">
        <v>4</v>
      </c>
      <c r="I695">
        <v>6</v>
      </c>
      <c r="J695" t="b">
        <v>0</v>
      </c>
      <c r="K695" t="b">
        <v>0</v>
      </c>
      <c r="L695" t="b">
        <v>0</v>
      </c>
      <c r="M695">
        <v>4</v>
      </c>
      <c r="N695" t="s">
        <v>1130</v>
      </c>
      <c r="O695" s="1">
        <v>46290.261111111111</v>
      </c>
      <c r="P695" t="b">
        <v>0</v>
      </c>
      <c r="Q695" t="s">
        <v>1151</v>
      </c>
      <c r="R695" t="s">
        <v>1120</v>
      </c>
      <c r="S695" t="s">
        <v>1145</v>
      </c>
      <c r="T695" t="s">
        <v>1122</v>
      </c>
      <c r="U695" t="s">
        <v>1145</v>
      </c>
      <c r="V695" t="s">
        <v>1151</v>
      </c>
      <c r="W695" t="s">
        <v>1131</v>
      </c>
      <c r="X695">
        <v>6</v>
      </c>
      <c r="Y695" t="s">
        <v>1142</v>
      </c>
      <c r="Z695" t="s">
        <v>1147</v>
      </c>
      <c r="AA695">
        <v>1.5</v>
      </c>
    </row>
    <row r="696" spans="1:27" x14ac:dyDescent="0.3">
      <c r="A696" t="s">
        <v>419</v>
      </c>
      <c r="B696" t="s">
        <v>1395</v>
      </c>
      <c r="C696" t="s">
        <v>1064</v>
      </c>
      <c r="D696" t="s">
        <v>1280</v>
      </c>
      <c r="E696" t="s">
        <v>1198</v>
      </c>
      <c r="F696" s="1">
        <v>46281.711805555547</v>
      </c>
      <c r="G696" s="1">
        <v>46281.71597222222</v>
      </c>
      <c r="H696">
        <v>4</v>
      </c>
      <c r="I696">
        <v>6</v>
      </c>
      <c r="J696" t="b">
        <v>0</v>
      </c>
      <c r="K696" t="b">
        <v>0</v>
      </c>
      <c r="L696" t="b">
        <v>0</v>
      </c>
      <c r="M696">
        <v>5</v>
      </c>
      <c r="N696" t="s">
        <v>1130</v>
      </c>
      <c r="O696" s="1">
        <v>46281.706250000003</v>
      </c>
      <c r="P696" t="b">
        <v>0</v>
      </c>
      <c r="Q696" t="s">
        <v>1169</v>
      </c>
      <c r="R696" t="s">
        <v>1131</v>
      </c>
      <c r="S696" t="s">
        <v>1145</v>
      </c>
      <c r="T696" t="s">
        <v>1122</v>
      </c>
      <c r="U696" t="s">
        <v>1123</v>
      </c>
      <c r="V696" t="s">
        <v>1151</v>
      </c>
      <c r="W696" t="s">
        <v>1257</v>
      </c>
      <c r="X696">
        <v>16</v>
      </c>
      <c r="Y696" t="s">
        <v>1161</v>
      </c>
      <c r="Z696" t="s">
        <v>1147</v>
      </c>
      <c r="AA696">
        <v>1.5</v>
      </c>
    </row>
    <row r="697" spans="1:27" x14ac:dyDescent="0.3">
      <c r="A697" t="s">
        <v>414</v>
      </c>
      <c r="B697" t="s">
        <v>1393</v>
      </c>
      <c r="C697" t="s">
        <v>1075</v>
      </c>
      <c r="D697" t="s">
        <v>1255</v>
      </c>
      <c r="E697" t="s">
        <v>1223</v>
      </c>
      <c r="F697" s="1">
        <v>46291.072916666657</v>
      </c>
      <c r="G697" s="1">
        <v>46291.07708333333</v>
      </c>
      <c r="H697">
        <v>6</v>
      </c>
      <c r="I697">
        <v>6</v>
      </c>
      <c r="J697" t="b">
        <v>0</v>
      </c>
      <c r="K697" t="b">
        <v>0</v>
      </c>
      <c r="L697" t="b">
        <v>0</v>
      </c>
      <c r="M697">
        <v>4</v>
      </c>
      <c r="N697" t="s">
        <v>1118</v>
      </c>
      <c r="O697" s="1">
        <v>46291.000694444447</v>
      </c>
      <c r="P697" t="b">
        <v>0</v>
      </c>
      <c r="Q697" t="s">
        <v>1119</v>
      </c>
      <c r="R697" t="s">
        <v>1120</v>
      </c>
      <c r="S697" t="s">
        <v>1152</v>
      </c>
      <c r="T697" t="s">
        <v>1122</v>
      </c>
      <c r="U697" t="s">
        <v>1172</v>
      </c>
      <c r="V697" t="s">
        <v>1141</v>
      </c>
      <c r="W697" t="s">
        <v>1257</v>
      </c>
      <c r="X697">
        <v>0</v>
      </c>
      <c r="Y697" t="s">
        <v>1173</v>
      </c>
      <c r="Z697" t="s">
        <v>1147</v>
      </c>
      <c r="AA697">
        <v>1</v>
      </c>
    </row>
    <row r="698" spans="1:27" x14ac:dyDescent="0.3">
      <c r="A698" t="s">
        <v>734</v>
      </c>
      <c r="B698" t="s">
        <v>1264</v>
      </c>
      <c r="C698" t="s">
        <v>1065</v>
      </c>
      <c r="D698" t="s">
        <v>1136</v>
      </c>
      <c r="E698" t="s">
        <v>1253</v>
      </c>
      <c r="F698" s="1">
        <v>46272.59097222222</v>
      </c>
      <c r="G698" s="1">
        <v>46272.595138888893</v>
      </c>
      <c r="H698">
        <v>4</v>
      </c>
      <c r="I698">
        <v>6</v>
      </c>
      <c r="J698" t="b">
        <v>0</v>
      </c>
      <c r="K698" t="b">
        <v>0</v>
      </c>
      <c r="L698" t="b">
        <v>0</v>
      </c>
      <c r="M698">
        <v>6</v>
      </c>
      <c r="N698" t="s">
        <v>1155</v>
      </c>
      <c r="O698" s="1">
        <v>46272.520138888889</v>
      </c>
      <c r="P698" t="b">
        <v>0</v>
      </c>
      <c r="Q698" t="s">
        <v>1156</v>
      </c>
      <c r="R698" t="s">
        <v>1139</v>
      </c>
      <c r="S698" t="s">
        <v>1121</v>
      </c>
      <c r="T698" t="s">
        <v>1180</v>
      </c>
      <c r="U698" t="s">
        <v>1247</v>
      </c>
      <c r="V698" t="s">
        <v>1141</v>
      </c>
      <c r="W698" t="s">
        <v>1125</v>
      </c>
      <c r="X698">
        <v>12</v>
      </c>
      <c r="Y698" t="s">
        <v>1185</v>
      </c>
      <c r="Z698" t="s">
        <v>1134</v>
      </c>
      <c r="AA698">
        <v>1.5</v>
      </c>
    </row>
    <row r="699" spans="1:27" x14ac:dyDescent="0.3">
      <c r="A699" t="s">
        <v>262</v>
      </c>
      <c r="B699" t="s">
        <v>1335</v>
      </c>
      <c r="C699" t="s">
        <v>1085</v>
      </c>
      <c r="D699" t="s">
        <v>1339</v>
      </c>
      <c r="E699" t="s">
        <v>1233</v>
      </c>
      <c r="F699" s="1">
        <v>46270.074999999997</v>
      </c>
      <c r="G699" s="1">
        <v>46270.07916666667</v>
      </c>
      <c r="H699">
        <v>5</v>
      </c>
      <c r="I699">
        <v>6</v>
      </c>
      <c r="J699" t="b">
        <v>0</v>
      </c>
      <c r="K699" t="b">
        <v>0</v>
      </c>
      <c r="L699" t="b">
        <v>0</v>
      </c>
      <c r="N699" t="s">
        <v>1118</v>
      </c>
      <c r="O699" s="1">
        <v>46270.036111111112</v>
      </c>
      <c r="P699" t="b">
        <v>1</v>
      </c>
      <c r="Q699" t="s">
        <v>1179</v>
      </c>
      <c r="R699" t="s">
        <v>1120</v>
      </c>
      <c r="S699" t="s">
        <v>1132</v>
      </c>
      <c r="T699" t="s">
        <v>1122</v>
      </c>
      <c r="U699" t="s">
        <v>1247</v>
      </c>
      <c r="V699" t="s">
        <v>1284</v>
      </c>
      <c r="W699" t="s">
        <v>1257</v>
      </c>
      <c r="X699">
        <v>0</v>
      </c>
      <c r="Y699" t="s">
        <v>1173</v>
      </c>
      <c r="AA699">
        <v>1.2</v>
      </c>
    </row>
    <row r="700" spans="1:27" x14ac:dyDescent="0.3">
      <c r="A700" t="s">
        <v>259</v>
      </c>
      <c r="B700" t="s">
        <v>1335</v>
      </c>
      <c r="C700" t="s">
        <v>1070</v>
      </c>
      <c r="D700" t="s">
        <v>1136</v>
      </c>
      <c r="E700" t="s">
        <v>1253</v>
      </c>
      <c r="F700" s="1">
        <v>46270.115277777782</v>
      </c>
      <c r="G700" s="1">
        <v>46270.119444444441</v>
      </c>
      <c r="H700">
        <v>5</v>
      </c>
      <c r="I700">
        <v>6</v>
      </c>
      <c r="J700" t="b">
        <v>0</v>
      </c>
      <c r="K700" t="b">
        <v>0</v>
      </c>
      <c r="L700" t="b">
        <v>0</v>
      </c>
      <c r="N700" t="s">
        <v>1118</v>
      </c>
      <c r="O700" s="1">
        <v>46270.036111111112</v>
      </c>
      <c r="P700" t="b">
        <v>1</v>
      </c>
      <c r="Q700" t="s">
        <v>1156</v>
      </c>
      <c r="R700" t="s">
        <v>1139</v>
      </c>
      <c r="S700" t="s">
        <v>1121</v>
      </c>
      <c r="T700" t="s">
        <v>1180</v>
      </c>
      <c r="U700" t="s">
        <v>1145</v>
      </c>
      <c r="V700" t="s">
        <v>1141</v>
      </c>
      <c r="W700" t="s">
        <v>1125</v>
      </c>
      <c r="X700">
        <v>0</v>
      </c>
      <c r="Y700" t="s">
        <v>1173</v>
      </c>
      <c r="AA700">
        <v>1.2</v>
      </c>
    </row>
    <row r="701" spans="1:27" x14ac:dyDescent="0.3">
      <c r="A701" t="s">
        <v>699</v>
      </c>
      <c r="B701" t="s">
        <v>1474</v>
      </c>
      <c r="C701" t="s">
        <v>1083</v>
      </c>
      <c r="D701" t="s">
        <v>1339</v>
      </c>
      <c r="E701" t="s">
        <v>1216</v>
      </c>
      <c r="F701" s="1">
        <v>46271.084027777782</v>
      </c>
      <c r="G701" s="1">
        <v>46271.088194444441</v>
      </c>
      <c r="H701">
        <v>1</v>
      </c>
      <c r="I701">
        <v>6</v>
      </c>
      <c r="J701" t="b">
        <v>0</v>
      </c>
      <c r="K701" t="b">
        <v>0</v>
      </c>
      <c r="L701" t="b">
        <v>0</v>
      </c>
      <c r="M701">
        <v>3</v>
      </c>
      <c r="N701" t="s">
        <v>1118</v>
      </c>
      <c r="O701" s="1">
        <v>46271.07708333333</v>
      </c>
      <c r="P701" t="b">
        <v>0</v>
      </c>
      <c r="Q701" t="s">
        <v>1119</v>
      </c>
      <c r="R701" t="s">
        <v>1131</v>
      </c>
      <c r="S701" t="s">
        <v>1157</v>
      </c>
      <c r="T701" t="s">
        <v>1180</v>
      </c>
      <c r="U701" t="s">
        <v>1123</v>
      </c>
      <c r="V701" t="s">
        <v>1284</v>
      </c>
      <c r="W701" t="s">
        <v>1257</v>
      </c>
      <c r="X701">
        <v>1</v>
      </c>
      <c r="Y701" t="s">
        <v>1133</v>
      </c>
      <c r="Z701" t="s">
        <v>1147</v>
      </c>
      <c r="AA701">
        <v>6</v>
      </c>
    </row>
    <row r="702" spans="1:27" x14ac:dyDescent="0.3">
      <c r="A702" t="s">
        <v>285</v>
      </c>
      <c r="B702" t="s">
        <v>1347</v>
      </c>
      <c r="C702" t="s">
        <v>1077</v>
      </c>
      <c r="D702" t="s">
        <v>1280</v>
      </c>
      <c r="E702" t="s">
        <v>1321</v>
      </c>
      <c r="F702" s="1">
        <v>46266.510416666657</v>
      </c>
      <c r="G702" s="1">
        <v>46266.51458333333</v>
      </c>
      <c r="H702">
        <v>3</v>
      </c>
      <c r="I702">
        <v>6</v>
      </c>
      <c r="J702" t="b">
        <v>0</v>
      </c>
      <c r="K702" t="b">
        <v>0</v>
      </c>
      <c r="L702" t="b">
        <v>0</v>
      </c>
      <c r="M702">
        <v>20</v>
      </c>
      <c r="N702" t="s">
        <v>1130</v>
      </c>
      <c r="O702" s="1">
        <v>46266.458333333343</v>
      </c>
      <c r="P702" t="b">
        <v>0</v>
      </c>
      <c r="Q702" t="s">
        <v>1179</v>
      </c>
      <c r="R702" t="s">
        <v>1139</v>
      </c>
      <c r="S702" t="s">
        <v>1157</v>
      </c>
      <c r="T702" t="s">
        <v>1122</v>
      </c>
      <c r="U702" t="s">
        <v>1172</v>
      </c>
      <c r="V702" t="s">
        <v>1151</v>
      </c>
      <c r="W702" t="s">
        <v>1257</v>
      </c>
      <c r="X702">
        <v>11</v>
      </c>
      <c r="Y702" t="s">
        <v>1126</v>
      </c>
      <c r="Z702" t="s">
        <v>1127</v>
      </c>
      <c r="AA702">
        <v>2</v>
      </c>
    </row>
    <row r="703" spans="1:27" x14ac:dyDescent="0.3">
      <c r="A703" t="s">
        <v>411</v>
      </c>
      <c r="B703" t="s">
        <v>1477</v>
      </c>
      <c r="C703" t="s">
        <v>1084</v>
      </c>
      <c r="D703" t="s">
        <v>1280</v>
      </c>
      <c r="E703" t="s">
        <v>1289</v>
      </c>
      <c r="F703" s="1">
        <v>46276.542361111111</v>
      </c>
      <c r="G703" s="1">
        <v>46276.546527777777</v>
      </c>
      <c r="H703">
        <v>1</v>
      </c>
      <c r="I703">
        <v>6</v>
      </c>
      <c r="J703" t="b">
        <v>0</v>
      </c>
      <c r="K703" t="b">
        <v>0</v>
      </c>
      <c r="L703" t="b">
        <v>0</v>
      </c>
      <c r="N703" t="s">
        <v>1130</v>
      </c>
      <c r="O703" s="1">
        <v>46276.510416666657</v>
      </c>
      <c r="P703" t="b">
        <v>1</v>
      </c>
      <c r="Q703" t="s">
        <v>1145</v>
      </c>
      <c r="R703" t="s">
        <v>1139</v>
      </c>
      <c r="S703" t="s">
        <v>1152</v>
      </c>
      <c r="T703" t="s">
        <v>1122</v>
      </c>
      <c r="U703" t="s">
        <v>1247</v>
      </c>
      <c r="V703" t="s">
        <v>1151</v>
      </c>
      <c r="W703" t="s">
        <v>1257</v>
      </c>
      <c r="X703">
        <v>12</v>
      </c>
      <c r="Y703" t="s">
        <v>1142</v>
      </c>
      <c r="AA703">
        <v>6</v>
      </c>
    </row>
    <row r="704" spans="1:27" x14ac:dyDescent="0.3">
      <c r="A704" t="s">
        <v>448</v>
      </c>
      <c r="B704" t="s">
        <v>1288</v>
      </c>
      <c r="C704" t="s">
        <v>1064</v>
      </c>
      <c r="D704" t="s">
        <v>1283</v>
      </c>
      <c r="E704" t="s">
        <v>1336</v>
      </c>
      <c r="F704" s="1">
        <v>46282.87222222222</v>
      </c>
      <c r="G704" s="1">
        <v>46282.876388888893</v>
      </c>
      <c r="H704">
        <v>2</v>
      </c>
      <c r="I704">
        <v>6</v>
      </c>
      <c r="J704" t="b">
        <v>0</v>
      </c>
      <c r="K704" t="b">
        <v>0</v>
      </c>
      <c r="L704" t="b">
        <v>0</v>
      </c>
      <c r="M704">
        <v>12</v>
      </c>
      <c r="N704" t="s">
        <v>1168</v>
      </c>
      <c r="O704" s="1">
        <v>46282.832638888889</v>
      </c>
      <c r="P704" t="b">
        <v>0</v>
      </c>
      <c r="Q704" t="s">
        <v>1179</v>
      </c>
      <c r="R704" t="s">
        <v>1120</v>
      </c>
      <c r="S704" t="s">
        <v>1152</v>
      </c>
      <c r="T704" t="s">
        <v>1122</v>
      </c>
      <c r="U704" t="s">
        <v>1123</v>
      </c>
      <c r="V704" t="s">
        <v>1284</v>
      </c>
      <c r="W704" t="s">
        <v>1131</v>
      </c>
      <c r="X704">
        <v>19</v>
      </c>
      <c r="Y704" t="s">
        <v>1146</v>
      </c>
      <c r="Z704" t="s">
        <v>1127</v>
      </c>
      <c r="AA704">
        <v>3</v>
      </c>
    </row>
    <row r="705" spans="1:27" x14ac:dyDescent="0.3">
      <c r="A705" t="s">
        <v>441</v>
      </c>
      <c r="B705" t="s">
        <v>1455</v>
      </c>
      <c r="C705" t="s">
        <v>1085</v>
      </c>
      <c r="D705" t="s">
        <v>1283</v>
      </c>
      <c r="E705" t="s">
        <v>1171</v>
      </c>
      <c r="F705" s="1">
        <v>46293.150694444441</v>
      </c>
      <c r="G705" s="1">
        <v>46293.154861111107</v>
      </c>
      <c r="H705">
        <v>7</v>
      </c>
      <c r="I705">
        <v>6</v>
      </c>
      <c r="J705" t="b">
        <v>0</v>
      </c>
      <c r="K705" t="b">
        <v>0</v>
      </c>
      <c r="L705" t="b">
        <v>0</v>
      </c>
      <c r="M705">
        <v>6</v>
      </c>
      <c r="N705" t="s">
        <v>1130</v>
      </c>
      <c r="O705" s="1">
        <v>46293.119444444441</v>
      </c>
      <c r="P705" t="b">
        <v>0</v>
      </c>
      <c r="Q705" t="s">
        <v>1119</v>
      </c>
      <c r="R705" t="s">
        <v>1131</v>
      </c>
      <c r="S705" t="s">
        <v>1121</v>
      </c>
      <c r="T705" t="s">
        <v>1122</v>
      </c>
      <c r="U705" t="s">
        <v>1247</v>
      </c>
      <c r="V705" t="s">
        <v>1284</v>
      </c>
      <c r="W705" t="s">
        <v>1131</v>
      </c>
      <c r="X705">
        <v>2</v>
      </c>
      <c r="Y705" t="s">
        <v>1185</v>
      </c>
      <c r="Z705" t="s">
        <v>1134</v>
      </c>
      <c r="AA705">
        <v>0.8571428571428571</v>
      </c>
    </row>
    <row r="706" spans="1:27" x14ac:dyDescent="0.3">
      <c r="A706" t="s">
        <v>972</v>
      </c>
      <c r="B706" t="s">
        <v>1388</v>
      </c>
      <c r="C706" t="s">
        <v>1078</v>
      </c>
      <c r="D706" t="s">
        <v>1136</v>
      </c>
      <c r="E706" t="s">
        <v>1256</v>
      </c>
      <c r="F706" s="1">
        <v>46282.254861111112</v>
      </c>
      <c r="G706" s="1">
        <v>46282.259027777778</v>
      </c>
      <c r="H706">
        <v>2</v>
      </c>
      <c r="I706">
        <v>6</v>
      </c>
      <c r="J706" t="b">
        <v>0</v>
      </c>
      <c r="K706" t="b">
        <v>0</v>
      </c>
      <c r="L706" t="b">
        <v>0</v>
      </c>
      <c r="M706">
        <v>6</v>
      </c>
      <c r="N706" t="s">
        <v>1130</v>
      </c>
      <c r="O706" s="1">
        <v>46282.188194444447</v>
      </c>
      <c r="P706" t="b">
        <v>0</v>
      </c>
      <c r="Q706" t="s">
        <v>1145</v>
      </c>
      <c r="R706" t="s">
        <v>1139</v>
      </c>
      <c r="S706" t="s">
        <v>1157</v>
      </c>
      <c r="T706" t="s">
        <v>1145</v>
      </c>
      <c r="U706" t="s">
        <v>1172</v>
      </c>
      <c r="V706" t="s">
        <v>1141</v>
      </c>
      <c r="W706" t="s">
        <v>1125</v>
      </c>
      <c r="X706">
        <v>4</v>
      </c>
      <c r="Y706" t="s">
        <v>1146</v>
      </c>
      <c r="Z706" t="s">
        <v>1134</v>
      </c>
      <c r="AA706">
        <v>3</v>
      </c>
    </row>
    <row r="707" spans="1:27" x14ac:dyDescent="0.3">
      <c r="A707" t="s">
        <v>969</v>
      </c>
      <c r="B707" t="s">
        <v>1388</v>
      </c>
      <c r="C707" t="s">
        <v>1087</v>
      </c>
      <c r="D707" t="s">
        <v>1339</v>
      </c>
      <c r="E707" t="s">
        <v>1340</v>
      </c>
      <c r="F707" s="1">
        <v>46282.283333333333</v>
      </c>
      <c r="G707" s="1">
        <v>46282.287499999999</v>
      </c>
      <c r="H707">
        <v>5</v>
      </c>
      <c r="I707">
        <v>6</v>
      </c>
      <c r="J707" t="b">
        <v>0</v>
      </c>
      <c r="K707" t="b">
        <v>0</v>
      </c>
      <c r="L707" t="b">
        <v>0</v>
      </c>
      <c r="M707">
        <v>6</v>
      </c>
      <c r="N707" t="s">
        <v>1130</v>
      </c>
      <c r="O707" s="1">
        <v>46282.188194444447</v>
      </c>
      <c r="P707" t="b">
        <v>0</v>
      </c>
      <c r="Q707" t="s">
        <v>1145</v>
      </c>
      <c r="R707" t="s">
        <v>1131</v>
      </c>
      <c r="S707" t="s">
        <v>1121</v>
      </c>
      <c r="T707" t="s">
        <v>1145</v>
      </c>
      <c r="U707" t="s">
        <v>1247</v>
      </c>
      <c r="V707" t="s">
        <v>1284</v>
      </c>
      <c r="W707" t="s">
        <v>1257</v>
      </c>
      <c r="X707">
        <v>4</v>
      </c>
      <c r="Y707" t="s">
        <v>1146</v>
      </c>
      <c r="Z707" t="s">
        <v>1134</v>
      </c>
      <c r="AA707">
        <v>1.2</v>
      </c>
    </row>
    <row r="708" spans="1:27" x14ac:dyDescent="0.3">
      <c r="A708" t="s">
        <v>959</v>
      </c>
      <c r="B708" t="s">
        <v>1252</v>
      </c>
      <c r="C708" t="s">
        <v>1088</v>
      </c>
      <c r="D708" t="s">
        <v>1283</v>
      </c>
      <c r="E708" t="s">
        <v>1230</v>
      </c>
      <c r="F708" s="1">
        <v>46282.317361111112</v>
      </c>
      <c r="G708" s="1">
        <v>46282.321527777778</v>
      </c>
      <c r="H708">
        <v>1</v>
      </c>
      <c r="I708">
        <v>6</v>
      </c>
      <c r="J708" t="b">
        <v>0</v>
      </c>
      <c r="K708" t="b">
        <v>0</v>
      </c>
      <c r="L708" t="b">
        <v>0</v>
      </c>
      <c r="M708">
        <v>20</v>
      </c>
      <c r="N708" t="s">
        <v>1168</v>
      </c>
      <c r="O708" s="1">
        <v>46282.218055555553</v>
      </c>
      <c r="P708" t="b">
        <v>0</v>
      </c>
      <c r="Q708" t="s">
        <v>1145</v>
      </c>
      <c r="R708" t="s">
        <v>1120</v>
      </c>
      <c r="S708" t="s">
        <v>1157</v>
      </c>
      <c r="T708" t="s">
        <v>1140</v>
      </c>
      <c r="U708" t="s">
        <v>1123</v>
      </c>
      <c r="V708" t="s">
        <v>1284</v>
      </c>
      <c r="W708" t="s">
        <v>1131</v>
      </c>
      <c r="X708">
        <v>5</v>
      </c>
      <c r="Y708" t="s">
        <v>1146</v>
      </c>
      <c r="Z708" t="s">
        <v>1127</v>
      </c>
      <c r="AA708">
        <v>6</v>
      </c>
    </row>
    <row r="709" spans="1:27" x14ac:dyDescent="0.3">
      <c r="A709" t="s">
        <v>473</v>
      </c>
      <c r="B709" t="s">
        <v>1478</v>
      </c>
      <c r="C709" t="s">
        <v>1084</v>
      </c>
      <c r="D709" t="s">
        <v>1255</v>
      </c>
      <c r="E709" t="s">
        <v>1358</v>
      </c>
      <c r="F709" s="1">
        <v>46282.508333333331</v>
      </c>
      <c r="G709" s="1">
        <v>46282.512499999997</v>
      </c>
      <c r="H709">
        <v>1</v>
      </c>
      <c r="I709">
        <v>6</v>
      </c>
      <c r="J709" t="b">
        <v>0</v>
      </c>
      <c r="K709" t="b">
        <v>0</v>
      </c>
      <c r="L709" t="b">
        <v>0</v>
      </c>
      <c r="M709">
        <v>8</v>
      </c>
      <c r="N709" t="s">
        <v>1118</v>
      </c>
      <c r="O709" s="1">
        <v>46282.497916666667</v>
      </c>
      <c r="P709" t="b">
        <v>0</v>
      </c>
      <c r="Q709" t="s">
        <v>1145</v>
      </c>
      <c r="R709" t="s">
        <v>1131</v>
      </c>
      <c r="S709" t="s">
        <v>1152</v>
      </c>
      <c r="T709" t="s">
        <v>1122</v>
      </c>
      <c r="U709" t="s">
        <v>1247</v>
      </c>
      <c r="V709" t="s">
        <v>1141</v>
      </c>
      <c r="W709" t="s">
        <v>1257</v>
      </c>
      <c r="X709">
        <v>11</v>
      </c>
      <c r="Y709" t="s">
        <v>1146</v>
      </c>
      <c r="Z709" t="s">
        <v>1134</v>
      </c>
      <c r="AA709">
        <v>6</v>
      </c>
    </row>
    <row r="710" spans="1:27" x14ac:dyDescent="0.3">
      <c r="A710" t="s">
        <v>472</v>
      </c>
      <c r="B710" t="s">
        <v>1468</v>
      </c>
      <c r="C710" t="s">
        <v>1082</v>
      </c>
      <c r="D710" t="s">
        <v>1283</v>
      </c>
      <c r="E710" t="s">
        <v>1225</v>
      </c>
      <c r="F710" s="1">
        <v>46291.999305555553</v>
      </c>
      <c r="G710" s="1">
        <v>46292.003472222219</v>
      </c>
      <c r="H710">
        <v>2</v>
      </c>
      <c r="I710">
        <v>6</v>
      </c>
      <c r="J710" t="b">
        <v>0</v>
      </c>
      <c r="K710" t="b">
        <v>0</v>
      </c>
      <c r="L710" t="b">
        <v>0</v>
      </c>
      <c r="M710">
        <v>3</v>
      </c>
      <c r="N710" t="s">
        <v>1118</v>
      </c>
      <c r="O710" s="1">
        <v>46291.96597222222</v>
      </c>
      <c r="P710" t="b">
        <v>0</v>
      </c>
      <c r="Q710" t="s">
        <v>1151</v>
      </c>
      <c r="R710" t="s">
        <v>1120</v>
      </c>
      <c r="S710" t="s">
        <v>1152</v>
      </c>
      <c r="T710" t="s">
        <v>1122</v>
      </c>
      <c r="U710" t="s">
        <v>1145</v>
      </c>
      <c r="V710" t="s">
        <v>1284</v>
      </c>
      <c r="W710" t="s">
        <v>1131</v>
      </c>
      <c r="X710">
        <v>23</v>
      </c>
      <c r="Y710" t="s">
        <v>1173</v>
      </c>
      <c r="Z710" t="s">
        <v>1147</v>
      </c>
      <c r="AA710">
        <v>3</v>
      </c>
    </row>
    <row r="711" spans="1:27" x14ac:dyDescent="0.3">
      <c r="A711" t="s">
        <v>464</v>
      </c>
      <c r="B711" t="s">
        <v>1382</v>
      </c>
      <c r="C711" t="s">
        <v>1074</v>
      </c>
      <c r="D711" t="s">
        <v>1238</v>
      </c>
      <c r="E711" t="s">
        <v>1165</v>
      </c>
      <c r="F711" s="1">
        <v>46270.913194444453</v>
      </c>
      <c r="G711" s="1">
        <v>46270.917361111111</v>
      </c>
      <c r="H711">
        <v>6</v>
      </c>
      <c r="I711">
        <v>6</v>
      </c>
      <c r="J711" t="b">
        <v>0</v>
      </c>
      <c r="K711" t="b">
        <v>0</v>
      </c>
      <c r="L711" t="b">
        <v>0</v>
      </c>
      <c r="M711">
        <v>8</v>
      </c>
      <c r="N711" t="s">
        <v>1118</v>
      </c>
      <c r="O711" s="1">
        <v>46270.801388888889</v>
      </c>
      <c r="P711" t="b">
        <v>0</v>
      </c>
      <c r="Q711" t="s">
        <v>1138</v>
      </c>
      <c r="R711" t="s">
        <v>1120</v>
      </c>
      <c r="S711" t="s">
        <v>1152</v>
      </c>
      <c r="T711" t="s">
        <v>1145</v>
      </c>
      <c r="U711" t="s">
        <v>1145</v>
      </c>
      <c r="V711" t="s">
        <v>1151</v>
      </c>
      <c r="W711" t="s">
        <v>1131</v>
      </c>
      <c r="X711">
        <v>19</v>
      </c>
      <c r="Y711" t="s">
        <v>1173</v>
      </c>
      <c r="Z711" t="s">
        <v>1134</v>
      </c>
      <c r="AA711">
        <v>1</v>
      </c>
    </row>
    <row r="712" spans="1:27" x14ac:dyDescent="0.3">
      <c r="A712" t="s">
        <v>102</v>
      </c>
      <c r="B712" t="s">
        <v>1202</v>
      </c>
      <c r="C712" t="s">
        <v>1086</v>
      </c>
      <c r="D712" t="s">
        <v>1238</v>
      </c>
      <c r="E712" t="s">
        <v>1294</v>
      </c>
      <c r="F712" s="1">
        <v>46293.210416666669</v>
      </c>
      <c r="G712" s="1">
        <v>46293.214583333327</v>
      </c>
      <c r="H712">
        <v>4</v>
      </c>
      <c r="I712">
        <v>6</v>
      </c>
      <c r="J712" t="b">
        <v>0</v>
      </c>
      <c r="K712" t="b">
        <v>0</v>
      </c>
      <c r="L712" t="b">
        <v>0</v>
      </c>
      <c r="M712">
        <v>8</v>
      </c>
      <c r="N712" t="s">
        <v>1118</v>
      </c>
      <c r="O712" s="1">
        <v>46293.128472222219</v>
      </c>
      <c r="P712" t="b">
        <v>0</v>
      </c>
      <c r="Q712" t="s">
        <v>1119</v>
      </c>
      <c r="R712" t="s">
        <v>1145</v>
      </c>
      <c r="S712" t="s">
        <v>1132</v>
      </c>
      <c r="T712" t="s">
        <v>1122</v>
      </c>
      <c r="U712" t="s">
        <v>1145</v>
      </c>
      <c r="V712" t="s">
        <v>1151</v>
      </c>
      <c r="W712" t="s">
        <v>1131</v>
      </c>
      <c r="X712">
        <v>3</v>
      </c>
      <c r="Y712" t="s">
        <v>1185</v>
      </c>
      <c r="Z712" t="s">
        <v>1134</v>
      </c>
      <c r="AA712">
        <v>1.5</v>
      </c>
    </row>
    <row r="713" spans="1:27" x14ac:dyDescent="0.3">
      <c r="A713" t="s">
        <v>953</v>
      </c>
      <c r="B713" t="s">
        <v>1263</v>
      </c>
      <c r="C713" t="s">
        <v>1077</v>
      </c>
      <c r="D713" t="s">
        <v>1238</v>
      </c>
      <c r="E713" t="s">
        <v>1198</v>
      </c>
      <c r="F713" s="1">
        <v>46269.250694444447</v>
      </c>
      <c r="G713" s="1">
        <v>46269.254861111112</v>
      </c>
      <c r="H713">
        <v>1</v>
      </c>
      <c r="I713">
        <v>6</v>
      </c>
      <c r="J713" t="b">
        <v>0</v>
      </c>
      <c r="K713" t="b">
        <v>0</v>
      </c>
      <c r="L713" t="b">
        <v>0</v>
      </c>
      <c r="M713">
        <v>8</v>
      </c>
      <c r="N713" t="s">
        <v>1118</v>
      </c>
      <c r="O713" s="1">
        <v>46269.193055555559</v>
      </c>
      <c r="P713" t="b">
        <v>0</v>
      </c>
      <c r="Q713" t="s">
        <v>1169</v>
      </c>
      <c r="R713" t="s">
        <v>1131</v>
      </c>
      <c r="S713" t="s">
        <v>1145</v>
      </c>
      <c r="T713" t="s">
        <v>1122</v>
      </c>
      <c r="U713" t="s">
        <v>1172</v>
      </c>
      <c r="V713" t="s">
        <v>1151</v>
      </c>
      <c r="W713" t="s">
        <v>1131</v>
      </c>
      <c r="X713">
        <v>4</v>
      </c>
      <c r="Y713" t="s">
        <v>1142</v>
      </c>
      <c r="Z713" t="s">
        <v>1134</v>
      </c>
      <c r="AA713">
        <v>6</v>
      </c>
    </row>
    <row r="714" spans="1:27" x14ac:dyDescent="0.3">
      <c r="A714" t="s">
        <v>244</v>
      </c>
      <c r="B714" t="s">
        <v>1428</v>
      </c>
      <c r="C714" t="s">
        <v>1085</v>
      </c>
      <c r="D714" t="s">
        <v>1136</v>
      </c>
      <c r="E714" t="s">
        <v>1117</v>
      </c>
      <c r="F714" s="1">
        <v>46283.416666666657</v>
      </c>
      <c r="G714" s="1">
        <v>46283.42083333333</v>
      </c>
      <c r="H714">
        <v>1</v>
      </c>
      <c r="I714">
        <v>6</v>
      </c>
      <c r="J714" t="b">
        <v>0</v>
      </c>
      <c r="K714" t="b">
        <v>0</v>
      </c>
      <c r="L714" t="b">
        <v>0</v>
      </c>
      <c r="M714">
        <v>20</v>
      </c>
      <c r="N714" t="s">
        <v>1130</v>
      </c>
      <c r="O714" s="1">
        <v>46283.30972222222</v>
      </c>
      <c r="P714" t="b">
        <v>0</v>
      </c>
      <c r="Q714" t="s">
        <v>1119</v>
      </c>
      <c r="R714" t="s">
        <v>1120</v>
      </c>
      <c r="S714" t="s">
        <v>1121</v>
      </c>
      <c r="T714" t="s">
        <v>1122</v>
      </c>
      <c r="U714" t="s">
        <v>1247</v>
      </c>
      <c r="V714" t="s">
        <v>1141</v>
      </c>
      <c r="W714" t="s">
        <v>1125</v>
      </c>
      <c r="X714">
        <v>7</v>
      </c>
      <c r="Y714" t="s">
        <v>1142</v>
      </c>
      <c r="Z714" t="s">
        <v>1127</v>
      </c>
      <c r="AA714">
        <v>6</v>
      </c>
    </row>
    <row r="715" spans="1:27" x14ac:dyDescent="0.3">
      <c r="A715" t="s">
        <v>407</v>
      </c>
      <c r="B715" t="s">
        <v>1279</v>
      </c>
      <c r="C715" t="s">
        <v>1085</v>
      </c>
      <c r="D715" t="s">
        <v>1283</v>
      </c>
      <c r="E715" t="s">
        <v>1223</v>
      </c>
      <c r="F715" s="1">
        <v>46268.677777777782</v>
      </c>
      <c r="G715" s="1">
        <v>46268.681944444441</v>
      </c>
      <c r="H715">
        <v>6</v>
      </c>
      <c r="I715">
        <v>6</v>
      </c>
      <c r="J715" t="b">
        <v>0</v>
      </c>
      <c r="K715" t="b">
        <v>0</v>
      </c>
      <c r="L715" t="b">
        <v>0</v>
      </c>
      <c r="M715">
        <v>20</v>
      </c>
      <c r="N715" t="s">
        <v>1118</v>
      </c>
      <c r="O715" s="1">
        <v>46268.624305555553</v>
      </c>
      <c r="P715" t="b">
        <v>0</v>
      </c>
      <c r="Q715" t="s">
        <v>1119</v>
      </c>
      <c r="R715" t="s">
        <v>1120</v>
      </c>
      <c r="S715" t="s">
        <v>1152</v>
      </c>
      <c r="T715" t="s">
        <v>1122</v>
      </c>
      <c r="U715" t="s">
        <v>1247</v>
      </c>
      <c r="V715" t="s">
        <v>1284</v>
      </c>
      <c r="W715" t="s">
        <v>1131</v>
      </c>
      <c r="X715">
        <v>14</v>
      </c>
      <c r="Y715" t="s">
        <v>1146</v>
      </c>
      <c r="Z715" t="s">
        <v>1127</v>
      </c>
      <c r="AA715">
        <v>1</v>
      </c>
    </row>
    <row r="716" spans="1:27" x14ac:dyDescent="0.3">
      <c r="A716" t="s">
        <v>401</v>
      </c>
      <c r="B716" t="s">
        <v>1279</v>
      </c>
      <c r="C716" t="s">
        <v>1070</v>
      </c>
      <c r="D716" t="s">
        <v>1238</v>
      </c>
      <c r="E716" t="s">
        <v>1192</v>
      </c>
      <c r="F716" s="1">
        <v>46268.625694444447</v>
      </c>
      <c r="G716" s="1">
        <v>46268.629861111112</v>
      </c>
      <c r="H716">
        <v>2</v>
      </c>
      <c r="I716">
        <v>6</v>
      </c>
      <c r="J716" t="b">
        <v>0</v>
      </c>
      <c r="K716" t="b">
        <v>0</v>
      </c>
      <c r="L716" t="b">
        <v>0</v>
      </c>
      <c r="M716">
        <v>20</v>
      </c>
      <c r="N716" t="s">
        <v>1118</v>
      </c>
      <c r="O716" s="1">
        <v>46268.624305555553</v>
      </c>
      <c r="P716" t="b">
        <v>0</v>
      </c>
      <c r="Q716" t="s">
        <v>1151</v>
      </c>
      <c r="R716" t="s">
        <v>1139</v>
      </c>
      <c r="S716" t="s">
        <v>1132</v>
      </c>
      <c r="T716" t="s">
        <v>1180</v>
      </c>
      <c r="U716" t="s">
        <v>1145</v>
      </c>
      <c r="V716" t="s">
        <v>1151</v>
      </c>
      <c r="W716" t="s">
        <v>1131</v>
      </c>
      <c r="X716">
        <v>14</v>
      </c>
      <c r="Y716" t="s">
        <v>1146</v>
      </c>
      <c r="Z716" t="s">
        <v>1127</v>
      </c>
      <c r="AA716">
        <v>3</v>
      </c>
    </row>
    <row r="717" spans="1:27" x14ac:dyDescent="0.3">
      <c r="A717" t="s">
        <v>482</v>
      </c>
      <c r="B717" t="s">
        <v>1384</v>
      </c>
      <c r="C717" t="s">
        <v>1071</v>
      </c>
      <c r="D717" t="s">
        <v>1238</v>
      </c>
      <c r="E717" t="s">
        <v>1235</v>
      </c>
      <c r="F717" s="1">
        <v>46284.209722222222</v>
      </c>
      <c r="G717" s="1">
        <v>46284.213888888888</v>
      </c>
      <c r="H717">
        <v>6</v>
      </c>
      <c r="I717">
        <v>6</v>
      </c>
      <c r="J717" t="b">
        <v>0</v>
      </c>
      <c r="K717" t="b">
        <v>0</v>
      </c>
      <c r="L717" t="b">
        <v>0</v>
      </c>
      <c r="M717">
        <v>4</v>
      </c>
      <c r="N717" t="s">
        <v>1130</v>
      </c>
      <c r="O717" s="1">
        <v>46284.208333333343</v>
      </c>
      <c r="P717" t="b">
        <v>0</v>
      </c>
      <c r="Q717" t="s">
        <v>1151</v>
      </c>
      <c r="R717" t="s">
        <v>1131</v>
      </c>
      <c r="S717" t="s">
        <v>1152</v>
      </c>
      <c r="T717" t="s">
        <v>1122</v>
      </c>
      <c r="U717" t="s">
        <v>1145</v>
      </c>
      <c r="V717" t="s">
        <v>1151</v>
      </c>
      <c r="W717" t="s">
        <v>1131</v>
      </c>
      <c r="X717">
        <v>5</v>
      </c>
      <c r="Y717" t="s">
        <v>1173</v>
      </c>
      <c r="Z717" t="s">
        <v>1147</v>
      </c>
      <c r="AA717">
        <v>1</v>
      </c>
    </row>
    <row r="718" spans="1:27" x14ac:dyDescent="0.3">
      <c r="A718" t="s">
        <v>117</v>
      </c>
      <c r="B718" t="s">
        <v>1479</v>
      </c>
      <c r="C718" t="s">
        <v>1064</v>
      </c>
      <c r="D718" t="s">
        <v>1238</v>
      </c>
      <c r="E718" t="s">
        <v>1154</v>
      </c>
      <c r="F718" s="1">
        <v>46281.556250000001</v>
      </c>
      <c r="G718" s="1">
        <v>46281.560416666667</v>
      </c>
      <c r="H718">
        <v>2</v>
      </c>
      <c r="I718">
        <v>6</v>
      </c>
      <c r="J718" t="b">
        <v>0</v>
      </c>
      <c r="K718" t="b">
        <v>0</v>
      </c>
      <c r="L718" t="b">
        <v>0</v>
      </c>
      <c r="M718">
        <v>5</v>
      </c>
      <c r="N718" t="s">
        <v>1118</v>
      </c>
      <c r="O718" s="1">
        <v>46281.51458333333</v>
      </c>
      <c r="P718" t="b">
        <v>0</v>
      </c>
      <c r="Q718" t="s">
        <v>1156</v>
      </c>
      <c r="R718" t="s">
        <v>1131</v>
      </c>
      <c r="S718" t="s">
        <v>1157</v>
      </c>
      <c r="T718" t="s">
        <v>1122</v>
      </c>
      <c r="U718" t="s">
        <v>1123</v>
      </c>
      <c r="V718" t="s">
        <v>1151</v>
      </c>
      <c r="W718" t="s">
        <v>1131</v>
      </c>
      <c r="X718">
        <v>12</v>
      </c>
      <c r="Y718" t="s">
        <v>1161</v>
      </c>
      <c r="Z718" t="s">
        <v>1147</v>
      </c>
      <c r="AA718">
        <v>3</v>
      </c>
    </row>
    <row r="719" spans="1:27" x14ac:dyDescent="0.3">
      <c r="A719" t="s">
        <v>111</v>
      </c>
      <c r="B719" t="s">
        <v>1465</v>
      </c>
      <c r="C719" t="s">
        <v>1059</v>
      </c>
      <c r="D719" t="s">
        <v>1280</v>
      </c>
      <c r="E719" t="s">
        <v>1233</v>
      </c>
      <c r="F719" s="1">
        <v>46271.459027777782</v>
      </c>
      <c r="G719" s="1">
        <v>46271.463194444441</v>
      </c>
      <c r="H719">
        <v>6</v>
      </c>
      <c r="I719">
        <v>6</v>
      </c>
      <c r="J719" t="b">
        <v>0</v>
      </c>
      <c r="K719" t="b">
        <v>0</v>
      </c>
      <c r="L719" t="b">
        <v>0</v>
      </c>
      <c r="M719">
        <v>5</v>
      </c>
      <c r="N719" t="s">
        <v>1118</v>
      </c>
      <c r="O719" s="1">
        <v>46271.359027777777</v>
      </c>
      <c r="P719" t="b">
        <v>0</v>
      </c>
      <c r="Q719" t="s">
        <v>1179</v>
      </c>
      <c r="R719" t="s">
        <v>1120</v>
      </c>
      <c r="S719" t="s">
        <v>1132</v>
      </c>
      <c r="T719" t="s">
        <v>1122</v>
      </c>
      <c r="U719" t="s">
        <v>1172</v>
      </c>
      <c r="V719" t="s">
        <v>1151</v>
      </c>
      <c r="W719" t="s">
        <v>1257</v>
      </c>
      <c r="X719">
        <v>8</v>
      </c>
      <c r="Y719" t="s">
        <v>1133</v>
      </c>
      <c r="Z719" t="s">
        <v>1147</v>
      </c>
      <c r="AA719">
        <v>1</v>
      </c>
    </row>
    <row r="720" spans="1:27" x14ac:dyDescent="0.3">
      <c r="A720" t="s">
        <v>110</v>
      </c>
      <c r="B720" t="s">
        <v>1465</v>
      </c>
      <c r="C720" t="s">
        <v>1074</v>
      </c>
      <c r="D720" t="s">
        <v>1149</v>
      </c>
      <c r="E720" t="s">
        <v>1265</v>
      </c>
      <c r="F720" s="1">
        <v>46271.47152777778</v>
      </c>
      <c r="G720" s="1">
        <v>46271.475694444453</v>
      </c>
      <c r="H720">
        <v>2</v>
      </c>
      <c r="I720">
        <v>6</v>
      </c>
      <c r="J720" t="b">
        <v>0</v>
      </c>
      <c r="K720" t="b">
        <v>0</v>
      </c>
      <c r="L720" t="b">
        <v>0</v>
      </c>
      <c r="M720">
        <v>5</v>
      </c>
      <c r="N720" t="s">
        <v>1118</v>
      </c>
      <c r="O720" s="1">
        <v>46271.359027777777</v>
      </c>
      <c r="P720" t="b">
        <v>0</v>
      </c>
      <c r="Q720" t="s">
        <v>1179</v>
      </c>
      <c r="R720" t="s">
        <v>1139</v>
      </c>
      <c r="S720" t="s">
        <v>1157</v>
      </c>
      <c r="T720" t="s">
        <v>1145</v>
      </c>
      <c r="U720" t="s">
        <v>1145</v>
      </c>
      <c r="V720" t="s">
        <v>1152</v>
      </c>
      <c r="W720" t="s">
        <v>1145</v>
      </c>
      <c r="X720">
        <v>8</v>
      </c>
      <c r="Y720" t="s">
        <v>1133</v>
      </c>
      <c r="Z720" t="s">
        <v>1147</v>
      </c>
      <c r="AA720">
        <v>3</v>
      </c>
    </row>
    <row r="721" spans="1:27" x14ac:dyDescent="0.3">
      <c r="A721" t="s">
        <v>510</v>
      </c>
      <c r="B721" t="s">
        <v>1273</v>
      </c>
      <c r="C721" t="s">
        <v>1083</v>
      </c>
      <c r="D721" t="s">
        <v>1255</v>
      </c>
      <c r="E721" t="s">
        <v>1196</v>
      </c>
      <c r="F721" s="1">
        <v>46284.636111111111</v>
      </c>
      <c r="G721" s="1">
        <v>46284.640277777777</v>
      </c>
      <c r="H721">
        <v>1</v>
      </c>
      <c r="I721">
        <v>6</v>
      </c>
      <c r="J721" t="b">
        <v>0</v>
      </c>
      <c r="K721" t="b">
        <v>0</v>
      </c>
      <c r="L721" t="b">
        <v>0</v>
      </c>
      <c r="M721">
        <v>20</v>
      </c>
      <c r="N721" t="s">
        <v>1168</v>
      </c>
      <c r="O721" s="1">
        <v>46284.599305555559</v>
      </c>
      <c r="P721" t="b">
        <v>0</v>
      </c>
      <c r="Q721" t="s">
        <v>1138</v>
      </c>
      <c r="R721" t="s">
        <v>1120</v>
      </c>
      <c r="S721" t="s">
        <v>1121</v>
      </c>
      <c r="T721" t="s">
        <v>1180</v>
      </c>
      <c r="U721" t="s">
        <v>1123</v>
      </c>
      <c r="V721" t="s">
        <v>1141</v>
      </c>
      <c r="W721" t="s">
        <v>1257</v>
      </c>
      <c r="X721">
        <v>14</v>
      </c>
      <c r="Y721" t="s">
        <v>1173</v>
      </c>
      <c r="Z721" t="s">
        <v>1127</v>
      </c>
      <c r="AA721">
        <v>6</v>
      </c>
    </row>
    <row r="722" spans="1:27" x14ac:dyDescent="0.3">
      <c r="A722" t="s">
        <v>507</v>
      </c>
      <c r="B722" t="s">
        <v>1273</v>
      </c>
      <c r="C722" t="s">
        <v>1074</v>
      </c>
      <c r="D722" t="s">
        <v>1339</v>
      </c>
      <c r="E722" t="s">
        <v>1235</v>
      </c>
      <c r="F722" s="1">
        <v>46284.6875</v>
      </c>
      <c r="G722" s="1">
        <v>46284.691666666673</v>
      </c>
      <c r="H722">
        <v>6</v>
      </c>
      <c r="I722">
        <v>6</v>
      </c>
      <c r="J722" t="b">
        <v>0</v>
      </c>
      <c r="K722" t="b">
        <v>0</v>
      </c>
      <c r="L722" t="b">
        <v>0</v>
      </c>
      <c r="M722">
        <v>20</v>
      </c>
      <c r="N722" t="s">
        <v>1168</v>
      </c>
      <c r="O722" s="1">
        <v>46284.599305555559</v>
      </c>
      <c r="P722" t="b">
        <v>0</v>
      </c>
      <c r="Q722" t="s">
        <v>1151</v>
      </c>
      <c r="R722" t="s">
        <v>1131</v>
      </c>
      <c r="S722" t="s">
        <v>1152</v>
      </c>
      <c r="T722" t="s">
        <v>1145</v>
      </c>
      <c r="U722" t="s">
        <v>1145</v>
      </c>
      <c r="V722" t="s">
        <v>1284</v>
      </c>
      <c r="W722" t="s">
        <v>1257</v>
      </c>
      <c r="X722">
        <v>14</v>
      </c>
      <c r="Y722" t="s">
        <v>1173</v>
      </c>
      <c r="Z722" t="s">
        <v>1127</v>
      </c>
      <c r="AA722">
        <v>1</v>
      </c>
    </row>
    <row r="723" spans="1:27" x14ac:dyDescent="0.3">
      <c r="A723" t="s">
        <v>503</v>
      </c>
      <c r="B723" t="s">
        <v>1275</v>
      </c>
      <c r="C723" t="s">
        <v>1080</v>
      </c>
      <c r="D723" t="s">
        <v>1280</v>
      </c>
      <c r="E723" t="s">
        <v>1244</v>
      </c>
      <c r="F723" s="1">
        <v>46287.454861111109</v>
      </c>
      <c r="G723" s="1">
        <v>46287.459027777782</v>
      </c>
      <c r="H723">
        <v>4</v>
      </c>
      <c r="I723">
        <v>6</v>
      </c>
      <c r="J723" t="b">
        <v>0</v>
      </c>
      <c r="K723" t="b">
        <v>0</v>
      </c>
      <c r="L723" t="b">
        <v>0</v>
      </c>
      <c r="M723">
        <v>20</v>
      </c>
      <c r="N723" t="s">
        <v>1118</v>
      </c>
      <c r="O723" s="1">
        <v>46287.399305555547</v>
      </c>
      <c r="P723" t="b">
        <v>0</v>
      </c>
      <c r="Q723" t="s">
        <v>1119</v>
      </c>
      <c r="R723" t="s">
        <v>1120</v>
      </c>
      <c r="S723" t="s">
        <v>1121</v>
      </c>
      <c r="T723" t="s">
        <v>1122</v>
      </c>
      <c r="U723" t="s">
        <v>1247</v>
      </c>
      <c r="V723" t="s">
        <v>1151</v>
      </c>
      <c r="W723" t="s">
        <v>1257</v>
      </c>
      <c r="X723">
        <v>9</v>
      </c>
      <c r="Y723" t="s">
        <v>1126</v>
      </c>
      <c r="Z723" t="s">
        <v>1127</v>
      </c>
      <c r="AA723">
        <v>1.5</v>
      </c>
    </row>
    <row r="724" spans="1:27" x14ac:dyDescent="0.3">
      <c r="A724" t="s">
        <v>502</v>
      </c>
      <c r="B724" t="s">
        <v>1275</v>
      </c>
      <c r="C724" t="s">
        <v>1079</v>
      </c>
      <c r="D724" t="s">
        <v>1339</v>
      </c>
      <c r="E724" t="s">
        <v>1207</v>
      </c>
      <c r="F724" s="1">
        <v>46287.404166666667</v>
      </c>
      <c r="G724" s="1">
        <v>46287.408333333333</v>
      </c>
      <c r="H724">
        <v>1</v>
      </c>
      <c r="I724">
        <v>6</v>
      </c>
      <c r="J724" t="b">
        <v>0</v>
      </c>
      <c r="K724" t="b">
        <v>0</v>
      </c>
      <c r="L724" t="b">
        <v>0</v>
      </c>
      <c r="M724">
        <v>20</v>
      </c>
      <c r="N724" t="s">
        <v>1118</v>
      </c>
      <c r="O724" s="1">
        <v>46287.399305555547</v>
      </c>
      <c r="P724" t="b">
        <v>0</v>
      </c>
      <c r="Q724" t="s">
        <v>1179</v>
      </c>
      <c r="R724" t="s">
        <v>1131</v>
      </c>
      <c r="S724" t="s">
        <v>1157</v>
      </c>
      <c r="T724" t="s">
        <v>1145</v>
      </c>
      <c r="U724" t="s">
        <v>1123</v>
      </c>
      <c r="V724" t="s">
        <v>1284</v>
      </c>
      <c r="W724" t="s">
        <v>1257</v>
      </c>
      <c r="X724">
        <v>9</v>
      </c>
      <c r="Y724" t="s">
        <v>1126</v>
      </c>
      <c r="Z724" t="s">
        <v>1127</v>
      </c>
      <c r="AA724">
        <v>6</v>
      </c>
    </row>
    <row r="725" spans="1:27" x14ac:dyDescent="0.3">
      <c r="A725" t="s">
        <v>935</v>
      </c>
      <c r="B725" t="s">
        <v>1162</v>
      </c>
      <c r="C725" t="s">
        <v>1068</v>
      </c>
      <c r="D725" t="s">
        <v>1280</v>
      </c>
      <c r="E725" t="s">
        <v>1321</v>
      </c>
      <c r="F725" s="1">
        <v>46267.939583333333</v>
      </c>
      <c r="G725" s="1">
        <v>46267.943749999999</v>
      </c>
      <c r="H725">
        <v>2</v>
      </c>
      <c r="I725">
        <v>6</v>
      </c>
      <c r="J725" t="b">
        <v>0</v>
      </c>
      <c r="K725" t="b">
        <v>0</v>
      </c>
      <c r="L725" t="b">
        <v>0</v>
      </c>
      <c r="M725">
        <v>15</v>
      </c>
      <c r="N725" t="s">
        <v>1130</v>
      </c>
      <c r="O725" s="1">
        <v>46267.895833333343</v>
      </c>
      <c r="P725" t="b">
        <v>0</v>
      </c>
      <c r="Q725" t="s">
        <v>1179</v>
      </c>
      <c r="R725" t="s">
        <v>1139</v>
      </c>
      <c r="S725" t="s">
        <v>1157</v>
      </c>
      <c r="T725" t="s">
        <v>1122</v>
      </c>
      <c r="U725" t="s">
        <v>1123</v>
      </c>
      <c r="V725" t="s">
        <v>1151</v>
      </c>
      <c r="W725" t="s">
        <v>1257</v>
      </c>
      <c r="X725">
        <v>21</v>
      </c>
      <c r="Y725" t="s">
        <v>1161</v>
      </c>
      <c r="Z725" t="s">
        <v>1127</v>
      </c>
      <c r="AA725">
        <v>3</v>
      </c>
    </row>
    <row r="726" spans="1:27" x14ac:dyDescent="0.3">
      <c r="A726" t="s">
        <v>929</v>
      </c>
      <c r="B726" t="s">
        <v>1417</v>
      </c>
      <c r="C726" t="s">
        <v>1066</v>
      </c>
      <c r="D726" t="s">
        <v>1283</v>
      </c>
      <c r="E726" t="s">
        <v>1184</v>
      </c>
      <c r="F726" s="1">
        <v>46290.008333333331</v>
      </c>
      <c r="G726" s="1">
        <v>46290.012499999997</v>
      </c>
      <c r="H726">
        <v>7</v>
      </c>
      <c r="I726">
        <v>6</v>
      </c>
      <c r="J726" t="b">
        <v>0</v>
      </c>
      <c r="K726" t="b">
        <v>0</v>
      </c>
      <c r="L726" t="b">
        <v>0</v>
      </c>
      <c r="M726">
        <v>20</v>
      </c>
      <c r="N726" t="s">
        <v>1118</v>
      </c>
      <c r="O726" s="1">
        <v>46289.963888888888</v>
      </c>
      <c r="P726" t="b">
        <v>0</v>
      </c>
      <c r="Q726" t="s">
        <v>1156</v>
      </c>
      <c r="R726" t="s">
        <v>1131</v>
      </c>
      <c r="S726" t="s">
        <v>1132</v>
      </c>
      <c r="T726" t="s">
        <v>1122</v>
      </c>
      <c r="U726" t="s">
        <v>1247</v>
      </c>
      <c r="V726" t="s">
        <v>1284</v>
      </c>
      <c r="W726" t="s">
        <v>1131</v>
      </c>
      <c r="X726">
        <v>23</v>
      </c>
      <c r="Y726" t="s">
        <v>1146</v>
      </c>
      <c r="Z726" t="s">
        <v>1127</v>
      </c>
      <c r="AA726">
        <v>0.8571428571428571</v>
      </c>
    </row>
    <row r="727" spans="1:27" x14ac:dyDescent="0.3">
      <c r="A727" t="s">
        <v>137</v>
      </c>
      <c r="B727" t="s">
        <v>1239</v>
      </c>
      <c r="C727" t="s">
        <v>1081</v>
      </c>
      <c r="D727" t="s">
        <v>1238</v>
      </c>
      <c r="E727" t="s">
        <v>1256</v>
      </c>
      <c r="F727" s="1">
        <v>46292.868055555547</v>
      </c>
      <c r="G727" s="1">
        <v>46292.87222222222</v>
      </c>
      <c r="H727">
        <v>4</v>
      </c>
      <c r="I727">
        <v>6</v>
      </c>
      <c r="J727" t="b">
        <v>0</v>
      </c>
      <c r="K727" t="b">
        <v>0</v>
      </c>
      <c r="L727" t="b">
        <v>0</v>
      </c>
      <c r="M727">
        <v>12</v>
      </c>
      <c r="N727" t="s">
        <v>1130</v>
      </c>
      <c r="O727" s="1">
        <v>46292.831250000003</v>
      </c>
      <c r="P727" t="b">
        <v>0</v>
      </c>
      <c r="Q727" t="s">
        <v>1145</v>
      </c>
      <c r="R727" t="s">
        <v>1139</v>
      </c>
      <c r="S727" t="s">
        <v>1157</v>
      </c>
      <c r="T727" t="s">
        <v>1180</v>
      </c>
      <c r="U727" t="s">
        <v>1247</v>
      </c>
      <c r="V727" t="s">
        <v>1151</v>
      </c>
      <c r="W727" t="s">
        <v>1131</v>
      </c>
      <c r="X727">
        <v>19</v>
      </c>
      <c r="Y727" t="s">
        <v>1133</v>
      </c>
      <c r="Z727" t="s">
        <v>1127</v>
      </c>
      <c r="AA727">
        <v>1.5</v>
      </c>
    </row>
    <row r="728" spans="1:27" x14ac:dyDescent="0.3">
      <c r="A728" t="s">
        <v>130</v>
      </c>
      <c r="B728" t="s">
        <v>1480</v>
      </c>
      <c r="C728" t="s">
        <v>1080</v>
      </c>
      <c r="D728" t="s">
        <v>1283</v>
      </c>
      <c r="E728" t="s">
        <v>1453</v>
      </c>
      <c r="F728" s="1">
        <v>46282.020138888889</v>
      </c>
      <c r="G728" s="1">
        <v>46282.024305555547</v>
      </c>
      <c r="H728">
        <v>2</v>
      </c>
      <c r="I728">
        <v>6</v>
      </c>
      <c r="J728" t="b">
        <v>0</v>
      </c>
      <c r="K728" t="b">
        <v>0</v>
      </c>
      <c r="L728" t="b">
        <v>0</v>
      </c>
      <c r="M728">
        <v>2</v>
      </c>
      <c r="N728" t="s">
        <v>1155</v>
      </c>
      <c r="O728" s="1">
        <v>46281.956944444442</v>
      </c>
      <c r="P728" t="b">
        <v>0</v>
      </c>
      <c r="Q728" t="s">
        <v>1156</v>
      </c>
      <c r="R728" t="s">
        <v>1131</v>
      </c>
      <c r="S728" t="s">
        <v>1121</v>
      </c>
      <c r="T728" t="s">
        <v>1122</v>
      </c>
      <c r="U728" t="s">
        <v>1247</v>
      </c>
      <c r="V728" t="s">
        <v>1284</v>
      </c>
      <c r="W728" t="s">
        <v>1131</v>
      </c>
      <c r="X728">
        <v>22</v>
      </c>
      <c r="Y728" t="s">
        <v>1161</v>
      </c>
      <c r="Z728" t="s">
        <v>1147</v>
      </c>
      <c r="AA728">
        <v>3</v>
      </c>
    </row>
    <row r="729" spans="1:27" x14ac:dyDescent="0.3">
      <c r="A729" t="s">
        <v>753</v>
      </c>
      <c r="B729" t="s">
        <v>1373</v>
      </c>
      <c r="C729" t="s">
        <v>1064</v>
      </c>
      <c r="D729" t="s">
        <v>1255</v>
      </c>
      <c r="E729" t="s">
        <v>1249</v>
      </c>
      <c r="F729" s="1">
        <v>46285.433333333327</v>
      </c>
      <c r="G729" s="1">
        <v>46285.4375</v>
      </c>
      <c r="H729">
        <v>3</v>
      </c>
      <c r="I729">
        <v>6</v>
      </c>
      <c r="J729" t="b">
        <v>0</v>
      </c>
      <c r="K729" t="b">
        <v>0</v>
      </c>
      <c r="L729" t="b">
        <v>0</v>
      </c>
      <c r="M729">
        <v>8</v>
      </c>
      <c r="N729" t="s">
        <v>1118</v>
      </c>
      <c r="O729" s="1">
        <v>46285.378472222219</v>
      </c>
      <c r="P729" t="b">
        <v>0</v>
      </c>
      <c r="Q729" t="s">
        <v>1169</v>
      </c>
      <c r="R729" t="s">
        <v>1131</v>
      </c>
      <c r="S729" t="s">
        <v>1157</v>
      </c>
      <c r="T729" t="s">
        <v>1122</v>
      </c>
      <c r="U729" t="s">
        <v>1123</v>
      </c>
      <c r="V729" t="s">
        <v>1141</v>
      </c>
      <c r="W729" t="s">
        <v>1257</v>
      </c>
      <c r="X729">
        <v>9</v>
      </c>
      <c r="Y729" t="s">
        <v>1133</v>
      </c>
      <c r="Z729" t="s">
        <v>1134</v>
      </c>
      <c r="AA729">
        <v>2</v>
      </c>
    </row>
    <row r="730" spans="1:27" x14ac:dyDescent="0.3">
      <c r="A730" t="s">
        <v>670</v>
      </c>
      <c r="B730" t="s">
        <v>1242</v>
      </c>
      <c r="C730" t="s">
        <v>1085</v>
      </c>
      <c r="D730" t="s">
        <v>1339</v>
      </c>
      <c r="E730" t="s">
        <v>1453</v>
      </c>
      <c r="F730" s="1">
        <v>46273.087500000001</v>
      </c>
      <c r="G730" s="1">
        <v>46273.091666666667</v>
      </c>
      <c r="H730">
        <v>7</v>
      </c>
      <c r="I730">
        <v>6</v>
      </c>
      <c r="J730" t="b">
        <v>0</v>
      </c>
      <c r="K730" t="b">
        <v>0</v>
      </c>
      <c r="L730" t="b">
        <v>0</v>
      </c>
      <c r="M730">
        <v>10</v>
      </c>
      <c r="N730" t="s">
        <v>1168</v>
      </c>
      <c r="O730" s="1">
        <v>46273.044444444437</v>
      </c>
      <c r="P730" t="b">
        <v>0</v>
      </c>
      <c r="Q730" t="s">
        <v>1156</v>
      </c>
      <c r="R730" t="s">
        <v>1131</v>
      </c>
      <c r="S730" t="s">
        <v>1121</v>
      </c>
      <c r="T730" t="s">
        <v>1122</v>
      </c>
      <c r="U730" t="s">
        <v>1247</v>
      </c>
      <c r="V730" t="s">
        <v>1284</v>
      </c>
      <c r="W730" t="s">
        <v>1257</v>
      </c>
      <c r="X730">
        <v>1</v>
      </c>
      <c r="Y730" t="s">
        <v>1126</v>
      </c>
      <c r="Z730" t="s">
        <v>1134</v>
      </c>
      <c r="AA730">
        <v>0.8571428571428571</v>
      </c>
    </row>
    <row r="731" spans="1:27" x14ac:dyDescent="0.3">
      <c r="A731" t="s">
        <v>662</v>
      </c>
      <c r="B731" t="s">
        <v>1353</v>
      </c>
      <c r="C731" t="s">
        <v>1060</v>
      </c>
      <c r="D731" t="s">
        <v>1255</v>
      </c>
      <c r="E731" t="s">
        <v>1274</v>
      </c>
      <c r="F731" s="1">
        <v>46291.411805555559</v>
      </c>
      <c r="G731" s="1">
        <v>46291.415972222218</v>
      </c>
      <c r="H731">
        <v>2</v>
      </c>
      <c r="I731">
        <v>6</v>
      </c>
      <c r="J731" t="b">
        <v>0</v>
      </c>
      <c r="K731" t="b">
        <v>0</v>
      </c>
      <c r="L731" t="b">
        <v>0</v>
      </c>
      <c r="M731">
        <v>8</v>
      </c>
      <c r="N731" t="s">
        <v>1118</v>
      </c>
      <c r="O731" s="1">
        <v>46291.306944444441</v>
      </c>
      <c r="P731" t="b">
        <v>0</v>
      </c>
      <c r="Q731" t="s">
        <v>1138</v>
      </c>
      <c r="R731" t="s">
        <v>1120</v>
      </c>
      <c r="S731" t="s">
        <v>1157</v>
      </c>
      <c r="T731" t="s">
        <v>1140</v>
      </c>
      <c r="U731" t="s">
        <v>1145</v>
      </c>
      <c r="V731" t="s">
        <v>1141</v>
      </c>
      <c r="W731" t="s">
        <v>1257</v>
      </c>
      <c r="X731">
        <v>7</v>
      </c>
      <c r="Y731" t="s">
        <v>1173</v>
      </c>
      <c r="Z731" t="s">
        <v>1134</v>
      </c>
      <c r="AA731">
        <v>3</v>
      </c>
    </row>
    <row r="732" spans="1:27" x14ac:dyDescent="0.3">
      <c r="A732" t="s">
        <v>661</v>
      </c>
      <c r="B732" t="s">
        <v>1353</v>
      </c>
      <c r="C732" t="s">
        <v>1061</v>
      </c>
      <c r="D732" t="s">
        <v>1339</v>
      </c>
      <c r="E732" t="s">
        <v>1256</v>
      </c>
      <c r="F732" s="1">
        <v>46291.419444444437</v>
      </c>
      <c r="G732" s="1">
        <v>46291.423611111109</v>
      </c>
      <c r="H732">
        <v>2</v>
      </c>
      <c r="I732">
        <v>6</v>
      </c>
      <c r="J732" t="b">
        <v>0</v>
      </c>
      <c r="K732" t="b">
        <v>0</v>
      </c>
      <c r="L732" t="b">
        <v>0</v>
      </c>
      <c r="M732">
        <v>8</v>
      </c>
      <c r="N732" t="s">
        <v>1118</v>
      </c>
      <c r="O732" s="1">
        <v>46291.306944444441</v>
      </c>
      <c r="P732" t="b">
        <v>0</v>
      </c>
      <c r="Q732" t="s">
        <v>1145</v>
      </c>
      <c r="R732" t="s">
        <v>1139</v>
      </c>
      <c r="S732" t="s">
        <v>1157</v>
      </c>
      <c r="T732" t="s">
        <v>1145</v>
      </c>
      <c r="U732" t="s">
        <v>1172</v>
      </c>
      <c r="V732" t="s">
        <v>1284</v>
      </c>
      <c r="W732" t="s">
        <v>1257</v>
      </c>
      <c r="X732">
        <v>7</v>
      </c>
      <c r="Y732" t="s">
        <v>1173</v>
      </c>
      <c r="Z732" t="s">
        <v>1134</v>
      </c>
      <c r="AA732">
        <v>3</v>
      </c>
    </row>
    <row r="733" spans="1:27" x14ac:dyDescent="0.3">
      <c r="A733" t="s">
        <v>928</v>
      </c>
      <c r="B733" t="s">
        <v>1417</v>
      </c>
      <c r="C733" t="s">
        <v>1078</v>
      </c>
      <c r="D733" t="s">
        <v>1238</v>
      </c>
      <c r="E733" t="s">
        <v>1235</v>
      </c>
      <c r="F733" s="1">
        <v>46290.040277777778</v>
      </c>
      <c r="G733" s="1">
        <v>46290.044444444437</v>
      </c>
      <c r="H733">
        <v>1</v>
      </c>
      <c r="I733">
        <v>6</v>
      </c>
      <c r="J733" t="b">
        <v>0</v>
      </c>
      <c r="K733" t="b">
        <v>0</v>
      </c>
      <c r="L733" t="b">
        <v>0</v>
      </c>
      <c r="M733">
        <v>20</v>
      </c>
      <c r="N733" t="s">
        <v>1118</v>
      </c>
      <c r="O733" s="1">
        <v>46289.963888888888</v>
      </c>
      <c r="P733" t="b">
        <v>0</v>
      </c>
      <c r="Q733" t="s">
        <v>1151</v>
      </c>
      <c r="R733" t="s">
        <v>1131</v>
      </c>
      <c r="S733" t="s">
        <v>1152</v>
      </c>
      <c r="T733" t="s">
        <v>1145</v>
      </c>
      <c r="U733" t="s">
        <v>1172</v>
      </c>
      <c r="V733" t="s">
        <v>1151</v>
      </c>
      <c r="W733" t="s">
        <v>1131</v>
      </c>
      <c r="X733">
        <v>23</v>
      </c>
      <c r="Y733" t="s">
        <v>1146</v>
      </c>
      <c r="Z733" t="s">
        <v>1127</v>
      </c>
      <c r="AA733">
        <v>6</v>
      </c>
    </row>
    <row r="734" spans="1:27" x14ac:dyDescent="0.3">
      <c r="A734" t="s">
        <v>911</v>
      </c>
      <c r="B734" t="s">
        <v>1413</v>
      </c>
      <c r="C734" t="s">
        <v>1073</v>
      </c>
      <c r="D734" t="s">
        <v>1280</v>
      </c>
      <c r="E734" t="s">
        <v>1144</v>
      </c>
      <c r="F734" s="1">
        <v>46275.686805555553</v>
      </c>
      <c r="G734" s="1">
        <v>46275.690972222219</v>
      </c>
      <c r="H734">
        <v>3</v>
      </c>
      <c r="I734">
        <v>6</v>
      </c>
      <c r="J734" t="b">
        <v>0</v>
      </c>
      <c r="K734" t="b">
        <v>0</v>
      </c>
      <c r="L734" t="b">
        <v>0</v>
      </c>
      <c r="M734">
        <v>6</v>
      </c>
      <c r="N734" t="s">
        <v>1118</v>
      </c>
      <c r="O734" s="1">
        <v>46275.626388888893</v>
      </c>
      <c r="P734" t="b">
        <v>0</v>
      </c>
      <c r="Q734" t="s">
        <v>1138</v>
      </c>
      <c r="R734" t="s">
        <v>1120</v>
      </c>
      <c r="S734" t="s">
        <v>1145</v>
      </c>
      <c r="T734" t="s">
        <v>1122</v>
      </c>
      <c r="U734" t="s">
        <v>1247</v>
      </c>
      <c r="V734" t="s">
        <v>1151</v>
      </c>
      <c r="W734" t="s">
        <v>1257</v>
      </c>
      <c r="X734">
        <v>15</v>
      </c>
      <c r="Y734" t="s">
        <v>1146</v>
      </c>
      <c r="Z734" t="s">
        <v>1134</v>
      </c>
      <c r="AA734">
        <v>2</v>
      </c>
    </row>
    <row r="735" spans="1:27" x14ac:dyDescent="0.3">
      <c r="A735" t="s">
        <v>908</v>
      </c>
      <c r="B735" t="s">
        <v>1269</v>
      </c>
      <c r="C735" t="s">
        <v>1058</v>
      </c>
      <c r="D735" t="s">
        <v>1339</v>
      </c>
      <c r="E735" t="s">
        <v>1265</v>
      </c>
      <c r="F735" s="1">
        <v>46284.029166666667</v>
      </c>
      <c r="G735" s="1">
        <v>46284.033333333333</v>
      </c>
      <c r="H735">
        <v>3</v>
      </c>
      <c r="I735">
        <v>6</v>
      </c>
      <c r="J735" t="b">
        <v>0</v>
      </c>
      <c r="K735" t="b">
        <v>0</v>
      </c>
      <c r="L735" t="b">
        <v>0</v>
      </c>
      <c r="M735">
        <v>8</v>
      </c>
      <c r="N735" t="s">
        <v>1118</v>
      </c>
      <c r="O735" s="1">
        <v>46283.953472222223</v>
      </c>
      <c r="P735" t="b">
        <v>0</v>
      </c>
      <c r="Q735" t="s">
        <v>1179</v>
      </c>
      <c r="R735" t="s">
        <v>1139</v>
      </c>
      <c r="S735" t="s">
        <v>1157</v>
      </c>
      <c r="T735" t="s">
        <v>1122</v>
      </c>
      <c r="U735" t="s">
        <v>1145</v>
      </c>
      <c r="V735" t="s">
        <v>1284</v>
      </c>
      <c r="W735" t="s">
        <v>1257</v>
      </c>
      <c r="X735">
        <v>22</v>
      </c>
      <c r="Y735" t="s">
        <v>1142</v>
      </c>
      <c r="Z735" t="s">
        <v>1134</v>
      </c>
      <c r="AA735">
        <v>2</v>
      </c>
    </row>
    <row r="736" spans="1:27" x14ac:dyDescent="0.3">
      <c r="A736" t="s">
        <v>394</v>
      </c>
      <c r="B736" t="s">
        <v>1285</v>
      </c>
      <c r="C736" t="s">
        <v>1064</v>
      </c>
      <c r="D736" t="s">
        <v>1339</v>
      </c>
      <c r="E736" t="s">
        <v>1154</v>
      </c>
      <c r="F736" s="1">
        <v>46282.606944444437</v>
      </c>
      <c r="G736" s="1">
        <v>46282.611111111109</v>
      </c>
      <c r="H736">
        <v>4</v>
      </c>
      <c r="I736">
        <v>6</v>
      </c>
      <c r="J736" t="b">
        <v>0</v>
      </c>
      <c r="K736" t="b">
        <v>0</v>
      </c>
      <c r="L736" t="b">
        <v>0</v>
      </c>
      <c r="M736">
        <v>20</v>
      </c>
      <c r="N736" t="s">
        <v>1130</v>
      </c>
      <c r="O736" s="1">
        <v>46282.532638888893</v>
      </c>
      <c r="P736" t="b">
        <v>0</v>
      </c>
      <c r="Q736" t="s">
        <v>1156</v>
      </c>
      <c r="R736" t="s">
        <v>1131</v>
      </c>
      <c r="S736" t="s">
        <v>1157</v>
      </c>
      <c r="T736" t="s">
        <v>1122</v>
      </c>
      <c r="U736" t="s">
        <v>1123</v>
      </c>
      <c r="V736" t="s">
        <v>1284</v>
      </c>
      <c r="W736" t="s">
        <v>1257</v>
      </c>
      <c r="X736">
        <v>12</v>
      </c>
      <c r="Y736" t="s">
        <v>1146</v>
      </c>
      <c r="Z736" t="s">
        <v>1127</v>
      </c>
      <c r="AA736">
        <v>1.5</v>
      </c>
    </row>
    <row r="737" spans="1:27" x14ac:dyDescent="0.3">
      <c r="A737" t="s">
        <v>387</v>
      </c>
      <c r="B737" t="s">
        <v>1285</v>
      </c>
      <c r="C737" t="s">
        <v>1067</v>
      </c>
      <c r="D737" t="s">
        <v>1136</v>
      </c>
      <c r="E737" t="s">
        <v>1244</v>
      </c>
      <c r="F737" s="1">
        <v>46282.630555555559</v>
      </c>
      <c r="G737" s="1">
        <v>46282.634722222218</v>
      </c>
      <c r="H737">
        <v>1</v>
      </c>
      <c r="I737">
        <v>6</v>
      </c>
      <c r="J737" t="b">
        <v>0</v>
      </c>
      <c r="K737" t="b">
        <v>0</v>
      </c>
      <c r="L737" t="b">
        <v>0</v>
      </c>
      <c r="M737">
        <v>20</v>
      </c>
      <c r="N737" t="s">
        <v>1130</v>
      </c>
      <c r="O737" s="1">
        <v>46282.532638888893</v>
      </c>
      <c r="P737" t="b">
        <v>0</v>
      </c>
      <c r="Q737" t="s">
        <v>1119</v>
      </c>
      <c r="R737" t="s">
        <v>1120</v>
      </c>
      <c r="S737" t="s">
        <v>1121</v>
      </c>
      <c r="T737" t="s">
        <v>1180</v>
      </c>
      <c r="U737" t="s">
        <v>1247</v>
      </c>
      <c r="V737" t="s">
        <v>1141</v>
      </c>
      <c r="W737" t="s">
        <v>1125</v>
      </c>
      <c r="X737">
        <v>12</v>
      </c>
      <c r="Y737" t="s">
        <v>1146</v>
      </c>
      <c r="Z737" t="s">
        <v>1127</v>
      </c>
      <c r="AA737">
        <v>6</v>
      </c>
    </row>
    <row r="738" spans="1:27" x14ac:dyDescent="0.3">
      <c r="A738" t="s">
        <v>384</v>
      </c>
      <c r="B738" t="s">
        <v>1459</v>
      </c>
      <c r="C738" t="s">
        <v>1084</v>
      </c>
      <c r="D738" t="s">
        <v>1238</v>
      </c>
      <c r="E738" t="s">
        <v>1317</v>
      </c>
      <c r="F738" s="1">
        <v>46287.61041666667</v>
      </c>
      <c r="G738" s="1">
        <v>46287.614583333343</v>
      </c>
      <c r="H738">
        <v>6</v>
      </c>
      <c r="I738">
        <v>6</v>
      </c>
      <c r="J738" t="b">
        <v>0</v>
      </c>
      <c r="K738" t="b">
        <v>0</v>
      </c>
      <c r="L738" t="b">
        <v>0</v>
      </c>
      <c r="M738">
        <v>5</v>
      </c>
      <c r="N738" t="s">
        <v>1118</v>
      </c>
      <c r="O738" s="1">
        <v>46287.510416666657</v>
      </c>
      <c r="P738" t="b">
        <v>0</v>
      </c>
      <c r="Q738" t="s">
        <v>1156</v>
      </c>
      <c r="R738" t="s">
        <v>1120</v>
      </c>
      <c r="S738" t="s">
        <v>1152</v>
      </c>
      <c r="T738" t="s">
        <v>1122</v>
      </c>
      <c r="U738" t="s">
        <v>1247</v>
      </c>
      <c r="V738" t="s">
        <v>1151</v>
      </c>
      <c r="W738" t="s">
        <v>1131</v>
      </c>
      <c r="X738">
        <v>12</v>
      </c>
      <c r="Y738" t="s">
        <v>1126</v>
      </c>
      <c r="Z738" t="s">
        <v>1147</v>
      </c>
      <c r="AA738">
        <v>1</v>
      </c>
    </row>
    <row r="739" spans="1:27" x14ac:dyDescent="0.3">
      <c r="A739" t="s">
        <v>142</v>
      </c>
      <c r="B739" t="s">
        <v>1319</v>
      </c>
      <c r="C739" t="s">
        <v>1067</v>
      </c>
      <c r="D739" t="s">
        <v>1238</v>
      </c>
      <c r="E739" t="s">
        <v>1212</v>
      </c>
      <c r="F739" s="1">
        <v>46276.275000000001</v>
      </c>
      <c r="G739" s="1">
        <v>46276.279166666667</v>
      </c>
      <c r="H739">
        <v>5</v>
      </c>
      <c r="I739">
        <v>6</v>
      </c>
      <c r="J739" t="b">
        <v>0</v>
      </c>
      <c r="K739" t="b">
        <v>0</v>
      </c>
      <c r="L739" t="b">
        <v>0</v>
      </c>
      <c r="M739">
        <v>15</v>
      </c>
      <c r="N739" t="s">
        <v>1130</v>
      </c>
      <c r="O739" s="1">
        <v>46276.186111111107</v>
      </c>
      <c r="P739" t="b">
        <v>0</v>
      </c>
      <c r="Q739" t="s">
        <v>1145</v>
      </c>
      <c r="R739" t="s">
        <v>1139</v>
      </c>
      <c r="S739" t="s">
        <v>1157</v>
      </c>
      <c r="T739" t="s">
        <v>1180</v>
      </c>
      <c r="U739" t="s">
        <v>1247</v>
      </c>
      <c r="V739" t="s">
        <v>1151</v>
      </c>
      <c r="W739" t="s">
        <v>1131</v>
      </c>
      <c r="X739">
        <v>4</v>
      </c>
      <c r="Y739" t="s">
        <v>1142</v>
      </c>
      <c r="Z739" t="s">
        <v>1127</v>
      </c>
      <c r="AA739">
        <v>1.2</v>
      </c>
    </row>
    <row r="740" spans="1:27" x14ac:dyDescent="0.3">
      <c r="A740" t="s">
        <v>152</v>
      </c>
      <c r="B740" t="s">
        <v>1286</v>
      </c>
      <c r="C740" t="s">
        <v>1071</v>
      </c>
      <c r="D740" t="s">
        <v>1255</v>
      </c>
      <c r="E740" t="s">
        <v>1196</v>
      </c>
      <c r="F740" s="1">
        <v>46290.375694444447</v>
      </c>
      <c r="G740" s="1">
        <v>46290.379861111112</v>
      </c>
      <c r="H740">
        <v>2</v>
      </c>
      <c r="I740">
        <v>6</v>
      </c>
      <c r="J740" t="b">
        <v>0</v>
      </c>
      <c r="K740" t="b">
        <v>0</v>
      </c>
      <c r="L740" t="b">
        <v>0</v>
      </c>
      <c r="M740">
        <v>15</v>
      </c>
      <c r="N740" t="s">
        <v>1118</v>
      </c>
      <c r="O740" s="1">
        <v>46290.302777777782</v>
      </c>
      <c r="P740" t="b">
        <v>0</v>
      </c>
      <c r="Q740" t="s">
        <v>1138</v>
      </c>
      <c r="R740" t="s">
        <v>1120</v>
      </c>
      <c r="S740" t="s">
        <v>1121</v>
      </c>
      <c r="T740" t="s">
        <v>1122</v>
      </c>
      <c r="U740" t="s">
        <v>1145</v>
      </c>
      <c r="V740" t="s">
        <v>1141</v>
      </c>
      <c r="W740" t="s">
        <v>1257</v>
      </c>
      <c r="X740">
        <v>7</v>
      </c>
      <c r="Y740" t="s">
        <v>1142</v>
      </c>
      <c r="Z740" t="s">
        <v>1127</v>
      </c>
      <c r="AA740">
        <v>3</v>
      </c>
    </row>
    <row r="741" spans="1:27" x14ac:dyDescent="0.3">
      <c r="A741" t="s">
        <v>897</v>
      </c>
      <c r="B741" t="s">
        <v>1281</v>
      </c>
      <c r="C741" t="s">
        <v>1057</v>
      </c>
      <c r="D741" t="s">
        <v>1136</v>
      </c>
      <c r="E741" t="s">
        <v>1233</v>
      </c>
      <c r="F741" s="1">
        <v>46292.022916666669</v>
      </c>
      <c r="G741" s="1">
        <v>46292.027083333327</v>
      </c>
      <c r="H741">
        <v>1</v>
      </c>
      <c r="I741">
        <v>6</v>
      </c>
      <c r="J741" t="b">
        <v>0</v>
      </c>
      <c r="K741" t="b">
        <v>0</v>
      </c>
      <c r="L741" t="b">
        <v>0</v>
      </c>
      <c r="M741">
        <v>12</v>
      </c>
      <c r="N741" t="s">
        <v>1130</v>
      </c>
      <c r="O741" s="1">
        <v>46291.904861111107</v>
      </c>
      <c r="P741" t="b">
        <v>0</v>
      </c>
      <c r="Q741" t="s">
        <v>1179</v>
      </c>
      <c r="R741" t="s">
        <v>1120</v>
      </c>
      <c r="S741" t="s">
        <v>1132</v>
      </c>
      <c r="T741" t="s">
        <v>1122</v>
      </c>
      <c r="U741" t="s">
        <v>1172</v>
      </c>
      <c r="V741" t="s">
        <v>1141</v>
      </c>
      <c r="W741" t="s">
        <v>1125</v>
      </c>
      <c r="X741">
        <v>21</v>
      </c>
      <c r="Y741" t="s">
        <v>1173</v>
      </c>
      <c r="Z741" t="s">
        <v>1127</v>
      </c>
      <c r="AA741">
        <v>6</v>
      </c>
    </row>
    <row r="742" spans="1:27" x14ac:dyDescent="0.3">
      <c r="A742" t="s">
        <v>769</v>
      </c>
      <c r="B742" t="s">
        <v>1376</v>
      </c>
      <c r="C742" t="s">
        <v>1078</v>
      </c>
      <c r="D742" t="s">
        <v>1283</v>
      </c>
      <c r="E742" t="s">
        <v>1228</v>
      </c>
      <c r="F742" s="1">
        <v>46278.23333333333</v>
      </c>
      <c r="G742" s="1">
        <v>46278.237500000003</v>
      </c>
      <c r="H742">
        <v>5</v>
      </c>
      <c r="I742">
        <v>6</v>
      </c>
      <c r="J742" t="b">
        <v>0</v>
      </c>
      <c r="K742" t="b">
        <v>0</v>
      </c>
      <c r="L742" t="b">
        <v>0</v>
      </c>
      <c r="M742">
        <v>10</v>
      </c>
      <c r="N742" t="s">
        <v>1130</v>
      </c>
      <c r="O742" s="1">
        <v>46278.228472222218</v>
      </c>
      <c r="P742" t="b">
        <v>0</v>
      </c>
      <c r="Q742" t="s">
        <v>1179</v>
      </c>
      <c r="R742" t="s">
        <v>1145</v>
      </c>
      <c r="S742" t="s">
        <v>1157</v>
      </c>
      <c r="T742" t="s">
        <v>1145</v>
      </c>
      <c r="U742" t="s">
        <v>1172</v>
      </c>
      <c r="V742" t="s">
        <v>1284</v>
      </c>
      <c r="W742" t="s">
        <v>1131</v>
      </c>
      <c r="X742">
        <v>5</v>
      </c>
      <c r="Y742" t="s">
        <v>1133</v>
      </c>
      <c r="Z742" t="s">
        <v>1134</v>
      </c>
      <c r="AA742">
        <v>1.2</v>
      </c>
    </row>
    <row r="743" spans="1:27" x14ac:dyDescent="0.3">
      <c r="A743" t="s">
        <v>765</v>
      </c>
      <c r="B743" t="s">
        <v>1375</v>
      </c>
      <c r="C743" t="s">
        <v>1080</v>
      </c>
      <c r="D743" t="s">
        <v>1238</v>
      </c>
      <c r="E743" t="s">
        <v>1332</v>
      </c>
      <c r="F743" s="1">
        <v>46267.230555555558</v>
      </c>
      <c r="G743" s="1">
        <v>46267.234722222223</v>
      </c>
      <c r="H743">
        <v>2</v>
      </c>
      <c r="I743">
        <v>6</v>
      </c>
      <c r="J743" t="b">
        <v>0</v>
      </c>
      <c r="K743" t="b">
        <v>0</v>
      </c>
      <c r="L743" t="b">
        <v>0</v>
      </c>
      <c r="M743">
        <v>8</v>
      </c>
      <c r="N743" t="s">
        <v>1130</v>
      </c>
      <c r="O743" s="1">
        <v>46267.217361111107</v>
      </c>
      <c r="P743" t="b">
        <v>0</v>
      </c>
      <c r="Q743" t="s">
        <v>1179</v>
      </c>
      <c r="R743" t="s">
        <v>1120</v>
      </c>
      <c r="S743" t="s">
        <v>1132</v>
      </c>
      <c r="T743" t="s">
        <v>1122</v>
      </c>
      <c r="U743" t="s">
        <v>1247</v>
      </c>
      <c r="V743" t="s">
        <v>1151</v>
      </c>
      <c r="W743" t="s">
        <v>1131</v>
      </c>
      <c r="X743">
        <v>5</v>
      </c>
      <c r="Y743" t="s">
        <v>1161</v>
      </c>
      <c r="Z743" t="s">
        <v>1134</v>
      </c>
      <c r="AA743">
        <v>3</v>
      </c>
    </row>
    <row r="744" spans="1:27" x14ac:dyDescent="0.3">
      <c r="A744" t="s">
        <v>762</v>
      </c>
      <c r="B744" t="s">
        <v>1375</v>
      </c>
      <c r="C744" t="s">
        <v>1058</v>
      </c>
      <c r="D744" t="s">
        <v>1280</v>
      </c>
      <c r="E744" t="s">
        <v>1261</v>
      </c>
      <c r="F744" s="1">
        <v>46267.255555555559</v>
      </c>
      <c r="G744" s="1">
        <v>46267.259722222218</v>
      </c>
      <c r="H744">
        <v>3</v>
      </c>
      <c r="I744">
        <v>6</v>
      </c>
      <c r="J744" t="b">
        <v>0</v>
      </c>
      <c r="K744" t="b">
        <v>0</v>
      </c>
      <c r="L744" t="b">
        <v>0</v>
      </c>
      <c r="M744">
        <v>8</v>
      </c>
      <c r="N744" t="s">
        <v>1130</v>
      </c>
      <c r="O744" s="1">
        <v>46267.217361111107</v>
      </c>
      <c r="P744" t="b">
        <v>0</v>
      </c>
      <c r="Q744" t="s">
        <v>1151</v>
      </c>
      <c r="R744" t="s">
        <v>1120</v>
      </c>
      <c r="S744" t="s">
        <v>1157</v>
      </c>
      <c r="T744" t="s">
        <v>1122</v>
      </c>
      <c r="U744" t="s">
        <v>1145</v>
      </c>
      <c r="V744" t="s">
        <v>1151</v>
      </c>
      <c r="W744" t="s">
        <v>1257</v>
      </c>
      <c r="X744">
        <v>5</v>
      </c>
      <c r="Y744" t="s">
        <v>1161</v>
      </c>
      <c r="Z744" t="s">
        <v>1134</v>
      </c>
      <c r="AA744">
        <v>2</v>
      </c>
    </row>
    <row r="745" spans="1:27" x14ac:dyDescent="0.3">
      <c r="A745" t="s">
        <v>757</v>
      </c>
      <c r="B745" t="s">
        <v>1345</v>
      </c>
      <c r="C745" t="s">
        <v>1076</v>
      </c>
      <c r="D745" t="s">
        <v>1339</v>
      </c>
      <c r="E745" t="s">
        <v>1221</v>
      </c>
      <c r="F745" s="1">
        <v>46267.76666666667</v>
      </c>
      <c r="G745" s="1">
        <v>46267.770833333343</v>
      </c>
      <c r="H745">
        <v>2</v>
      </c>
      <c r="I745">
        <v>6</v>
      </c>
      <c r="J745" t="b">
        <v>0</v>
      </c>
      <c r="K745" t="b">
        <v>0</v>
      </c>
      <c r="L745" t="b">
        <v>0</v>
      </c>
      <c r="M745">
        <v>10</v>
      </c>
      <c r="N745" t="s">
        <v>1155</v>
      </c>
      <c r="O745" s="1">
        <v>46267.725694444453</v>
      </c>
      <c r="P745" t="b">
        <v>0</v>
      </c>
      <c r="Q745" t="s">
        <v>1151</v>
      </c>
      <c r="R745" t="s">
        <v>1131</v>
      </c>
      <c r="S745" t="s">
        <v>1121</v>
      </c>
      <c r="T745" t="s">
        <v>1122</v>
      </c>
      <c r="U745" t="s">
        <v>1172</v>
      </c>
      <c r="V745" t="s">
        <v>1284</v>
      </c>
      <c r="W745" t="s">
        <v>1257</v>
      </c>
      <c r="X745">
        <v>17</v>
      </c>
      <c r="Y745" t="s">
        <v>1161</v>
      </c>
      <c r="Z745" t="s">
        <v>1134</v>
      </c>
      <c r="AA745">
        <v>3</v>
      </c>
    </row>
    <row r="746" spans="1:27" x14ac:dyDescent="0.3">
      <c r="A746" t="s">
        <v>650</v>
      </c>
      <c r="B746" t="s">
        <v>1327</v>
      </c>
      <c r="C746" t="s">
        <v>1076</v>
      </c>
      <c r="D746" t="s">
        <v>1149</v>
      </c>
      <c r="E746" t="s">
        <v>1144</v>
      </c>
      <c r="F746" s="1">
        <v>46269.411805555559</v>
      </c>
      <c r="G746" s="1">
        <v>46269.415972222218</v>
      </c>
      <c r="H746">
        <v>1</v>
      </c>
      <c r="I746">
        <v>6</v>
      </c>
      <c r="J746" t="b">
        <v>0</v>
      </c>
      <c r="K746" t="b">
        <v>0</v>
      </c>
      <c r="L746" t="b">
        <v>0</v>
      </c>
      <c r="M746">
        <v>12</v>
      </c>
      <c r="N746" t="s">
        <v>1130</v>
      </c>
      <c r="O746" s="1">
        <v>46269.290277777778</v>
      </c>
      <c r="P746" t="b">
        <v>0</v>
      </c>
      <c r="Q746" t="s">
        <v>1138</v>
      </c>
      <c r="R746" t="s">
        <v>1120</v>
      </c>
      <c r="S746" t="s">
        <v>1145</v>
      </c>
      <c r="T746" t="s">
        <v>1122</v>
      </c>
      <c r="U746" t="s">
        <v>1172</v>
      </c>
      <c r="V746" t="s">
        <v>1152</v>
      </c>
      <c r="W746" t="s">
        <v>1145</v>
      </c>
      <c r="X746">
        <v>6</v>
      </c>
      <c r="Y746" t="s">
        <v>1142</v>
      </c>
      <c r="Z746" t="s">
        <v>1127</v>
      </c>
      <c r="AA746">
        <v>6</v>
      </c>
    </row>
    <row r="747" spans="1:27" x14ac:dyDescent="0.3">
      <c r="A747" t="s">
        <v>649</v>
      </c>
      <c r="B747" t="s">
        <v>1327</v>
      </c>
      <c r="C747" t="s">
        <v>1077</v>
      </c>
      <c r="D747" t="s">
        <v>1339</v>
      </c>
      <c r="E747" t="s">
        <v>1198</v>
      </c>
      <c r="F747" s="1">
        <v>46269.373611111107</v>
      </c>
      <c r="G747" s="1">
        <v>46269.37777777778</v>
      </c>
      <c r="H747">
        <v>3</v>
      </c>
      <c r="I747">
        <v>6</v>
      </c>
      <c r="J747" t="b">
        <v>0</v>
      </c>
      <c r="K747" t="b">
        <v>0</v>
      </c>
      <c r="L747" t="b">
        <v>0</v>
      </c>
      <c r="M747">
        <v>12</v>
      </c>
      <c r="N747" t="s">
        <v>1130</v>
      </c>
      <c r="O747" s="1">
        <v>46269.290277777778</v>
      </c>
      <c r="P747" t="b">
        <v>0</v>
      </c>
      <c r="Q747" t="s">
        <v>1169</v>
      </c>
      <c r="R747" t="s">
        <v>1131</v>
      </c>
      <c r="S747" t="s">
        <v>1145</v>
      </c>
      <c r="T747" t="s">
        <v>1122</v>
      </c>
      <c r="U747" t="s">
        <v>1172</v>
      </c>
      <c r="V747" t="s">
        <v>1284</v>
      </c>
      <c r="W747" t="s">
        <v>1257</v>
      </c>
      <c r="X747">
        <v>6</v>
      </c>
      <c r="Y747" t="s">
        <v>1142</v>
      </c>
      <c r="Z747" t="s">
        <v>1127</v>
      </c>
      <c r="AA747">
        <v>2</v>
      </c>
    </row>
    <row r="748" spans="1:27" x14ac:dyDescent="0.3">
      <c r="A748" t="s">
        <v>299</v>
      </c>
      <c r="B748" t="s">
        <v>1389</v>
      </c>
      <c r="C748" t="s">
        <v>1080</v>
      </c>
      <c r="D748" t="s">
        <v>1255</v>
      </c>
      <c r="E748" t="s">
        <v>1299</v>
      </c>
      <c r="F748" s="1">
        <v>46291.760416666657</v>
      </c>
      <c r="G748" s="1">
        <v>46291.76458333333</v>
      </c>
      <c r="H748">
        <v>4</v>
      </c>
      <c r="I748">
        <v>6</v>
      </c>
      <c r="J748" t="b">
        <v>0</v>
      </c>
      <c r="K748" t="b">
        <v>0</v>
      </c>
      <c r="L748" t="b">
        <v>0</v>
      </c>
      <c r="M748">
        <v>4</v>
      </c>
      <c r="N748" t="s">
        <v>1118</v>
      </c>
      <c r="O748" s="1">
        <v>46291.708333333343</v>
      </c>
      <c r="P748" t="b">
        <v>0</v>
      </c>
      <c r="Q748" t="s">
        <v>1156</v>
      </c>
      <c r="R748" t="s">
        <v>1120</v>
      </c>
      <c r="S748" t="s">
        <v>1121</v>
      </c>
      <c r="T748" t="s">
        <v>1122</v>
      </c>
      <c r="U748" t="s">
        <v>1247</v>
      </c>
      <c r="V748" t="s">
        <v>1141</v>
      </c>
      <c r="W748" t="s">
        <v>1257</v>
      </c>
      <c r="X748">
        <v>17</v>
      </c>
      <c r="Y748" t="s">
        <v>1173</v>
      </c>
      <c r="Z748" t="s">
        <v>1147</v>
      </c>
      <c r="AA748">
        <v>1.5</v>
      </c>
    </row>
    <row r="749" spans="1:27" x14ac:dyDescent="0.3">
      <c r="A749" t="s">
        <v>526</v>
      </c>
      <c r="B749" t="s">
        <v>1297</v>
      </c>
      <c r="C749" t="s">
        <v>1079</v>
      </c>
      <c r="D749" t="s">
        <v>1339</v>
      </c>
      <c r="E749" t="s">
        <v>1295</v>
      </c>
      <c r="F749" s="1">
        <v>46290.0625</v>
      </c>
      <c r="G749" s="1">
        <v>46290.066666666673</v>
      </c>
      <c r="H749">
        <v>4</v>
      </c>
      <c r="I749">
        <v>6</v>
      </c>
      <c r="J749" t="b">
        <v>0</v>
      </c>
      <c r="K749" t="b">
        <v>0</v>
      </c>
      <c r="L749" t="b">
        <v>0</v>
      </c>
      <c r="M749">
        <v>15</v>
      </c>
      <c r="N749" t="s">
        <v>1155</v>
      </c>
      <c r="O749" s="1">
        <v>46289.979861111111</v>
      </c>
      <c r="P749" t="b">
        <v>0</v>
      </c>
      <c r="Q749" t="s">
        <v>1151</v>
      </c>
      <c r="R749" t="s">
        <v>1120</v>
      </c>
      <c r="S749" t="s">
        <v>1145</v>
      </c>
      <c r="T749" t="s">
        <v>1145</v>
      </c>
      <c r="U749" t="s">
        <v>1123</v>
      </c>
      <c r="V749" t="s">
        <v>1284</v>
      </c>
      <c r="W749" t="s">
        <v>1257</v>
      </c>
      <c r="X749">
        <v>23</v>
      </c>
      <c r="Y749" t="s">
        <v>1146</v>
      </c>
      <c r="Z749" t="s">
        <v>1127</v>
      </c>
      <c r="AA749">
        <v>1.5</v>
      </c>
    </row>
    <row r="750" spans="1:27" x14ac:dyDescent="0.3">
      <c r="A750" t="s">
        <v>883</v>
      </c>
      <c r="B750" t="s">
        <v>1166</v>
      </c>
      <c r="C750" t="s">
        <v>1063</v>
      </c>
      <c r="D750" t="s">
        <v>1339</v>
      </c>
      <c r="E750" t="s">
        <v>1187</v>
      </c>
      <c r="F750" s="1">
        <v>46273.575694444437</v>
      </c>
      <c r="G750" s="1">
        <v>46273.579861111109</v>
      </c>
      <c r="H750">
        <v>7</v>
      </c>
      <c r="I750">
        <v>6</v>
      </c>
      <c r="J750" t="b">
        <v>0</v>
      </c>
      <c r="K750" t="b">
        <v>0</v>
      </c>
      <c r="L750" t="b">
        <v>0</v>
      </c>
      <c r="M750">
        <v>10</v>
      </c>
      <c r="N750" t="s">
        <v>1168</v>
      </c>
      <c r="O750" s="1">
        <v>46273.465277777781</v>
      </c>
      <c r="P750" t="b">
        <v>0</v>
      </c>
      <c r="Q750" t="s">
        <v>1156</v>
      </c>
      <c r="R750" t="s">
        <v>1131</v>
      </c>
      <c r="S750" t="s">
        <v>1132</v>
      </c>
      <c r="T750" t="s">
        <v>1122</v>
      </c>
      <c r="U750" t="s">
        <v>1172</v>
      </c>
      <c r="V750" t="s">
        <v>1284</v>
      </c>
      <c r="W750" t="s">
        <v>1257</v>
      </c>
      <c r="X750">
        <v>11</v>
      </c>
      <c r="Y750" t="s">
        <v>1126</v>
      </c>
      <c r="Z750" t="s">
        <v>1134</v>
      </c>
      <c r="AA750">
        <v>0.8571428571428571</v>
      </c>
    </row>
    <row r="751" spans="1:27" x14ac:dyDescent="0.3">
      <c r="A751" t="s">
        <v>880</v>
      </c>
      <c r="B751" t="s">
        <v>1411</v>
      </c>
      <c r="C751" t="s">
        <v>1065</v>
      </c>
      <c r="D751" t="s">
        <v>1280</v>
      </c>
      <c r="E751" t="s">
        <v>1204</v>
      </c>
      <c r="F751" s="1">
        <v>46286.348611111112</v>
      </c>
      <c r="G751" s="1">
        <v>46286.352777777778</v>
      </c>
      <c r="H751">
        <v>4</v>
      </c>
      <c r="I751">
        <v>6</v>
      </c>
      <c r="J751" t="b">
        <v>0</v>
      </c>
      <c r="K751" t="b">
        <v>0</v>
      </c>
      <c r="L751" t="b">
        <v>0</v>
      </c>
      <c r="M751">
        <v>8</v>
      </c>
      <c r="N751" t="s">
        <v>1130</v>
      </c>
      <c r="O751" s="1">
        <v>46286.304166666669</v>
      </c>
      <c r="P751" t="b">
        <v>0</v>
      </c>
      <c r="Q751" t="s">
        <v>1169</v>
      </c>
      <c r="R751" t="s">
        <v>1131</v>
      </c>
      <c r="S751" t="s">
        <v>1157</v>
      </c>
      <c r="T751" t="s">
        <v>1180</v>
      </c>
      <c r="U751" t="s">
        <v>1247</v>
      </c>
      <c r="V751" t="s">
        <v>1151</v>
      </c>
      <c r="W751" t="s">
        <v>1257</v>
      </c>
      <c r="X751">
        <v>7</v>
      </c>
      <c r="Y751" t="s">
        <v>1185</v>
      </c>
      <c r="Z751" t="s">
        <v>1134</v>
      </c>
      <c r="AA751">
        <v>1.5</v>
      </c>
    </row>
    <row r="752" spans="1:27" x14ac:dyDescent="0.3">
      <c r="A752" t="s">
        <v>377</v>
      </c>
      <c r="B752" t="s">
        <v>1177</v>
      </c>
      <c r="C752" t="s">
        <v>1086</v>
      </c>
      <c r="D752" t="s">
        <v>1238</v>
      </c>
      <c r="E752" t="s">
        <v>1154</v>
      </c>
      <c r="F752" s="1">
        <v>46290.434027777781</v>
      </c>
      <c r="G752" s="1">
        <v>46290.438194444447</v>
      </c>
      <c r="H752">
        <v>5</v>
      </c>
      <c r="I752">
        <v>6</v>
      </c>
      <c r="J752" t="b">
        <v>0</v>
      </c>
      <c r="K752" t="b">
        <v>0</v>
      </c>
      <c r="L752" t="b">
        <v>0</v>
      </c>
      <c r="M752">
        <v>20</v>
      </c>
      <c r="N752" t="s">
        <v>1168</v>
      </c>
      <c r="O752" s="1">
        <v>46290.395138888889</v>
      </c>
      <c r="P752" t="b">
        <v>0</v>
      </c>
      <c r="Q752" t="s">
        <v>1156</v>
      </c>
      <c r="R752" t="s">
        <v>1131</v>
      </c>
      <c r="S752" t="s">
        <v>1157</v>
      </c>
      <c r="T752" t="s">
        <v>1122</v>
      </c>
      <c r="U752" t="s">
        <v>1145</v>
      </c>
      <c r="V752" t="s">
        <v>1151</v>
      </c>
      <c r="W752" t="s">
        <v>1131</v>
      </c>
      <c r="X752">
        <v>9</v>
      </c>
      <c r="Y752" t="s">
        <v>1142</v>
      </c>
      <c r="Z752" t="s">
        <v>1127</v>
      </c>
      <c r="AA752">
        <v>1.2</v>
      </c>
    </row>
    <row r="753" spans="1:27" x14ac:dyDescent="0.3">
      <c r="A753" t="s">
        <v>871</v>
      </c>
      <c r="B753" t="s">
        <v>1326</v>
      </c>
      <c r="C753" t="s">
        <v>1075</v>
      </c>
      <c r="D753" t="s">
        <v>1283</v>
      </c>
      <c r="E753" t="s">
        <v>1295</v>
      </c>
      <c r="F753" s="1">
        <v>46270.870138888888</v>
      </c>
      <c r="G753" s="1">
        <v>46270.874305555553</v>
      </c>
      <c r="H753">
        <v>4</v>
      </c>
      <c r="I753">
        <v>6</v>
      </c>
      <c r="J753" t="b">
        <v>0</v>
      </c>
      <c r="K753" t="b">
        <v>0</v>
      </c>
      <c r="L753" t="b">
        <v>0</v>
      </c>
      <c r="M753">
        <v>20</v>
      </c>
      <c r="N753" t="s">
        <v>1130</v>
      </c>
      <c r="O753" s="1">
        <v>46270.8125</v>
      </c>
      <c r="P753" t="b">
        <v>0</v>
      </c>
      <c r="Q753" t="s">
        <v>1151</v>
      </c>
      <c r="R753" t="s">
        <v>1120</v>
      </c>
      <c r="S753" t="s">
        <v>1145</v>
      </c>
      <c r="T753" t="s">
        <v>1122</v>
      </c>
      <c r="U753" t="s">
        <v>1172</v>
      </c>
      <c r="V753" t="s">
        <v>1284</v>
      </c>
      <c r="W753" t="s">
        <v>1131</v>
      </c>
      <c r="X753">
        <v>19</v>
      </c>
      <c r="Y753" t="s">
        <v>1173</v>
      </c>
      <c r="Z753" t="s">
        <v>1127</v>
      </c>
      <c r="AA753">
        <v>1.5</v>
      </c>
    </row>
    <row r="754" spans="1:27" x14ac:dyDescent="0.3">
      <c r="A754" t="s">
        <v>168</v>
      </c>
      <c r="B754" t="s">
        <v>1357</v>
      </c>
      <c r="C754" t="s">
        <v>1063</v>
      </c>
      <c r="D754" t="s">
        <v>1283</v>
      </c>
      <c r="E754" t="s">
        <v>1221</v>
      </c>
      <c r="F754" s="1">
        <v>46281.365972222222</v>
      </c>
      <c r="G754" s="1">
        <v>46281.370138888888</v>
      </c>
      <c r="H754">
        <v>2</v>
      </c>
      <c r="I754">
        <v>6</v>
      </c>
      <c r="J754" t="b">
        <v>0</v>
      </c>
      <c r="K754" t="b">
        <v>0</v>
      </c>
      <c r="L754" t="b">
        <v>0</v>
      </c>
      <c r="M754">
        <v>4</v>
      </c>
      <c r="N754" t="s">
        <v>1118</v>
      </c>
      <c r="O754" s="1">
        <v>46281.256944444453</v>
      </c>
      <c r="P754" t="b">
        <v>0</v>
      </c>
      <c r="Q754" t="s">
        <v>1151</v>
      </c>
      <c r="R754" t="s">
        <v>1131</v>
      </c>
      <c r="S754" t="s">
        <v>1121</v>
      </c>
      <c r="T754" t="s">
        <v>1122</v>
      </c>
      <c r="U754" t="s">
        <v>1172</v>
      </c>
      <c r="V754" t="s">
        <v>1284</v>
      </c>
      <c r="W754" t="s">
        <v>1131</v>
      </c>
      <c r="X754">
        <v>6</v>
      </c>
      <c r="Y754" t="s">
        <v>1161</v>
      </c>
      <c r="Z754" t="s">
        <v>1147</v>
      </c>
      <c r="AA754">
        <v>3</v>
      </c>
    </row>
    <row r="755" spans="1:27" x14ac:dyDescent="0.3">
      <c r="A755" t="s">
        <v>865</v>
      </c>
      <c r="B755" t="s">
        <v>1278</v>
      </c>
      <c r="C755" t="s">
        <v>1073</v>
      </c>
      <c r="D755" t="s">
        <v>1255</v>
      </c>
      <c r="E755" t="s">
        <v>1187</v>
      </c>
      <c r="F755" s="1">
        <v>46276.438888888893</v>
      </c>
      <c r="G755" s="1">
        <v>46276.443055555559</v>
      </c>
      <c r="H755">
        <v>7</v>
      </c>
      <c r="I755">
        <v>6</v>
      </c>
      <c r="J755" t="b">
        <v>0</v>
      </c>
      <c r="K755" t="b">
        <v>0</v>
      </c>
      <c r="L755" t="b">
        <v>0</v>
      </c>
      <c r="M755">
        <v>10</v>
      </c>
      <c r="N755" t="s">
        <v>1118</v>
      </c>
      <c r="O755" s="1">
        <v>46276.388888888891</v>
      </c>
      <c r="P755" t="b">
        <v>0</v>
      </c>
      <c r="Q755" t="s">
        <v>1156</v>
      </c>
      <c r="R755" t="s">
        <v>1131</v>
      </c>
      <c r="S755" t="s">
        <v>1132</v>
      </c>
      <c r="T755" t="s">
        <v>1122</v>
      </c>
      <c r="U755" t="s">
        <v>1247</v>
      </c>
      <c r="V755" t="s">
        <v>1141</v>
      </c>
      <c r="W755" t="s">
        <v>1257</v>
      </c>
      <c r="X755">
        <v>9</v>
      </c>
      <c r="Y755" t="s">
        <v>1142</v>
      </c>
      <c r="Z755" t="s">
        <v>1134</v>
      </c>
      <c r="AA755">
        <v>0.8571428571428571</v>
      </c>
    </row>
    <row r="756" spans="1:27" x14ac:dyDescent="0.3">
      <c r="A756" t="s">
        <v>863</v>
      </c>
      <c r="B756" t="s">
        <v>1278</v>
      </c>
      <c r="C756" t="s">
        <v>1057</v>
      </c>
      <c r="D756" t="s">
        <v>1136</v>
      </c>
      <c r="E756" t="s">
        <v>1294</v>
      </c>
      <c r="F756" s="1">
        <v>46276.395833333343</v>
      </c>
      <c r="G756" s="1">
        <v>46276.4</v>
      </c>
      <c r="H756">
        <v>5</v>
      </c>
      <c r="I756">
        <v>6</v>
      </c>
      <c r="J756" t="b">
        <v>0</v>
      </c>
      <c r="K756" t="b">
        <v>0</v>
      </c>
      <c r="L756" t="b">
        <v>0</v>
      </c>
      <c r="M756">
        <v>10</v>
      </c>
      <c r="N756" t="s">
        <v>1118</v>
      </c>
      <c r="O756" s="1">
        <v>46276.388888888891</v>
      </c>
      <c r="P756" t="b">
        <v>0</v>
      </c>
      <c r="Q756" t="s">
        <v>1119</v>
      </c>
      <c r="R756" t="s">
        <v>1145</v>
      </c>
      <c r="S756" t="s">
        <v>1132</v>
      </c>
      <c r="T756" t="s">
        <v>1122</v>
      </c>
      <c r="U756" t="s">
        <v>1172</v>
      </c>
      <c r="V756" t="s">
        <v>1141</v>
      </c>
      <c r="W756" t="s">
        <v>1125</v>
      </c>
      <c r="X756">
        <v>9</v>
      </c>
      <c r="Y756" t="s">
        <v>1142</v>
      </c>
      <c r="Z756" t="s">
        <v>1134</v>
      </c>
      <c r="AA756">
        <v>1.2</v>
      </c>
    </row>
    <row r="757" spans="1:27" x14ac:dyDescent="0.3">
      <c r="A757" t="s">
        <v>861</v>
      </c>
      <c r="B757" t="s">
        <v>1278</v>
      </c>
      <c r="C757" t="s">
        <v>1068</v>
      </c>
      <c r="D757" t="s">
        <v>1339</v>
      </c>
      <c r="E757" t="s">
        <v>1167</v>
      </c>
      <c r="F757" s="1">
        <v>46276.395833333343</v>
      </c>
      <c r="G757" s="1">
        <v>46276.4</v>
      </c>
      <c r="H757">
        <v>1</v>
      </c>
      <c r="I757">
        <v>6</v>
      </c>
      <c r="J757" t="b">
        <v>0</v>
      </c>
      <c r="K757" t="b">
        <v>0</v>
      </c>
      <c r="L757" t="b">
        <v>0</v>
      </c>
      <c r="M757">
        <v>10</v>
      </c>
      <c r="N757" t="s">
        <v>1118</v>
      </c>
      <c r="O757" s="1">
        <v>46276.388888888891</v>
      </c>
      <c r="P757" t="b">
        <v>0</v>
      </c>
      <c r="Q757" t="s">
        <v>1169</v>
      </c>
      <c r="R757" t="s">
        <v>1131</v>
      </c>
      <c r="S757" t="s">
        <v>1157</v>
      </c>
      <c r="T757" t="s">
        <v>1122</v>
      </c>
      <c r="U757" t="s">
        <v>1123</v>
      </c>
      <c r="V757" t="s">
        <v>1284</v>
      </c>
      <c r="W757" t="s">
        <v>1257</v>
      </c>
      <c r="X757">
        <v>9</v>
      </c>
      <c r="Y757" t="s">
        <v>1142</v>
      </c>
      <c r="Z757" t="s">
        <v>1134</v>
      </c>
      <c r="AA757">
        <v>6</v>
      </c>
    </row>
    <row r="758" spans="1:27" x14ac:dyDescent="0.3">
      <c r="A758" t="s">
        <v>561</v>
      </c>
      <c r="B758" t="s">
        <v>1164</v>
      </c>
      <c r="C758" t="s">
        <v>1088</v>
      </c>
      <c r="D758" t="s">
        <v>1339</v>
      </c>
      <c r="E758" t="s">
        <v>1249</v>
      </c>
      <c r="F758" s="1">
        <v>46266.599305555559</v>
      </c>
      <c r="G758" s="1">
        <v>46266.603472222218</v>
      </c>
      <c r="H758">
        <v>3</v>
      </c>
      <c r="I758">
        <v>6</v>
      </c>
      <c r="J758" t="b">
        <v>0</v>
      </c>
      <c r="K758" t="b">
        <v>0</v>
      </c>
      <c r="L758" t="b">
        <v>0</v>
      </c>
      <c r="M758">
        <v>12</v>
      </c>
      <c r="N758" t="s">
        <v>1130</v>
      </c>
      <c r="O758" s="1">
        <v>46266.54791666667</v>
      </c>
      <c r="P758" t="b">
        <v>0</v>
      </c>
      <c r="Q758" t="s">
        <v>1169</v>
      </c>
      <c r="R758" t="s">
        <v>1131</v>
      </c>
      <c r="S758" t="s">
        <v>1157</v>
      </c>
      <c r="T758" t="s">
        <v>1140</v>
      </c>
      <c r="U758" t="s">
        <v>1123</v>
      </c>
      <c r="V758" t="s">
        <v>1284</v>
      </c>
      <c r="W758" t="s">
        <v>1257</v>
      </c>
      <c r="X758">
        <v>13</v>
      </c>
      <c r="Y758" t="s">
        <v>1126</v>
      </c>
      <c r="Z758" t="s">
        <v>1127</v>
      </c>
      <c r="AA758">
        <v>2</v>
      </c>
    </row>
    <row r="759" spans="1:27" x14ac:dyDescent="0.3">
      <c r="A759" t="s">
        <v>620</v>
      </c>
      <c r="B759" t="s">
        <v>1481</v>
      </c>
      <c r="C759" t="s">
        <v>1074</v>
      </c>
      <c r="D759" t="s">
        <v>1283</v>
      </c>
      <c r="E759" t="s">
        <v>1227</v>
      </c>
      <c r="F759" s="1">
        <v>46282.638194444437</v>
      </c>
      <c r="G759" s="1">
        <v>46282.642361111109</v>
      </c>
      <c r="H759">
        <v>5</v>
      </c>
      <c r="I759">
        <v>6</v>
      </c>
      <c r="J759" t="b">
        <v>0</v>
      </c>
      <c r="K759" t="b">
        <v>0</v>
      </c>
      <c r="L759" t="b">
        <v>0</v>
      </c>
      <c r="M759">
        <v>2</v>
      </c>
      <c r="N759" t="s">
        <v>1168</v>
      </c>
      <c r="O759" s="1">
        <v>46282.534722222219</v>
      </c>
      <c r="P759" t="b">
        <v>0</v>
      </c>
      <c r="Q759" t="s">
        <v>1145</v>
      </c>
      <c r="R759" t="s">
        <v>1131</v>
      </c>
      <c r="S759" t="s">
        <v>1121</v>
      </c>
      <c r="T759" t="s">
        <v>1145</v>
      </c>
      <c r="U759" t="s">
        <v>1145</v>
      </c>
      <c r="V759" t="s">
        <v>1284</v>
      </c>
      <c r="W759" t="s">
        <v>1131</v>
      </c>
      <c r="X759">
        <v>12</v>
      </c>
      <c r="Y759" t="s">
        <v>1146</v>
      </c>
      <c r="Z759" t="s">
        <v>1147</v>
      </c>
      <c r="AA759">
        <v>1.2</v>
      </c>
    </row>
    <row r="760" spans="1:27" x14ac:dyDescent="0.3">
      <c r="A760" t="s">
        <v>782</v>
      </c>
      <c r="B760" t="s">
        <v>1135</v>
      </c>
      <c r="C760" t="s">
        <v>1084</v>
      </c>
      <c r="D760" t="s">
        <v>1136</v>
      </c>
      <c r="E760" t="s">
        <v>1228</v>
      </c>
      <c r="F760" s="1">
        <v>46269.727777777778</v>
      </c>
      <c r="G760" s="1">
        <v>46269.731944444437</v>
      </c>
      <c r="H760">
        <v>3</v>
      </c>
      <c r="I760">
        <v>6</v>
      </c>
      <c r="J760" t="b">
        <v>0</v>
      </c>
      <c r="K760" t="b">
        <v>0</v>
      </c>
      <c r="L760" t="b">
        <v>0</v>
      </c>
      <c r="M760">
        <v>15</v>
      </c>
      <c r="N760" t="s">
        <v>1118</v>
      </c>
      <c r="O760" s="1">
        <v>46269.660416666673</v>
      </c>
      <c r="P760" t="b">
        <v>0</v>
      </c>
      <c r="Q760" t="s">
        <v>1179</v>
      </c>
      <c r="R760" t="s">
        <v>1145</v>
      </c>
      <c r="S760" t="s">
        <v>1157</v>
      </c>
      <c r="T760" t="s">
        <v>1122</v>
      </c>
      <c r="U760" t="s">
        <v>1247</v>
      </c>
      <c r="V760" t="s">
        <v>1141</v>
      </c>
      <c r="W760" t="s">
        <v>1125</v>
      </c>
      <c r="X760">
        <v>15</v>
      </c>
      <c r="Y760" t="s">
        <v>1142</v>
      </c>
      <c r="Z760" t="s">
        <v>1127</v>
      </c>
      <c r="AA760">
        <v>2</v>
      </c>
    </row>
    <row r="761" spans="1:27" x14ac:dyDescent="0.3">
      <c r="A761" t="s">
        <v>781</v>
      </c>
      <c r="B761" t="s">
        <v>1135</v>
      </c>
      <c r="C761" t="s">
        <v>1063</v>
      </c>
      <c r="D761" t="s">
        <v>1238</v>
      </c>
      <c r="E761" t="s">
        <v>1178</v>
      </c>
      <c r="F761" s="1">
        <v>46269.772222222222</v>
      </c>
      <c r="G761" s="1">
        <v>46269.776388888888</v>
      </c>
      <c r="H761">
        <v>1</v>
      </c>
      <c r="I761">
        <v>6</v>
      </c>
      <c r="J761" t="b">
        <v>0</v>
      </c>
      <c r="K761" t="b">
        <v>0</v>
      </c>
      <c r="L761" t="b">
        <v>0</v>
      </c>
      <c r="M761">
        <v>15</v>
      </c>
      <c r="N761" t="s">
        <v>1118</v>
      </c>
      <c r="O761" s="1">
        <v>46269.660416666673</v>
      </c>
      <c r="P761" t="b">
        <v>0</v>
      </c>
      <c r="Q761" t="s">
        <v>1179</v>
      </c>
      <c r="R761" t="s">
        <v>1139</v>
      </c>
      <c r="S761" t="s">
        <v>1157</v>
      </c>
      <c r="T761" t="s">
        <v>1122</v>
      </c>
      <c r="U761" t="s">
        <v>1172</v>
      </c>
      <c r="V761" t="s">
        <v>1151</v>
      </c>
      <c r="W761" t="s">
        <v>1131</v>
      </c>
      <c r="X761">
        <v>15</v>
      </c>
      <c r="Y761" t="s">
        <v>1142</v>
      </c>
      <c r="Z761" t="s">
        <v>1127</v>
      </c>
      <c r="AA761">
        <v>6</v>
      </c>
    </row>
    <row r="762" spans="1:27" x14ac:dyDescent="0.3">
      <c r="A762" t="s">
        <v>777</v>
      </c>
      <c r="B762" t="s">
        <v>1435</v>
      </c>
      <c r="C762" t="s">
        <v>1084</v>
      </c>
      <c r="D762" t="s">
        <v>1280</v>
      </c>
      <c r="E762" t="s">
        <v>1261</v>
      </c>
      <c r="F762" s="1">
        <v>46291.348611111112</v>
      </c>
      <c r="G762" s="1">
        <v>46291.352777777778</v>
      </c>
      <c r="H762">
        <v>3</v>
      </c>
      <c r="I762">
        <v>6</v>
      </c>
      <c r="J762" t="b">
        <v>0</v>
      </c>
      <c r="K762" t="b">
        <v>0</v>
      </c>
      <c r="L762" t="b">
        <v>0</v>
      </c>
      <c r="M762">
        <v>5</v>
      </c>
      <c r="N762" t="s">
        <v>1118</v>
      </c>
      <c r="O762" s="1">
        <v>46291.277083333327</v>
      </c>
      <c r="P762" t="b">
        <v>0</v>
      </c>
      <c r="Q762" t="s">
        <v>1151</v>
      </c>
      <c r="R762" t="s">
        <v>1120</v>
      </c>
      <c r="S762" t="s">
        <v>1157</v>
      </c>
      <c r="T762" t="s">
        <v>1122</v>
      </c>
      <c r="U762" t="s">
        <v>1247</v>
      </c>
      <c r="V762" t="s">
        <v>1151</v>
      </c>
      <c r="W762" t="s">
        <v>1257</v>
      </c>
      <c r="X762">
        <v>6</v>
      </c>
      <c r="Y762" t="s">
        <v>1173</v>
      </c>
      <c r="Z762" t="s">
        <v>1147</v>
      </c>
      <c r="AA762">
        <v>2</v>
      </c>
    </row>
    <row r="763" spans="1:27" x14ac:dyDescent="0.3">
      <c r="A763" t="s">
        <v>772</v>
      </c>
      <c r="B763" t="s">
        <v>1376</v>
      </c>
      <c r="C763" t="s">
        <v>1078</v>
      </c>
      <c r="D763" t="s">
        <v>1339</v>
      </c>
      <c r="E763" t="s">
        <v>1184</v>
      </c>
      <c r="F763" s="1">
        <v>46278.28402777778</v>
      </c>
      <c r="G763" s="1">
        <v>46278.288194444453</v>
      </c>
      <c r="H763">
        <v>7</v>
      </c>
      <c r="I763">
        <v>6</v>
      </c>
      <c r="J763" t="b">
        <v>0</v>
      </c>
      <c r="K763" t="b">
        <v>0</v>
      </c>
      <c r="L763" t="b">
        <v>0</v>
      </c>
      <c r="M763">
        <v>10</v>
      </c>
      <c r="N763" t="s">
        <v>1130</v>
      </c>
      <c r="O763" s="1">
        <v>46278.228472222218</v>
      </c>
      <c r="P763" t="b">
        <v>0</v>
      </c>
      <c r="Q763" t="s">
        <v>1156</v>
      </c>
      <c r="R763" t="s">
        <v>1131</v>
      </c>
      <c r="S763" t="s">
        <v>1132</v>
      </c>
      <c r="T763" t="s">
        <v>1145</v>
      </c>
      <c r="U763" t="s">
        <v>1172</v>
      </c>
      <c r="V763" t="s">
        <v>1284</v>
      </c>
      <c r="W763" t="s">
        <v>1257</v>
      </c>
      <c r="X763">
        <v>5</v>
      </c>
      <c r="Y763" t="s">
        <v>1133</v>
      </c>
      <c r="Z763" t="s">
        <v>1134</v>
      </c>
      <c r="AA763">
        <v>0.8571428571428571</v>
      </c>
    </row>
    <row r="764" spans="1:27" x14ac:dyDescent="0.3">
      <c r="A764" t="s">
        <v>632</v>
      </c>
      <c r="B764" t="s">
        <v>1203</v>
      </c>
      <c r="C764" t="s">
        <v>1085</v>
      </c>
      <c r="D764" t="s">
        <v>1255</v>
      </c>
      <c r="E764" t="s">
        <v>1171</v>
      </c>
      <c r="F764" s="1">
        <v>46287.161805555559</v>
      </c>
      <c r="G764" s="1">
        <v>46287.165972222218</v>
      </c>
      <c r="H764">
        <v>1</v>
      </c>
      <c r="I764">
        <v>6</v>
      </c>
      <c r="J764" t="b">
        <v>0</v>
      </c>
      <c r="K764" t="b">
        <v>0</v>
      </c>
      <c r="L764" t="b">
        <v>0</v>
      </c>
      <c r="M764">
        <v>12</v>
      </c>
      <c r="N764" t="s">
        <v>1145</v>
      </c>
      <c r="O764" s="1">
        <v>46287.080555555563</v>
      </c>
      <c r="P764" t="b">
        <v>0</v>
      </c>
      <c r="Q764" t="s">
        <v>1119</v>
      </c>
      <c r="R764" t="s">
        <v>1131</v>
      </c>
      <c r="S764" t="s">
        <v>1121</v>
      </c>
      <c r="T764" t="s">
        <v>1122</v>
      </c>
      <c r="U764" t="s">
        <v>1247</v>
      </c>
      <c r="V764" t="s">
        <v>1141</v>
      </c>
      <c r="W764" t="s">
        <v>1257</v>
      </c>
      <c r="X764">
        <v>1</v>
      </c>
      <c r="Y764" t="s">
        <v>1126</v>
      </c>
      <c r="Z764" t="s">
        <v>1127</v>
      </c>
      <c r="AA764">
        <v>6</v>
      </c>
    </row>
    <row r="765" spans="1:27" x14ac:dyDescent="0.3">
      <c r="A765" t="s">
        <v>196</v>
      </c>
      <c r="B765" t="s">
        <v>1234</v>
      </c>
      <c r="C765" t="s">
        <v>1077</v>
      </c>
      <c r="D765" t="s">
        <v>1339</v>
      </c>
      <c r="E765" t="s">
        <v>1207</v>
      </c>
      <c r="F765" s="1">
        <v>46282.044444444437</v>
      </c>
      <c r="G765" s="1">
        <v>46282.048611111109</v>
      </c>
      <c r="H765">
        <v>7</v>
      </c>
      <c r="I765">
        <v>6</v>
      </c>
      <c r="J765" t="b">
        <v>0</v>
      </c>
      <c r="K765" t="b">
        <v>0</v>
      </c>
      <c r="L765" t="b">
        <v>0</v>
      </c>
      <c r="M765">
        <v>12</v>
      </c>
      <c r="N765" t="s">
        <v>1130</v>
      </c>
      <c r="P765" t="b">
        <v>0</v>
      </c>
      <c r="Q765" t="s">
        <v>1179</v>
      </c>
      <c r="R765" t="s">
        <v>1131</v>
      </c>
      <c r="S765" t="s">
        <v>1157</v>
      </c>
      <c r="T765" t="s">
        <v>1122</v>
      </c>
      <c r="U765" t="s">
        <v>1172</v>
      </c>
      <c r="V765" t="s">
        <v>1284</v>
      </c>
      <c r="W765" t="s">
        <v>1257</v>
      </c>
      <c r="Z765" t="s">
        <v>1127</v>
      </c>
      <c r="AA765">
        <v>0.8571428571428571</v>
      </c>
    </row>
    <row r="766" spans="1:27" x14ac:dyDescent="0.3">
      <c r="A766" t="s">
        <v>570</v>
      </c>
      <c r="B766" t="s">
        <v>1374</v>
      </c>
      <c r="C766" t="s">
        <v>1069</v>
      </c>
      <c r="D766" t="s">
        <v>1283</v>
      </c>
      <c r="E766" t="s">
        <v>1231</v>
      </c>
      <c r="F766" s="1">
        <v>46279.28125</v>
      </c>
      <c r="G766" s="1">
        <v>46279.285416666673</v>
      </c>
      <c r="H766">
        <v>1</v>
      </c>
      <c r="I766">
        <v>6</v>
      </c>
      <c r="J766" t="b">
        <v>0</v>
      </c>
      <c r="K766" t="b">
        <v>0</v>
      </c>
      <c r="L766" t="b">
        <v>0</v>
      </c>
      <c r="M766">
        <v>12</v>
      </c>
      <c r="N766" t="s">
        <v>1130</v>
      </c>
      <c r="O766" s="1">
        <v>46279.17083333333</v>
      </c>
      <c r="P766" t="b">
        <v>0</v>
      </c>
      <c r="Q766" t="s">
        <v>1169</v>
      </c>
      <c r="R766" t="s">
        <v>1131</v>
      </c>
      <c r="S766" t="s">
        <v>1152</v>
      </c>
      <c r="T766" t="s">
        <v>1140</v>
      </c>
      <c r="U766" t="s">
        <v>1172</v>
      </c>
      <c r="V766" t="s">
        <v>1284</v>
      </c>
      <c r="W766" t="s">
        <v>1131</v>
      </c>
      <c r="X766">
        <v>4</v>
      </c>
      <c r="Y766" t="s">
        <v>1185</v>
      </c>
      <c r="Z766" t="s">
        <v>1127</v>
      </c>
      <c r="AA766">
        <v>6</v>
      </c>
    </row>
    <row r="767" spans="1:27" x14ac:dyDescent="0.3">
      <c r="A767" t="s">
        <v>844</v>
      </c>
      <c r="B767" t="s">
        <v>1282</v>
      </c>
      <c r="C767" t="s">
        <v>1086</v>
      </c>
      <c r="D767" t="s">
        <v>1283</v>
      </c>
      <c r="E767" t="s">
        <v>1237</v>
      </c>
      <c r="F767" s="1">
        <v>46274.329861111109</v>
      </c>
      <c r="G767" s="1">
        <v>46274.334027777782</v>
      </c>
      <c r="H767">
        <v>1</v>
      </c>
      <c r="I767">
        <v>6</v>
      </c>
      <c r="J767" t="b">
        <v>0</v>
      </c>
      <c r="K767" t="b">
        <v>0</v>
      </c>
      <c r="L767" t="b">
        <v>0</v>
      </c>
      <c r="M767">
        <v>12</v>
      </c>
      <c r="N767" t="s">
        <v>1118</v>
      </c>
      <c r="O767" s="1">
        <v>46274.3</v>
      </c>
      <c r="P767" t="b">
        <v>0</v>
      </c>
      <c r="Q767" t="s">
        <v>1151</v>
      </c>
      <c r="R767" t="s">
        <v>1120</v>
      </c>
      <c r="S767" t="s">
        <v>1152</v>
      </c>
      <c r="T767" t="s">
        <v>1122</v>
      </c>
      <c r="U767" t="s">
        <v>1145</v>
      </c>
      <c r="V767" t="s">
        <v>1284</v>
      </c>
      <c r="W767" t="s">
        <v>1131</v>
      </c>
      <c r="X767">
        <v>7</v>
      </c>
      <c r="Y767" t="s">
        <v>1161</v>
      </c>
      <c r="Z767" t="s">
        <v>1127</v>
      </c>
      <c r="AA767">
        <v>6</v>
      </c>
    </row>
    <row r="768" spans="1:27" x14ac:dyDescent="0.3">
      <c r="A768" t="s">
        <v>842</v>
      </c>
      <c r="B768" t="s">
        <v>1282</v>
      </c>
      <c r="C768" t="s">
        <v>1070</v>
      </c>
      <c r="D768" t="s">
        <v>1255</v>
      </c>
      <c r="E768" t="s">
        <v>1292</v>
      </c>
      <c r="F768" s="1">
        <v>46274.404166666667</v>
      </c>
      <c r="G768" s="1">
        <v>46274.408333333333</v>
      </c>
      <c r="H768">
        <v>2</v>
      </c>
      <c r="I768">
        <v>6</v>
      </c>
      <c r="J768" t="b">
        <v>0</v>
      </c>
      <c r="K768" t="b">
        <v>0</v>
      </c>
      <c r="L768" t="b">
        <v>0</v>
      </c>
      <c r="M768">
        <v>12</v>
      </c>
      <c r="N768" t="s">
        <v>1118</v>
      </c>
      <c r="O768" s="1">
        <v>46274.3</v>
      </c>
      <c r="P768" t="b">
        <v>0</v>
      </c>
      <c r="Q768" t="s">
        <v>1179</v>
      </c>
      <c r="R768" t="s">
        <v>1131</v>
      </c>
      <c r="S768" t="s">
        <v>1152</v>
      </c>
      <c r="T768" t="s">
        <v>1180</v>
      </c>
      <c r="U768" t="s">
        <v>1145</v>
      </c>
      <c r="V768" t="s">
        <v>1141</v>
      </c>
      <c r="W768" t="s">
        <v>1257</v>
      </c>
      <c r="X768">
        <v>7</v>
      </c>
      <c r="Y768" t="s">
        <v>1161</v>
      </c>
      <c r="Z768" t="s">
        <v>1127</v>
      </c>
      <c r="AA768">
        <v>3</v>
      </c>
    </row>
    <row r="769" spans="1:27" x14ac:dyDescent="0.3">
      <c r="A769" t="s">
        <v>834</v>
      </c>
      <c r="B769" t="s">
        <v>1193</v>
      </c>
      <c r="C769" t="s">
        <v>1076</v>
      </c>
      <c r="D769" t="s">
        <v>1136</v>
      </c>
      <c r="E769" t="s">
        <v>1218</v>
      </c>
      <c r="F769" s="1">
        <v>46283.554861111108</v>
      </c>
      <c r="G769" s="1">
        <v>46283.559027777781</v>
      </c>
      <c r="H769">
        <v>2</v>
      </c>
      <c r="I769">
        <v>6</v>
      </c>
      <c r="J769" t="b">
        <v>0</v>
      </c>
      <c r="K769" t="b">
        <v>0</v>
      </c>
      <c r="L769" t="b">
        <v>0</v>
      </c>
      <c r="M769">
        <v>6</v>
      </c>
      <c r="N769" t="s">
        <v>1155</v>
      </c>
      <c r="O769" s="1">
        <v>46283.459027777782</v>
      </c>
      <c r="P769" t="b">
        <v>0</v>
      </c>
      <c r="Q769" t="s">
        <v>1169</v>
      </c>
      <c r="R769" t="s">
        <v>1120</v>
      </c>
      <c r="S769" t="s">
        <v>1152</v>
      </c>
      <c r="T769" t="s">
        <v>1122</v>
      </c>
      <c r="U769" t="s">
        <v>1172</v>
      </c>
      <c r="V769" t="s">
        <v>1141</v>
      </c>
      <c r="W769" t="s">
        <v>1125</v>
      </c>
      <c r="X769">
        <v>11</v>
      </c>
      <c r="Y769" t="s">
        <v>1142</v>
      </c>
      <c r="Z769" t="s">
        <v>1134</v>
      </c>
      <c r="AA769">
        <v>3</v>
      </c>
    </row>
    <row r="770" spans="1:27" x14ac:dyDescent="0.3">
      <c r="A770" t="s">
        <v>331</v>
      </c>
      <c r="B770" t="s">
        <v>1195</v>
      </c>
      <c r="C770" t="s">
        <v>1061</v>
      </c>
      <c r="D770" t="s">
        <v>1255</v>
      </c>
      <c r="E770" t="s">
        <v>1292</v>
      </c>
      <c r="F770" s="1">
        <v>46290.361805555563</v>
      </c>
      <c r="G770" s="1">
        <v>46290.365972222222</v>
      </c>
      <c r="H770">
        <v>1</v>
      </c>
      <c r="I770">
        <v>6</v>
      </c>
      <c r="J770" t="b">
        <v>0</v>
      </c>
      <c r="K770" t="b">
        <v>0</v>
      </c>
      <c r="L770" t="b">
        <v>0</v>
      </c>
      <c r="M770">
        <v>20</v>
      </c>
      <c r="N770" t="s">
        <v>1130</v>
      </c>
      <c r="O770" s="1">
        <v>46290.347916666673</v>
      </c>
      <c r="P770" t="b">
        <v>0</v>
      </c>
      <c r="Q770" t="s">
        <v>1179</v>
      </c>
      <c r="R770" t="s">
        <v>1131</v>
      </c>
      <c r="S770" t="s">
        <v>1152</v>
      </c>
      <c r="T770" t="s">
        <v>1145</v>
      </c>
      <c r="U770" t="s">
        <v>1172</v>
      </c>
      <c r="V770" t="s">
        <v>1141</v>
      </c>
      <c r="W770" t="s">
        <v>1257</v>
      </c>
      <c r="X770">
        <v>8</v>
      </c>
      <c r="Y770" t="s">
        <v>1142</v>
      </c>
      <c r="Z770" t="s">
        <v>1127</v>
      </c>
      <c r="AA770">
        <v>6</v>
      </c>
    </row>
    <row r="771" spans="1:27" x14ac:dyDescent="0.3">
      <c r="A771" t="s">
        <v>330</v>
      </c>
      <c r="B771" t="s">
        <v>1444</v>
      </c>
      <c r="C771" t="s">
        <v>1088</v>
      </c>
      <c r="D771" t="s">
        <v>1339</v>
      </c>
      <c r="E771" t="s">
        <v>1289</v>
      </c>
      <c r="F771" s="1">
        <v>46293.90625</v>
      </c>
      <c r="G771" s="1">
        <v>46293.910416666673</v>
      </c>
      <c r="H771">
        <v>7</v>
      </c>
      <c r="I771">
        <v>6</v>
      </c>
      <c r="J771" t="b">
        <v>0</v>
      </c>
      <c r="K771" t="b">
        <v>0</v>
      </c>
      <c r="L771" t="b">
        <v>0</v>
      </c>
      <c r="M771">
        <v>5</v>
      </c>
      <c r="N771" t="s">
        <v>1130</v>
      </c>
      <c r="O771" s="1">
        <v>46293.813194444447</v>
      </c>
      <c r="P771" t="b">
        <v>0</v>
      </c>
      <c r="Q771" t="s">
        <v>1145</v>
      </c>
      <c r="R771" t="s">
        <v>1139</v>
      </c>
      <c r="S771" t="s">
        <v>1152</v>
      </c>
      <c r="T771" t="s">
        <v>1140</v>
      </c>
      <c r="U771" t="s">
        <v>1123</v>
      </c>
      <c r="V771" t="s">
        <v>1284</v>
      </c>
      <c r="W771" t="s">
        <v>1257</v>
      </c>
      <c r="X771">
        <v>19</v>
      </c>
      <c r="Y771" t="s">
        <v>1185</v>
      </c>
      <c r="Z771" t="s">
        <v>1147</v>
      </c>
      <c r="AA771">
        <v>0.8571428571428571</v>
      </c>
    </row>
    <row r="772" spans="1:27" x14ac:dyDescent="0.3">
      <c r="A772" t="s">
        <v>584</v>
      </c>
      <c r="B772" t="s">
        <v>1250</v>
      </c>
      <c r="C772" t="s">
        <v>1075</v>
      </c>
      <c r="D772" t="s">
        <v>1280</v>
      </c>
      <c r="E772" t="s">
        <v>1272</v>
      </c>
      <c r="F772" s="1">
        <v>46288.834027777782</v>
      </c>
      <c r="G772" s="1">
        <v>46288.838194444441</v>
      </c>
      <c r="H772">
        <v>3</v>
      </c>
      <c r="I772">
        <v>6</v>
      </c>
      <c r="J772" t="b">
        <v>0</v>
      </c>
      <c r="K772" t="b">
        <v>0</v>
      </c>
      <c r="L772" t="b">
        <v>0</v>
      </c>
      <c r="M772">
        <v>10</v>
      </c>
      <c r="N772" t="s">
        <v>1118</v>
      </c>
      <c r="O772" s="1">
        <v>46288.808333333327</v>
      </c>
      <c r="P772" t="b">
        <v>0</v>
      </c>
      <c r="Q772" t="s">
        <v>1179</v>
      </c>
      <c r="R772" t="s">
        <v>1120</v>
      </c>
      <c r="S772" t="s">
        <v>1157</v>
      </c>
      <c r="T772" t="s">
        <v>1122</v>
      </c>
      <c r="U772" t="s">
        <v>1172</v>
      </c>
      <c r="V772" t="s">
        <v>1151</v>
      </c>
      <c r="W772" t="s">
        <v>1257</v>
      </c>
      <c r="X772">
        <v>19</v>
      </c>
      <c r="Y772" t="s">
        <v>1161</v>
      </c>
      <c r="Z772" t="s">
        <v>1134</v>
      </c>
      <c r="AA772">
        <v>2</v>
      </c>
    </row>
    <row r="773" spans="1:27" x14ac:dyDescent="0.3">
      <c r="A773" t="s">
        <v>206</v>
      </c>
      <c r="B773" t="s">
        <v>1186</v>
      </c>
      <c r="C773" t="s">
        <v>1087</v>
      </c>
      <c r="D773" t="s">
        <v>1255</v>
      </c>
      <c r="E773" t="s">
        <v>1150</v>
      </c>
      <c r="F773" s="1">
        <v>46274.737500000003</v>
      </c>
      <c r="G773" s="1">
        <v>46274.741666666669</v>
      </c>
      <c r="H773">
        <v>4</v>
      </c>
      <c r="I773">
        <v>6</v>
      </c>
      <c r="J773" t="b">
        <v>0</v>
      </c>
      <c r="K773" t="b">
        <v>0</v>
      </c>
      <c r="L773" t="b">
        <v>0</v>
      </c>
      <c r="M773">
        <v>10</v>
      </c>
      <c r="N773" t="s">
        <v>1118</v>
      </c>
      <c r="O773" s="1">
        <v>46274.652083333327</v>
      </c>
      <c r="P773" t="b">
        <v>0</v>
      </c>
      <c r="Q773" t="s">
        <v>1151</v>
      </c>
      <c r="R773" t="s">
        <v>1131</v>
      </c>
      <c r="S773" t="s">
        <v>1121</v>
      </c>
      <c r="T773" t="s">
        <v>1145</v>
      </c>
      <c r="U773" t="s">
        <v>1247</v>
      </c>
      <c r="V773" t="s">
        <v>1141</v>
      </c>
      <c r="W773" t="s">
        <v>1257</v>
      </c>
      <c r="X773">
        <v>15</v>
      </c>
      <c r="Y773" t="s">
        <v>1161</v>
      </c>
      <c r="Z773" t="s">
        <v>1134</v>
      </c>
      <c r="AA773">
        <v>1.5</v>
      </c>
    </row>
    <row r="774" spans="1:27" x14ac:dyDescent="0.3">
      <c r="A774" t="s">
        <v>200</v>
      </c>
      <c r="B774" t="s">
        <v>1234</v>
      </c>
      <c r="C774" t="s">
        <v>1073</v>
      </c>
      <c r="D774" t="s">
        <v>1136</v>
      </c>
      <c r="E774" t="s">
        <v>1218</v>
      </c>
      <c r="F774" s="1">
        <v>46281.967361111107</v>
      </c>
      <c r="G774" s="1">
        <v>46281.97152777778</v>
      </c>
      <c r="H774">
        <v>1</v>
      </c>
      <c r="I774">
        <v>6</v>
      </c>
      <c r="J774" t="b">
        <v>0</v>
      </c>
      <c r="K774" t="b">
        <v>0</v>
      </c>
      <c r="L774" t="b">
        <v>0</v>
      </c>
      <c r="M774">
        <v>12</v>
      </c>
      <c r="N774" t="s">
        <v>1130</v>
      </c>
      <c r="P774" t="b">
        <v>0</v>
      </c>
      <c r="Q774" t="s">
        <v>1169</v>
      </c>
      <c r="R774" t="s">
        <v>1120</v>
      </c>
      <c r="S774" t="s">
        <v>1152</v>
      </c>
      <c r="T774" t="s">
        <v>1122</v>
      </c>
      <c r="U774" t="s">
        <v>1247</v>
      </c>
      <c r="V774" t="s">
        <v>1141</v>
      </c>
      <c r="W774" t="s">
        <v>1125</v>
      </c>
      <c r="Z774" t="s">
        <v>1127</v>
      </c>
      <c r="AA774">
        <v>6</v>
      </c>
    </row>
    <row r="775" spans="1:27" x14ac:dyDescent="0.3">
      <c r="A775" t="s">
        <v>618</v>
      </c>
      <c r="B775" t="s">
        <v>1443</v>
      </c>
      <c r="C775" t="s">
        <v>1076</v>
      </c>
      <c r="D775" t="s">
        <v>1339</v>
      </c>
      <c r="E775" t="s">
        <v>1299</v>
      </c>
      <c r="F775" s="1">
        <v>46288.142361111109</v>
      </c>
      <c r="G775" s="1">
        <v>46288.146527777782</v>
      </c>
      <c r="H775">
        <v>1</v>
      </c>
      <c r="I775">
        <v>6</v>
      </c>
      <c r="J775" t="b">
        <v>0</v>
      </c>
      <c r="K775" t="b">
        <v>0</v>
      </c>
      <c r="L775" t="b">
        <v>0</v>
      </c>
      <c r="M775">
        <v>5</v>
      </c>
      <c r="N775" t="s">
        <v>1168</v>
      </c>
      <c r="O775" s="1">
        <v>46288.077777777777</v>
      </c>
      <c r="P775" t="b">
        <v>0</v>
      </c>
      <c r="Q775" t="s">
        <v>1156</v>
      </c>
      <c r="R775" t="s">
        <v>1120</v>
      </c>
      <c r="S775" t="s">
        <v>1121</v>
      </c>
      <c r="T775" t="s">
        <v>1122</v>
      </c>
      <c r="U775" t="s">
        <v>1172</v>
      </c>
      <c r="V775" t="s">
        <v>1284</v>
      </c>
      <c r="W775" t="s">
        <v>1257</v>
      </c>
      <c r="X775">
        <v>1</v>
      </c>
      <c r="Y775" t="s">
        <v>1161</v>
      </c>
      <c r="Z775" t="s">
        <v>1147</v>
      </c>
      <c r="AA775">
        <v>6</v>
      </c>
    </row>
    <row r="776" spans="1:27" x14ac:dyDescent="0.3">
      <c r="A776" t="s">
        <v>616</v>
      </c>
      <c r="B776" t="s">
        <v>1381</v>
      </c>
      <c r="C776" t="s">
        <v>1069</v>
      </c>
      <c r="D776" t="s">
        <v>1280</v>
      </c>
      <c r="E776" t="s">
        <v>1317</v>
      </c>
      <c r="F776" s="1">
        <v>46291.214583333327</v>
      </c>
      <c r="G776" s="1">
        <v>46291.21875</v>
      </c>
      <c r="H776">
        <v>6</v>
      </c>
      <c r="I776">
        <v>6</v>
      </c>
      <c r="J776" t="b">
        <v>0</v>
      </c>
      <c r="K776" t="b">
        <v>0</v>
      </c>
      <c r="L776" t="b">
        <v>0</v>
      </c>
      <c r="M776">
        <v>3</v>
      </c>
      <c r="N776" t="s">
        <v>1130</v>
      </c>
      <c r="O776" s="1">
        <v>46291.114583333343</v>
      </c>
      <c r="P776" t="b">
        <v>0</v>
      </c>
      <c r="Q776" t="s">
        <v>1156</v>
      </c>
      <c r="R776" t="s">
        <v>1120</v>
      </c>
      <c r="S776" t="s">
        <v>1152</v>
      </c>
      <c r="T776" t="s">
        <v>1140</v>
      </c>
      <c r="U776" t="s">
        <v>1172</v>
      </c>
      <c r="V776" t="s">
        <v>1151</v>
      </c>
      <c r="W776" t="s">
        <v>1257</v>
      </c>
      <c r="X776">
        <v>2</v>
      </c>
      <c r="Y776" t="s">
        <v>1173</v>
      </c>
      <c r="Z776" t="s">
        <v>1147</v>
      </c>
      <c r="AA776">
        <v>1</v>
      </c>
    </row>
    <row r="777" spans="1:27" x14ac:dyDescent="0.3">
      <c r="A777" t="s">
        <v>801</v>
      </c>
      <c r="B777" t="s">
        <v>1378</v>
      </c>
      <c r="C777" t="s">
        <v>1061</v>
      </c>
      <c r="D777" t="s">
        <v>1238</v>
      </c>
      <c r="E777" t="s">
        <v>1261</v>
      </c>
      <c r="F777" s="1">
        <v>46293.249305555553</v>
      </c>
      <c r="G777" s="1">
        <v>46293.253472222219</v>
      </c>
      <c r="H777">
        <v>7</v>
      </c>
      <c r="I777">
        <v>6</v>
      </c>
      <c r="J777" t="b">
        <v>0</v>
      </c>
      <c r="K777" t="b">
        <v>0</v>
      </c>
      <c r="L777" t="b">
        <v>0</v>
      </c>
      <c r="M777">
        <v>5</v>
      </c>
      <c r="N777" t="s">
        <v>1118</v>
      </c>
      <c r="O777" s="1">
        <v>46293.17083333333</v>
      </c>
      <c r="P777" t="b">
        <v>0</v>
      </c>
      <c r="Q777" t="s">
        <v>1151</v>
      </c>
      <c r="R777" t="s">
        <v>1120</v>
      </c>
      <c r="S777" t="s">
        <v>1157</v>
      </c>
      <c r="T777" t="s">
        <v>1145</v>
      </c>
      <c r="U777" t="s">
        <v>1172</v>
      </c>
      <c r="V777" t="s">
        <v>1151</v>
      </c>
      <c r="W777" t="s">
        <v>1131</v>
      </c>
      <c r="X777">
        <v>4</v>
      </c>
      <c r="Y777" t="s">
        <v>1185</v>
      </c>
      <c r="Z777" t="s">
        <v>1147</v>
      </c>
      <c r="AA777">
        <v>0.8571428571428571</v>
      </c>
    </row>
    <row r="778" spans="1:27" x14ac:dyDescent="0.3">
      <c r="A778" t="s">
        <v>232</v>
      </c>
      <c r="B778" t="s">
        <v>1160</v>
      </c>
      <c r="C778" t="s">
        <v>1061</v>
      </c>
      <c r="D778" t="s">
        <v>1238</v>
      </c>
      <c r="E778" t="s">
        <v>1344</v>
      </c>
      <c r="F778" s="1">
        <v>46274.537499999999</v>
      </c>
      <c r="G778" s="1">
        <v>46274.541666666657</v>
      </c>
      <c r="H778">
        <v>3</v>
      </c>
      <c r="I778">
        <v>6</v>
      </c>
      <c r="J778" t="b">
        <v>0</v>
      </c>
      <c r="K778" t="b">
        <v>0</v>
      </c>
      <c r="L778" t="b">
        <v>0</v>
      </c>
      <c r="M778">
        <v>10</v>
      </c>
      <c r="N778" t="s">
        <v>1155</v>
      </c>
      <c r="O778" s="1">
        <v>46274.531944444447</v>
      </c>
      <c r="P778" t="b">
        <v>0</v>
      </c>
      <c r="Q778" t="s">
        <v>1156</v>
      </c>
      <c r="R778" t="s">
        <v>1131</v>
      </c>
      <c r="S778" t="s">
        <v>1132</v>
      </c>
      <c r="T778" t="s">
        <v>1145</v>
      </c>
      <c r="U778" t="s">
        <v>1172</v>
      </c>
      <c r="V778" t="s">
        <v>1151</v>
      </c>
      <c r="W778" t="s">
        <v>1131</v>
      </c>
      <c r="X778">
        <v>12</v>
      </c>
      <c r="Y778" t="s">
        <v>1161</v>
      </c>
      <c r="Z778" t="s">
        <v>1134</v>
      </c>
      <c r="AA778">
        <v>2</v>
      </c>
    </row>
    <row r="779" spans="1:27" x14ac:dyDescent="0.3">
      <c r="A779" t="s">
        <v>606</v>
      </c>
      <c r="B779" t="s">
        <v>1208</v>
      </c>
      <c r="C779" t="s">
        <v>1065</v>
      </c>
      <c r="D779" t="s">
        <v>1116</v>
      </c>
      <c r="E779" t="s">
        <v>1225</v>
      </c>
      <c r="F779" s="1">
        <v>46269.593055555553</v>
      </c>
      <c r="G779" s="1">
        <v>46269.597222222219</v>
      </c>
      <c r="H779">
        <v>3</v>
      </c>
      <c r="I779">
        <v>6</v>
      </c>
      <c r="J779" t="b">
        <v>0</v>
      </c>
      <c r="K779" t="b">
        <v>0</v>
      </c>
      <c r="L779" t="b">
        <v>0</v>
      </c>
      <c r="M779">
        <v>12</v>
      </c>
      <c r="N779" t="s">
        <v>1118</v>
      </c>
      <c r="O779" s="1">
        <v>46269.521527777782</v>
      </c>
      <c r="P779" t="b">
        <v>0</v>
      </c>
      <c r="Q779" t="s">
        <v>1151</v>
      </c>
      <c r="R779" t="s">
        <v>1120</v>
      </c>
      <c r="S779" t="s">
        <v>1152</v>
      </c>
      <c r="T779" t="s">
        <v>1180</v>
      </c>
      <c r="U779" t="s">
        <v>1247</v>
      </c>
      <c r="V779" t="s">
        <v>1124</v>
      </c>
      <c r="W779" t="s">
        <v>1125</v>
      </c>
      <c r="X779">
        <v>12</v>
      </c>
      <c r="Y779" t="s">
        <v>1142</v>
      </c>
      <c r="Z779" t="s">
        <v>1127</v>
      </c>
      <c r="AA779">
        <v>2</v>
      </c>
    </row>
    <row r="780" spans="1:27" x14ac:dyDescent="0.3">
      <c r="A780" t="s">
        <v>604</v>
      </c>
      <c r="B780" t="s">
        <v>1208</v>
      </c>
      <c r="C780" t="s">
        <v>1085</v>
      </c>
      <c r="D780" t="s">
        <v>1339</v>
      </c>
      <c r="E780" t="s">
        <v>1231</v>
      </c>
      <c r="F780" s="1">
        <v>46269.540972222218</v>
      </c>
      <c r="G780" s="1">
        <v>46269.545138888891</v>
      </c>
      <c r="H780">
        <v>5</v>
      </c>
      <c r="I780">
        <v>6</v>
      </c>
      <c r="J780" t="b">
        <v>0</v>
      </c>
      <c r="K780" t="b">
        <v>0</v>
      </c>
      <c r="L780" t="b">
        <v>0</v>
      </c>
      <c r="M780">
        <v>12</v>
      </c>
      <c r="N780" t="s">
        <v>1118</v>
      </c>
      <c r="O780" s="1">
        <v>46269.521527777782</v>
      </c>
      <c r="P780" t="b">
        <v>0</v>
      </c>
      <c r="Q780" t="s">
        <v>1169</v>
      </c>
      <c r="R780" t="s">
        <v>1131</v>
      </c>
      <c r="S780" t="s">
        <v>1152</v>
      </c>
      <c r="T780" t="s">
        <v>1122</v>
      </c>
      <c r="U780" t="s">
        <v>1247</v>
      </c>
      <c r="V780" t="s">
        <v>1284</v>
      </c>
      <c r="W780" t="s">
        <v>1257</v>
      </c>
      <c r="X780">
        <v>12</v>
      </c>
      <c r="Y780" t="s">
        <v>1142</v>
      </c>
      <c r="Z780" t="s">
        <v>1127</v>
      </c>
      <c r="AA780">
        <v>1.2</v>
      </c>
    </row>
    <row r="781" spans="1:27" x14ac:dyDescent="0.3">
      <c r="A781" t="s">
        <v>599</v>
      </c>
      <c r="B781" t="s">
        <v>1260</v>
      </c>
      <c r="C781" t="s">
        <v>1077</v>
      </c>
      <c r="D781" t="s">
        <v>1339</v>
      </c>
      <c r="E781" t="s">
        <v>1165</v>
      </c>
      <c r="F781" s="1">
        <v>46282.578472222223</v>
      </c>
      <c r="G781" s="1">
        <v>46282.582638888889</v>
      </c>
      <c r="H781">
        <v>2</v>
      </c>
      <c r="I781">
        <v>6</v>
      </c>
      <c r="J781" t="b">
        <v>0</v>
      </c>
      <c r="K781" t="b">
        <v>0</v>
      </c>
      <c r="L781" t="b">
        <v>0</v>
      </c>
      <c r="M781">
        <v>8</v>
      </c>
      <c r="N781" t="s">
        <v>1118</v>
      </c>
      <c r="O781" s="1">
        <v>46282.520833333343</v>
      </c>
      <c r="P781" t="b">
        <v>0</v>
      </c>
      <c r="Q781" t="s">
        <v>1138</v>
      </c>
      <c r="R781" t="s">
        <v>1120</v>
      </c>
      <c r="S781" t="s">
        <v>1152</v>
      </c>
      <c r="T781" t="s">
        <v>1122</v>
      </c>
      <c r="U781" t="s">
        <v>1172</v>
      </c>
      <c r="V781" t="s">
        <v>1284</v>
      </c>
      <c r="W781" t="s">
        <v>1257</v>
      </c>
      <c r="X781">
        <v>12</v>
      </c>
      <c r="Y781" t="s">
        <v>1146</v>
      </c>
      <c r="Z781" t="s">
        <v>1134</v>
      </c>
      <c r="AA781">
        <v>3</v>
      </c>
    </row>
    <row r="782" spans="1:27" x14ac:dyDescent="0.3">
      <c r="A782" t="s">
        <v>224</v>
      </c>
      <c r="B782" t="s">
        <v>1206</v>
      </c>
      <c r="C782" t="s">
        <v>1072</v>
      </c>
      <c r="D782" t="s">
        <v>1283</v>
      </c>
      <c r="E782" t="s">
        <v>1294</v>
      </c>
      <c r="F782" s="1">
        <v>46266.964583333327</v>
      </c>
      <c r="G782" s="1">
        <v>46266.96875</v>
      </c>
      <c r="H782">
        <v>3</v>
      </c>
      <c r="I782">
        <v>6</v>
      </c>
      <c r="J782" t="b">
        <v>0</v>
      </c>
      <c r="K782" t="b">
        <v>0</v>
      </c>
      <c r="L782" t="b">
        <v>0</v>
      </c>
      <c r="N782" t="s">
        <v>1130</v>
      </c>
      <c r="O782" s="1">
        <v>46266.843055555553</v>
      </c>
      <c r="P782" t="b">
        <v>1</v>
      </c>
      <c r="Q782" t="s">
        <v>1119</v>
      </c>
      <c r="R782" t="s">
        <v>1145</v>
      </c>
      <c r="S782" t="s">
        <v>1132</v>
      </c>
      <c r="T782" t="s">
        <v>1180</v>
      </c>
      <c r="U782" t="s">
        <v>1172</v>
      </c>
      <c r="V782" t="s">
        <v>1284</v>
      </c>
      <c r="W782" t="s">
        <v>1131</v>
      </c>
      <c r="X782">
        <v>20</v>
      </c>
      <c r="Y782" t="s">
        <v>1126</v>
      </c>
      <c r="AA782">
        <v>2</v>
      </c>
    </row>
    <row r="783" spans="1:27" x14ac:dyDescent="0.3">
      <c r="A783" t="s">
        <v>217</v>
      </c>
      <c r="B783" t="s">
        <v>1270</v>
      </c>
      <c r="C783" t="s">
        <v>1060</v>
      </c>
      <c r="D783" t="s">
        <v>1339</v>
      </c>
      <c r="E783" t="s">
        <v>1196</v>
      </c>
      <c r="F783" s="1">
        <v>46270.070138888892</v>
      </c>
      <c r="G783" s="1">
        <v>46270.074305555558</v>
      </c>
      <c r="H783">
        <v>5</v>
      </c>
      <c r="I783">
        <v>6</v>
      </c>
      <c r="J783" t="b">
        <v>0</v>
      </c>
      <c r="K783" t="b">
        <v>0</v>
      </c>
      <c r="L783" t="b">
        <v>0</v>
      </c>
      <c r="M783">
        <v>5</v>
      </c>
      <c r="N783" t="s">
        <v>1130</v>
      </c>
      <c r="P783" t="b">
        <v>0</v>
      </c>
      <c r="Q783" t="s">
        <v>1138</v>
      </c>
      <c r="R783" t="s">
        <v>1120</v>
      </c>
      <c r="S783" t="s">
        <v>1121</v>
      </c>
      <c r="T783" t="s">
        <v>1140</v>
      </c>
      <c r="U783" t="s">
        <v>1145</v>
      </c>
      <c r="V783" t="s">
        <v>1284</v>
      </c>
      <c r="W783" t="s">
        <v>1257</v>
      </c>
      <c r="Z783" t="s">
        <v>1147</v>
      </c>
      <c r="AA783">
        <v>1.2</v>
      </c>
    </row>
    <row r="784" spans="1:27" x14ac:dyDescent="0.3">
      <c r="A784" t="s">
        <v>808</v>
      </c>
      <c r="B784" t="s">
        <v>1372</v>
      </c>
      <c r="C784" t="s">
        <v>1081</v>
      </c>
      <c r="D784" t="s">
        <v>1339</v>
      </c>
      <c r="E784" t="s">
        <v>1163</v>
      </c>
      <c r="F784" s="1">
        <v>46282.176388888889</v>
      </c>
      <c r="G784" s="1">
        <v>46282.180555555547</v>
      </c>
      <c r="H784">
        <v>3</v>
      </c>
      <c r="I784">
        <v>6</v>
      </c>
      <c r="J784" t="b">
        <v>0</v>
      </c>
      <c r="K784" t="b">
        <v>0</v>
      </c>
      <c r="L784" t="b">
        <v>0</v>
      </c>
      <c r="M784">
        <v>4</v>
      </c>
      <c r="N784" t="s">
        <v>1118</v>
      </c>
      <c r="O784" s="1">
        <v>46282.068055555559</v>
      </c>
      <c r="P784" t="b">
        <v>0</v>
      </c>
      <c r="Q784" t="s">
        <v>1119</v>
      </c>
      <c r="R784" t="s">
        <v>1131</v>
      </c>
      <c r="S784" t="s">
        <v>1132</v>
      </c>
      <c r="T784" t="s">
        <v>1180</v>
      </c>
      <c r="U784" t="s">
        <v>1247</v>
      </c>
      <c r="V784" t="s">
        <v>1284</v>
      </c>
      <c r="W784" t="s">
        <v>1257</v>
      </c>
      <c r="X784">
        <v>1</v>
      </c>
      <c r="Y784" t="s">
        <v>1146</v>
      </c>
      <c r="Z784" t="s">
        <v>1147</v>
      </c>
      <c r="AA784">
        <v>2</v>
      </c>
    </row>
    <row r="785" spans="1:27" x14ac:dyDescent="0.3">
      <c r="A785" t="s">
        <v>76</v>
      </c>
      <c r="B785" t="s">
        <v>1293</v>
      </c>
      <c r="C785" t="s">
        <v>1078</v>
      </c>
      <c r="D785" t="s">
        <v>1149</v>
      </c>
      <c r="E785" t="s">
        <v>1332</v>
      </c>
      <c r="F785" s="1">
        <v>46276.95208333333</v>
      </c>
      <c r="G785" s="1">
        <v>46276.956250000003</v>
      </c>
      <c r="H785">
        <v>5</v>
      </c>
      <c r="I785">
        <v>6</v>
      </c>
      <c r="J785" t="b">
        <v>0</v>
      </c>
      <c r="K785" t="b">
        <v>0</v>
      </c>
      <c r="L785" t="b">
        <v>0</v>
      </c>
      <c r="M785">
        <v>4</v>
      </c>
      <c r="N785" t="s">
        <v>1130</v>
      </c>
      <c r="O785" s="1">
        <v>46276.865972222222</v>
      </c>
      <c r="P785" t="b">
        <v>0</v>
      </c>
      <c r="Q785" t="s">
        <v>1179</v>
      </c>
      <c r="R785" t="s">
        <v>1120</v>
      </c>
      <c r="S785" t="s">
        <v>1132</v>
      </c>
      <c r="T785" t="s">
        <v>1145</v>
      </c>
      <c r="U785" t="s">
        <v>1172</v>
      </c>
      <c r="V785" t="s">
        <v>1152</v>
      </c>
      <c r="W785" t="s">
        <v>1145</v>
      </c>
      <c r="X785">
        <v>20</v>
      </c>
      <c r="Y785" t="s">
        <v>1142</v>
      </c>
      <c r="Z785" t="s">
        <v>1147</v>
      </c>
      <c r="AA785">
        <v>1.2</v>
      </c>
    </row>
    <row r="786" spans="1:27" x14ac:dyDescent="0.3">
      <c r="A786" t="s">
        <v>1016</v>
      </c>
      <c r="B786" t="s">
        <v>1300</v>
      </c>
      <c r="C786" t="s">
        <v>1084</v>
      </c>
      <c r="D786" t="s">
        <v>1280</v>
      </c>
      <c r="E786" t="s">
        <v>1219</v>
      </c>
      <c r="F786" s="1">
        <v>46269.85</v>
      </c>
      <c r="G786" s="1">
        <v>46269.854166666657</v>
      </c>
      <c r="H786">
        <v>6</v>
      </c>
      <c r="I786">
        <v>6</v>
      </c>
      <c r="J786" t="b">
        <v>0</v>
      </c>
      <c r="K786" t="b">
        <v>0</v>
      </c>
      <c r="L786" t="b">
        <v>0</v>
      </c>
      <c r="M786">
        <v>8</v>
      </c>
      <c r="N786" t="s">
        <v>1155</v>
      </c>
      <c r="O786" s="1">
        <v>46269.727083333331</v>
      </c>
      <c r="P786" t="b">
        <v>0</v>
      </c>
      <c r="Q786" t="s">
        <v>1145</v>
      </c>
      <c r="R786" t="s">
        <v>1120</v>
      </c>
      <c r="S786" t="s">
        <v>1121</v>
      </c>
      <c r="T786" t="s">
        <v>1122</v>
      </c>
      <c r="U786" t="s">
        <v>1247</v>
      </c>
      <c r="V786" t="s">
        <v>1151</v>
      </c>
      <c r="W786" t="s">
        <v>1257</v>
      </c>
      <c r="X786">
        <v>17</v>
      </c>
      <c r="Y786" t="s">
        <v>1142</v>
      </c>
      <c r="Z786" t="s">
        <v>1134</v>
      </c>
      <c r="AA786">
        <v>1</v>
      </c>
    </row>
    <row r="787" spans="1:27" x14ac:dyDescent="0.3">
      <c r="A787" t="s">
        <v>1012</v>
      </c>
      <c r="B787" t="s">
        <v>1396</v>
      </c>
      <c r="C787" t="s">
        <v>1071</v>
      </c>
      <c r="D787" t="s">
        <v>1339</v>
      </c>
      <c r="E787" t="s">
        <v>1237</v>
      </c>
      <c r="F787" s="1">
        <v>46279.384027777778</v>
      </c>
      <c r="G787" s="1">
        <v>46279.388194444437</v>
      </c>
      <c r="H787">
        <v>4</v>
      </c>
      <c r="I787">
        <v>6</v>
      </c>
      <c r="J787" t="b">
        <v>0</v>
      </c>
      <c r="K787" t="b">
        <v>0</v>
      </c>
      <c r="L787" t="b">
        <v>0</v>
      </c>
      <c r="M787">
        <v>8</v>
      </c>
      <c r="N787" t="s">
        <v>1118</v>
      </c>
      <c r="O787" s="1">
        <v>46279.265277777777</v>
      </c>
      <c r="P787" t="b">
        <v>0</v>
      </c>
      <c r="Q787" t="s">
        <v>1151</v>
      </c>
      <c r="R787" t="s">
        <v>1120</v>
      </c>
      <c r="S787" t="s">
        <v>1152</v>
      </c>
      <c r="T787" t="s">
        <v>1122</v>
      </c>
      <c r="U787" t="s">
        <v>1145</v>
      </c>
      <c r="V787" t="s">
        <v>1284</v>
      </c>
      <c r="W787" t="s">
        <v>1257</v>
      </c>
      <c r="X787">
        <v>6</v>
      </c>
      <c r="Y787" t="s">
        <v>1185</v>
      </c>
      <c r="Z787" t="s">
        <v>1134</v>
      </c>
      <c r="AA787">
        <v>1.5</v>
      </c>
    </row>
    <row r="788" spans="1:27" x14ac:dyDescent="0.3">
      <c r="A788" t="s">
        <v>1031</v>
      </c>
      <c r="B788" t="s">
        <v>1224</v>
      </c>
      <c r="C788" t="s">
        <v>1069</v>
      </c>
      <c r="D788" t="s">
        <v>1238</v>
      </c>
      <c r="E788" t="s">
        <v>1379</v>
      </c>
      <c r="F788" s="1">
        <v>46274.78402777778</v>
      </c>
      <c r="G788" s="1">
        <v>46274.788194444453</v>
      </c>
      <c r="H788">
        <v>1</v>
      </c>
      <c r="I788">
        <v>6</v>
      </c>
      <c r="J788" t="b">
        <v>0</v>
      </c>
      <c r="K788" t="b">
        <v>0</v>
      </c>
      <c r="L788" t="b">
        <v>0</v>
      </c>
      <c r="M788">
        <v>10</v>
      </c>
      <c r="N788" t="s">
        <v>1130</v>
      </c>
      <c r="O788" s="1">
        <v>46274.694444444453</v>
      </c>
      <c r="P788" t="b">
        <v>0</v>
      </c>
      <c r="Q788" t="s">
        <v>1179</v>
      </c>
      <c r="R788" t="s">
        <v>1120</v>
      </c>
      <c r="S788" t="s">
        <v>1145</v>
      </c>
      <c r="T788" t="s">
        <v>1140</v>
      </c>
      <c r="U788" t="s">
        <v>1172</v>
      </c>
      <c r="V788" t="s">
        <v>1151</v>
      </c>
      <c r="W788" t="s">
        <v>1131</v>
      </c>
      <c r="X788">
        <v>16</v>
      </c>
      <c r="Y788" t="s">
        <v>1161</v>
      </c>
      <c r="Z788" t="s">
        <v>1134</v>
      </c>
      <c r="AA788">
        <v>6</v>
      </c>
    </row>
    <row r="789" spans="1:27" x14ac:dyDescent="0.3">
      <c r="A789" t="s">
        <v>1023</v>
      </c>
      <c r="B789" t="s">
        <v>1222</v>
      </c>
      <c r="C789" t="s">
        <v>1088</v>
      </c>
      <c r="D789" t="s">
        <v>1280</v>
      </c>
      <c r="E789" t="s">
        <v>1230</v>
      </c>
      <c r="F789" s="1">
        <v>46274.074305555558</v>
      </c>
      <c r="G789" s="1">
        <v>46274.078472222223</v>
      </c>
      <c r="H789">
        <v>1</v>
      </c>
      <c r="I789">
        <v>6</v>
      </c>
      <c r="J789" t="b">
        <v>0</v>
      </c>
      <c r="K789" t="b">
        <v>0</v>
      </c>
      <c r="L789" t="b">
        <v>0</v>
      </c>
      <c r="M789">
        <v>6</v>
      </c>
      <c r="N789" t="s">
        <v>1168</v>
      </c>
      <c r="O789" s="1">
        <v>46274.064583333333</v>
      </c>
      <c r="P789" t="b">
        <v>0</v>
      </c>
      <c r="Q789" t="s">
        <v>1145</v>
      </c>
      <c r="R789" t="s">
        <v>1120</v>
      </c>
      <c r="S789" t="s">
        <v>1157</v>
      </c>
      <c r="T789" t="s">
        <v>1140</v>
      </c>
      <c r="U789" t="s">
        <v>1123</v>
      </c>
      <c r="V789" t="s">
        <v>1151</v>
      </c>
      <c r="W789" t="s">
        <v>1257</v>
      </c>
      <c r="X789">
        <v>1</v>
      </c>
      <c r="Y789" t="s">
        <v>1161</v>
      </c>
      <c r="Z789" t="s">
        <v>1134</v>
      </c>
      <c r="AA789">
        <v>6</v>
      </c>
    </row>
    <row r="790" spans="1:27" x14ac:dyDescent="0.3">
      <c r="A790" t="s">
        <v>1022</v>
      </c>
      <c r="B790" t="s">
        <v>1222</v>
      </c>
      <c r="C790" t="s">
        <v>1081</v>
      </c>
      <c r="D790" t="s">
        <v>1280</v>
      </c>
      <c r="E790" t="s">
        <v>1187</v>
      </c>
      <c r="F790" s="1">
        <v>46274.136111111111</v>
      </c>
      <c r="G790" s="1">
        <v>46274.140277777777</v>
      </c>
      <c r="H790">
        <v>3</v>
      </c>
      <c r="I790">
        <v>6</v>
      </c>
      <c r="J790" t="b">
        <v>0</v>
      </c>
      <c r="K790" t="b">
        <v>0</v>
      </c>
      <c r="L790" t="b">
        <v>0</v>
      </c>
      <c r="M790">
        <v>6</v>
      </c>
      <c r="N790" t="s">
        <v>1168</v>
      </c>
      <c r="O790" s="1">
        <v>46274.064583333333</v>
      </c>
      <c r="P790" t="b">
        <v>0</v>
      </c>
      <c r="Q790" t="s">
        <v>1156</v>
      </c>
      <c r="R790" t="s">
        <v>1131</v>
      </c>
      <c r="S790" t="s">
        <v>1132</v>
      </c>
      <c r="T790" t="s">
        <v>1180</v>
      </c>
      <c r="U790" t="s">
        <v>1247</v>
      </c>
      <c r="V790" t="s">
        <v>1151</v>
      </c>
      <c r="W790" t="s">
        <v>1257</v>
      </c>
      <c r="X790">
        <v>1</v>
      </c>
      <c r="Y790" t="s">
        <v>1161</v>
      </c>
      <c r="Z790" t="s">
        <v>1134</v>
      </c>
      <c r="AA790">
        <v>2</v>
      </c>
    </row>
    <row r="791" spans="1:27" x14ac:dyDescent="0.3">
      <c r="A791" t="s">
        <v>61</v>
      </c>
      <c r="B791" t="s">
        <v>1471</v>
      </c>
      <c r="C791" t="s">
        <v>1080</v>
      </c>
      <c r="D791" t="s">
        <v>1280</v>
      </c>
      <c r="E791" t="s">
        <v>1228</v>
      </c>
      <c r="F791" s="1">
        <v>46294.087500000001</v>
      </c>
      <c r="G791" s="1">
        <v>46294.091666666667</v>
      </c>
      <c r="H791">
        <v>7</v>
      </c>
      <c r="I791">
        <v>6</v>
      </c>
      <c r="J791" t="b">
        <v>0</v>
      </c>
      <c r="K791" t="b">
        <v>0</v>
      </c>
      <c r="L791" t="b">
        <v>0</v>
      </c>
      <c r="M791">
        <v>15</v>
      </c>
      <c r="N791" t="s">
        <v>1118</v>
      </c>
      <c r="O791" s="1">
        <v>46293.995138888888</v>
      </c>
      <c r="P791" t="b">
        <v>0</v>
      </c>
      <c r="Q791" t="s">
        <v>1179</v>
      </c>
      <c r="R791" t="s">
        <v>1145</v>
      </c>
      <c r="S791" t="s">
        <v>1157</v>
      </c>
      <c r="T791" t="s">
        <v>1122</v>
      </c>
      <c r="U791" t="s">
        <v>1247</v>
      </c>
      <c r="V791" t="s">
        <v>1151</v>
      </c>
      <c r="W791" t="s">
        <v>1257</v>
      </c>
      <c r="X791">
        <v>23</v>
      </c>
      <c r="Y791" t="s">
        <v>1185</v>
      </c>
      <c r="Z791" t="s">
        <v>1127</v>
      </c>
      <c r="AA791">
        <v>0.8571428571428571</v>
      </c>
    </row>
    <row r="792" spans="1:27" x14ac:dyDescent="0.3">
      <c r="A792" t="s">
        <v>57</v>
      </c>
      <c r="B792" t="s">
        <v>1153</v>
      </c>
      <c r="C792" t="s">
        <v>1066</v>
      </c>
      <c r="D792" t="s">
        <v>1283</v>
      </c>
      <c r="E792" t="s">
        <v>1207</v>
      </c>
      <c r="F792" s="1">
        <v>46280.240277777782</v>
      </c>
      <c r="G792" s="1">
        <v>46280.244444444441</v>
      </c>
      <c r="H792">
        <v>7</v>
      </c>
      <c r="I792">
        <v>6</v>
      </c>
      <c r="J792" t="b">
        <v>0</v>
      </c>
      <c r="K792" t="b">
        <v>0</v>
      </c>
      <c r="L792" t="b">
        <v>0</v>
      </c>
      <c r="M792">
        <v>10</v>
      </c>
      <c r="N792" t="s">
        <v>1155</v>
      </c>
      <c r="O792" s="1">
        <v>46280.222916666673</v>
      </c>
      <c r="P792" t="b">
        <v>0</v>
      </c>
      <c r="Q792" t="s">
        <v>1179</v>
      </c>
      <c r="R792" t="s">
        <v>1131</v>
      </c>
      <c r="S792" t="s">
        <v>1157</v>
      </c>
      <c r="T792" t="s">
        <v>1122</v>
      </c>
      <c r="U792" t="s">
        <v>1247</v>
      </c>
      <c r="V792" t="s">
        <v>1284</v>
      </c>
      <c r="W792" t="s">
        <v>1131</v>
      </c>
      <c r="X792">
        <v>5</v>
      </c>
      <c r="Y792" t="s">
        <v>1126</v>
      </c>
      <c r="Z792" t="s">
        <v>1134</v>
      </c>
      <c r="AA792">
        <v>0.8571428571428571</v>
      </c>
    </row>
    <row r="793" spans="1:27" x14ac:dyDescent="0.3">
      <c r="A793" t="s">
        <v>59</v>
      </c>
      <c r="B793" t="s">
        <v>1153</v>
      </c>
      <c r="C793" t="s">
        <v>1069</v>
      </c>
      <c r="D793" t="s">
        <v>1339</v>
      </c>
      <c r="E793" t="s">
        <v>1332</v>
      </c>
      <c r="F793" s="1">
        <v>46280.318055555559</v>
      </c>
      <c r="G793" s="1">
        <v>46280.321527777778</v>
      </c>
      <c r="H793">
        <v>2</v>
      </c>
      <c r="I793">
        <v>5</v>
      </c>
      <c r="J793" t="b">
        <v>0</v>
      </c>
      <c r="K793" t="b">
        <v>0</v>
      </c>
      <c r="L793" t="b">
        <v>0</v>
      </c>
      <c r="M793">
        <v>10</v>
      </c>
      <c r="N793" t="s">
        <v>1155</v>
      </c>
      <c r="O793" s="1">
        <v>46280.222916666673</v>
      </c>
      <c r="P793" t="b">
        <v>0</v>
      </c>
      <c r="Q793" t="s">
        <v>1179</v>
      </c>
      <c r="R793" t="s">
        <v>1120</v>
      </c>
      <c r="S793" t="s">
        <v>1132</v>
      </c>
      <c r="T793" t="s">
        <v>1140</v>
      </c>
      <c r="U793" t="s">
        <v>1172</v>
      </c>
      <c r="V793" t="s">
        <v>1284</v>
      </c>
      <c r="W793" t="s">
        <v>1257</v>
      </c>
      <c r="X793">
        <v>5</v>
      </c>
      <c r="Y793" t="s">
        <v>1126</v>
      </c>
      <c r="Z793" t="s">
        <v>1134</v>
      </c>
      <c r="AA793">
        <v>2.5</v>
      </c>
    </row>
    <row r="794" spans="1:27" x14ac:dyDescent="0.3">
      <c r="A794" t="s">
        <v>1025</v>
      </c>
      <c r="B794" t="s">
        <v>1222</v>
      </c>
      <c r="C794" t="s">
        <v>1067</v>
      </c>
      <c r="D794" t="s">
        <v>1280</v>
      </c>
      <c r="E794" t="s">
        <v>1294</v>
      </c>
      <c r="F794" s="1">
        <v>46274.165972222218</v>
      </c>
      <c r="G794" s="1">
        <v>46274.169444444437</v>
      </c>
      <c r="H794">
        <v>7</v>
      </c>
      <c r="I794">
        <v>5</v>
      </c>
      <c r="J794" t="b">
        <v>0</v>
      </c>
      <c r="K794" t="b">
        <v>0</v>
      </c>
      <c r="L794" t="b">
        <v>0</v>
      </c>
      <c r="M794">
        <v>6</v>
      </c>
      <c r="N794" t="s">
        <v>1168</v>
      </c>
      <c r="O794" s="1">
        <v>46274.064583333333</v>
      </c>
      <c r="P794" t="b">
        <v>0</v>
      </c>
      <c r="Q794" t="s">
        <v>1119</v>
      </c>
      <c r="R794" t="s">
        <v>1145</v>
      </c>
      <c r="S794" t="s">
        <v>1132</v>
      </c>
      <c r="T794" t="s">
        <v>1180</v>
      </c>
      <c r="U794" t="s">
        <v>1247</v>
      </c>
      <c r="V794" t="s">
        <v>1151</v>
      </c>
      <c r="W794" t="s">
        <v>1257</v>
      </c>
      <c r="X794">
        <v>1</v>
      </c>
      <c r="Y794" t="s">
        <v>1161</v>
      </c>
      <c r="Z794" t="s">
        <v>1134</v>
      </c>
      <c r="AA794">
        <v>0.7142857142857143</v>
      </c>
    </row>
    <row r="795" spans="1:27" x14ac:dyDescent="0.3">
      <c r="A795" t="s">
        <v>1041</v>
      </c>
      <c r="B795" t="s">
        <v>1482</v>
      </c>
      <c r="C795" t="s">
        <v>1069</v>
      </c>
      <c r="D795" t="s">
        <v>1255</v>
      </c>
      <c r="E795" t="s">
        <v>1198</v>
      </c>
      <c r="F795" s="1">
        <v>46279.546527777777</v>
      </c>
      <c r="G795" s="1">
        <v>46279.55</v>
      </c>
      <c r="H795">
        <v>5</v>
      </c>
      <c r="I795">
        <v>5</v>
      </c>
      <c r="J795" t="b">
        <v>0</v>
      </c>
      <c r="K795" t="b">
        <v>0</v>
      </c>
      <c r="L795" t="b">
        <v>0</v>
      </c>
      <c r="M795">
        <v>4</v>
      </c>
      <c r="N795" t="s">
        <v>1118</v>
      </c>
      <c r="O795" s="1">
        <v>46279.438888888893</v>
      </c>
      <c r="P795" t="b">
        <v>0</v>
      </c>
      <c r="Q795" t="s">
        <v>1169</v>
      </c>
      <c r="R795" t="s">
        <v>1131</v>
      </c>
      <c r="S795" t="s">
        <v>1145</v>
      </c>
      <c r="T795" t="s">
        <v>1140</v>
      </c>
      <c r="U795" t="s">
        <v>1172</v>
      </c>
      <c r="V795" t="s">
        <v>1141</v>
      </c>
      <c r="W795" t="s">
        <v>1257</v>
      </c>
      <c r="X795">
        <v>10</v>
      </c>
      <c r="Y795" t="s">
        <v>1185</v>
      </c>
      <c r="Z795" t="s">
        <v>1147</v>
      </c>
      <c r="AA795">
        <v>1</v>
      </c>
    </row>
    <row r="796" spans="1:27" x14ac:dyDescent="0.3">
      <c r="A796" t="s">
        <v>1038</v>
      </c>
      <c r="B796" t="s">
        <v>1483</v>
      </c>
      <c r="C796" t="s">
        <v>1072</v>
      </c>
      <c r="D796" t="s">
        <v>1283</v>
      </c>
      <c r="E796" t="s">
        <v>1295</v>
      </c>
      <c r="F796" s="1">
        <v>46271.759027777778</v>
      </c>
      <c r="G796" s="1">
        <v>46271.762499999997</v>
      </c>
      <c r="H796">
        <v>3</v>
      </c>
      <c r="I796">
        <v>5</v>
      </c>
      <c r="J796" t="b">
        <v>0</v>
      </c>
      <c r="K796" t="b">
        <v>0</v>
      </c>
      <c r="L796" t="b">
        <v>0</v>
      </c>
      <c r="M796">
        <v>1</v>
      </c>
      <c r="N796" t="s">
        <v>1130</v>
      </c>
      <c r="O796" s="1">
        <v>46271.684027777781</v>
      </c>
      <c r="P796" t="b">
        <v>0</v>
      </c>
      <c r="Q796" t="s">
        <v>1151</v>
      </c>
      <c r="R796" t="s">
        <v>1120</v>
      </c>
      <c r="S796" t="s">
        <v>1145</v>
      </c>
      <c r="T796" t="s">
        <v>1180</v>
      </c>
      <c r="U796" t="s">
        <v>1172</v>
      </c>
      <c r="V796" t="s">
        <v>1284</v>
      </c>
      <c r="W796" t="s">
        <v>1131</v>
      </c>
      <c r="X796">
        <v>16</v>
      </c>
      <c r="Y796" t="s">
        <v>1133</v>
      </c>
      <c r="Z796" t="s">
        <v>1147</v>
      </c>
      <c r="AA796">
        <v>1.666666666666667</v>
      </c>
    </row>
    <row r="797" spans="1:27" x14ac:dyDescent="0.3">
      <c r="A797" t="s">
        <v>1021</v>
      </c>
      <c r="B797" t="s">
        <v>1300</v>
      </c>
      <c r="C797" t="s">
        <v>1058</v>
      </c>
      <c r="D797" t="s">
        <v>1280</v>
      </c>
      <c r="E797" t="s">
        <v>1187</v>
      </c>
      <c r="F797" s="1">
        <v>46269.745138888888</v>
      </c>
      <c r="G797" s="1">
        <v>46269.748611111107</v>
      </c>
      <c r="H797">
        <v>2</v>
      </c>
      <c r="I797">
        <v>5</v>
      </c>
      <c r="J797" t="b">
        <v>0</v>
      </c>
      <c r="K797" t="b">
        <v>0</v>
      </c>
      <c r="L797" t="b">
        <v>0</v>
      </c>
      <c r="M797">
        <v>8</v>
      </c>
      <c r="N797" t="s">
        <v>1155</v>
      </c>
      <c r="O797" s="1">
        <v>46269.727083333331</v>
      </c>
      <c r="P797" t="b">
        <v>0</v>
      </c>
      <c r="Q797" t="s">
        <v>1156</v>
      </c>
      <c r="R797" t="s">
        <v>1131</v>
      </c>
      <c r="S797" t="s">
        <v>1132</v>
      </c>
      <c r="T797" t="s">
        <v>1122</v>
      </c>
      <c r="U797" t="s">
        <v>1145</v>
      </c>
      <c r="V797" t="s">
        <v>1151</v>
      </c>
      <c r="W797" t="s">
        <v>1257</v>
      </c>
      <c r="X797">
        <v>17</v>
      </c>
      <c r="Y797" t="s">
        <v>1142</v>
      </c>
      <c r="Z797" t="s">
        <v>1134</v>
      </c>
      <c r="AA797">
        <v>2.5</v>
      </c>
    </row>
    <row r="798" spans="1:27" x14ac:dyDescent="0.3">
      <c r="A798" t="s">
        <v>214</v>
      </c>
      <c r="B798" t="s">
        <v>1407</v>
      </c>
      <c r="C798" t="s">
        <v>1067</v>
      </c>
      <c r="D798" t="s">
        <v>1255</v>
      </c>
      <c r="E798" t="s">
        <v>1249</v>
      </c>
      <c r="F798" s="1">
        <v>46280.056944444441</v>
      </c>
      <c r="G798" s="1">
        <v>46280.060416666667</v>
      </c>
      <c r="H798">
        <v>2</v>
      </c>
      <c r="I798">
        <v>5</v>
      </c>
      <c r="J798" t="b">
        <v>0</v>
      </c>
      <c r="K798" t="b">
        <v>0</v>
      </c>
      <c r="L798" t="b">
        <v>0</v>
      </c>
      <c r="M798">
        <v>15</v>
      </c>
      <c r="N798" t="s">
        <v>1130</v>
      </c>
      <c r="O798" s="1">
        <v>46279.98541666667</v>
      </c>
      <c r="P798" t="b">
        <v>0</v>
      </c>
      <c r="Q798" t="s">
        <v>1169</v>
      </c>
      <c r="R798" t="s">
        <v>1131</v>
      </c>
      <c r="S798" t="s">
        <v>1157</v>
      </c>
      <c r="T798" t="s">
        <v>1180</v>
      </c>
      <c r="U798" t="s">
        <v>1247</v>
      </c>
      <c r="V798" t="s">
        <v>1141</v>
      </c>
      <c r="W798" t="s">
        <v>1257</v>
      </c>
      <c r="X798">
        <v>23</v>
      </c>
      <c r="Y798" t="s">
        <v>1185</v>
      </c>
      <c r="Z798" t="s">
        <v>1127</v>
      </c>
      <c r="AA798">
        <v>2.5</v>
      </c>
    </row>
    <row r="799" spans="1:27" x14ac:dyDescent="0.3">
      <c r="A799" t="s">
        <v>805</v>
      </c>
      <c r="B799" t="s">
        <v>1378</v>
      </c>
      <c r="C799" t="s">
        <v>1070</v>
      </c>
      <c r="D799" t="s">
        <v>1283</v>
      </c>
      <c r="E799" t="s">
        <v>1189</v>
      </c>
      <c r="F799" s="1">
        <v>46293.211805555547</v>
      </c>
      <c r="G799" s="1">
        <v>46293.215277777781</v>
      </c>
      <c r="H799">
        <v>2</v>
      </c>
      <c r="I799">
        <v>5</v>
      </c>
      <c r="J799" t="b">
        <v>0</v>
      </c>
      <c r="K799" t="b">
        <v>0</v>
      </c>
      <c r="L799" t="b">
        <v>0</v>
      </c>
      <c r="M799">
        <v>5</v>
      </c>
      <c r="N799" t="s">
        <v>1118</v>
      </c>
      <c r="O799" s="1">
        <v>46293.17083333333</v>
      </c>
      <c r="P799" t="b">
        <v>0</v>
      </c>
      <c r="Q799" t="s">
        <v>1138</v>
      </c>
      <c r="R799" t="s">
        <v>1131</v>
      </c>
      <c r="S799" t="s">
        <v>1152</v>
      </c>
      <c r="T799" t="s">
        <v>1180</v>
      </c>
      <c r="U799" t="s">
        <v>1145</v>
      </c>
      <c r="V799" t="s">
        <v>1284</v>
      </c>
      <c r="W799" t="s">
        <v>1131</v>
      </c>
      <c r="X799">
        <v>4</v>
      </c>
      <c r="Y799" t="s">
        <v>1185</v>
      </c>
      <c r="Z799" t="s">
        <v>1147</v>
      </c>
      <c r="AA799">
        <v>2.5</v>
      </c>
    </row>
    <row r="800" spans="1:27" x14ac:dyDescent="0.3">
      <c r="A800" t="s">
        <v>804</v>
      </c>
      <c r="B800" t="s">
        <v>1378</v>
      </c>
      <c r="C800" t="s">
        <v>1079</v>
      </c>
      <c r="D800" t="s">
        <v>1283</v>
      </c>
      <c r="E800" t="s">
        <v>1235</v>
      </c>
      <c r="F800" s="1">
        <v>46293.229166666657</v>
      </c>
      <c r="G800" s="1">
        <v>46293.232638888891</v>
      </c>
      <c r="H800">
        <v>2</v>
      </c>
      <c r="I800">
        <v>5</v>
      </c>
      <c r="J800" t="b">
        <v>0</v>
      </c>
      <c r="K800" t="b">
        <v>0</v>
      </c>
      <c r="L800" t="b">
        <v>0</v>
      </c>
      <c r="M800">
        <v>5</v>
      </c>
      <c r="N800" t="s">
        <v>1118</v>
      </c>
      <c r="O800" s="1">
        <v>46293.17083333333</v>
      </c>
      <c r="P800" t="b">
        <v>0</v>
      </c>
      <c r="Q800" t="s">
        <v>1151</v>
      </c>
      <c r="R800" t="s">
        <v>1131</v>
      </c>
      <c r="S800" t="s">
        <v>1152</v>
      </c>
      <c r="T800" t="s">
        <v>1145</v>
      </c>
      <c r="U800" t="s">
        <v>1123</v>
      </c>
      <c r="V800" t="s">
        <v>1284</v>
      </c>
      <c r="W800" t="s">
        <v>1131</v>
      </c>
      <c r="X800">
        <v>4</v>
      </c>
      <c r="Y800" t="s">
        <v>1185</v>
      </c>
      <c r="Z800" t="s">
        <v>1147</v>
      </c>
      <c r="AA800">
        <v>2.5</v>
      </c>
    </row>
    <row r="801" spans="1:27" x14ac:dyDescent="0.3">
      <c r="A801" t="s">
        <v>67</v>
      </c>
      <c r="B801" t="s">
        <v>1471</v>
      </c>
      <c r="C801" t="s">
        <v>1063</v>
      </c>
      <c r="D801" t="s">
        <v>1255</v>
      </c>
      <c r="E801" t="s">
        <v>1294</v>
      </c>
      <c r="F801" s="1">
        <v>46294.061111111107</v>
      </c>
      <c r="G801" s="1">
        <v>46294.064583333333</v>
      </c>
      <c r="H801">
        <v>1</v>
      </c>
      <c r="I801">
        <v>5</v>
      </c>
      <c r="J801" t="b">
        <v>0</v>
      </c>
      <c r="K801" t="b">
        <v>0</v>
      </c>
      <c r="L801" t="b">
        <v>0</v>
      </c>
      <c r="M801">
        <v>15</v>
      </c>
      <c r="N801" t="s">
        <v>1118</v>
      </c>
      <c r="O801" s="1">
        <v>46293.995138888888</v>
      </c>
      <c r="P801" t="b">
        <v>0</v>
      </c>
      <c r="Q801" t="s">
        <v>1119</v>
      </c>
      <c r="R801" t="s">
        <v>1145</v>
      </c>
      <c r="S801" t="s">
        <v>1132</v>
      </c>
      <c r="T801" t="s">
        <v>1122</v>
      </c>
      <c r="U801" t="s">
        <v>1172</v>
      </c>
      <c r="V801" t="s">
        <v>1141</v>
      </c>
      <c r="W801" t="s">
        <v>1257</v>
      </c>
      <c r="X801">
        <v>23</v>
      </c>
      <c r="Y801" t="s">
        <v>1185</v>
      </c>
      <c r="Z801" t="s">
        <v>1127</v>
      </c>
      <c r="AA801">
        <v>5</v>
      </c>
    </row>
    <row r="802" spans="1:27" x14ac:dyDescent="0.3">
      <c r="A802" t="s">
        <v>69</v>
      </c>
      <c r="B802" t="s">
        <v>1484</v>
      </c>
      <c r="C802" t="s">
        <v>1076</v>
      </c>
      <c r="D802" t="s">
        <v>1283</v>
      </c>
      <c r="E802" t="s">
        <v>1272</v>
      </c>
      <c r="F802" s="1">
        <v>46269.844444444447</v>
      </c>
      <c r="G802" s="1">
        <v>46269.847916666673</v>
      </c>
      <c r="H802">
        <v>1</v>
      </c>
      <c r="I802">
        <v>5</v>
      </c>
      <c r="J802" t="b">
        <v>0</v>
      </c>
      <c r="K802" t="b">
        <v>0</v>
      </c>
      <c r="L802" t="b">
        <v>0</v>
      </c>
      <c r="M802">
        <v>4</v>
      </c>
      <c r="N802" t="s">
        <v>1155</v>
      </c>
      <c r="O802" s="1">
        <v>46269.8</v>
      </c>
      <c r="P802" t="b">
        <v>0</v>
      </c>
      <c r="Q802" t="s">
        <v>1179</v>
      </c>
      <c r="R802" t="s">
        <v>1120</v>
      </c>
      <c r="S802" t="s">
        <v>1157</v>
      </c>
      <c r="T802" t="s">
        <v>1122</v>
      </c>
      <c r="U802" t="s">
        <v>1172</v>
      </c>
      <c r="V802" t="s">
        <v>1284</v>
      </c>
      <c r="W802" t="s">
        <v>1131</v>
      </c>
      <c r="X802">
        <v>19</v>
      </c>
      <c r="Y802" t="s">
        <v>1142</v>
      </c>
      <c r="Z802" t="s">
        <v>1147</v>
      </c>
      <c r="AA802">
        <v>5</v>
      </c>
    </row>
    <row r="803" spans="1:27" x14ac:dyDescent="0.3">
      <c r="A803" t="s">
        <v>66</v>
      </c>
      <c r="B803" t="s">
        <v>1471</v>
      </c>
      <c r="C803" t="s">
        <v>1066</v>
      </c>
      <c r="D803" t="s">
        <v>1283</v>
      </c>
      <c r="E803" t="s">
        <v>1237</v>
      </c>
      <c r="F803" s="1">
        <v>46294.011805555558</v>
      </c>
      <c r="G803" s="1">
        <v>46294.015277777777</v>
      </c>
      <c r="H803">
        <v>3</v>
      </c>
      <c r="I803">
        <v>5</v>
      </c>
      <c r="J803" t="b">
        <v>0</v>
      </c>
      <c r="K803" t="b">
        <v>0</v>
      </c>
      <c r="L803" t="b">
        <v>0</v>
      </c>
      <c r="M803">
        <v>15</v>
      </c>
      <c r="N803" t="s">
        <v>1118</v>
      </c>
      <c r="O803" s="1">
        <v>46293.995138888888</v>
      </c>
      <c r="P803" t="b">
        <v>0</v>
      </c>
      <c r="Q803" t="s">
        <v>1151</v>
      </c>
      <c r="R803" t="s">
        <v>1120</v>
      </c>
      <c r="S803" t="s">
        <v>1152</v>
      </c>
      <c r="T803" t="s">
        <v>1122</v>
      </c>
      <c r="U803" t="s">
        <v>1247</v>
      </c>
      <c r="V803" t="s">
        <v>1284</v>
      </c>
      <c r="W803" t="s">
        <v>1131</v>
      </c>
      <c r="X803">
        <v>23</v>
      </c>
      <c r="Y803" t="s">
        <v>1185</v>
      </c>
      <c r="Z803" t="s">
        <v>1127</v>
      </c>
      <c r="AA803">
        <v>1.666666666666667</v>
      </c>
    </row>
    <row r="804" spans="1:27" x14ac:dyDescent="0.3">
      <c r="A804" t="s">
        <v>1013</v>
      </c>
      <c r="B804" t="s">
        <v>1396</v>
      </c>
      <c r="C804" t="s">
        <v>1070</v>
      </c>
      <c r="D804" t="s">
        <v>1238</v>
      </c>
      <c r="E804" t="s">
        <v>1356</v>
      </c>
      <c r="F804" s="1">
        <v>46279.388888888891</v>
      </c>
      <c r="G804" s="1">
        <v>46279.392361111109</v>
      </c>
      <c r="H804">
        <v>1</v>
      </c>
      <c r="I804">
        <v>5</v>
      </c>
      <c r="J804" t="b">
        <v>0</v>
      </c>
      <c r="K804" t="b">
        <v>0</v>
      </c>
      <c r="L804" t="b">
        <v>0</v>
      </c>
      <c r="M804">
        <v>8</v>
      </c>
      <c r="N804" t="s">
        <v>1118</v>
      </c>
      <c r="O804" s="1">
        <v>46279.265277777777</v>
      </c>
      <c r="P804" t="b">
        <v>0</v>
      </c>
      <c r="Q804" t="s">
        <v>1145</v>
      </c>
      <c r="R804" t="s">
        <v>1120</v>
      </c>
      <c r="S804" t="s">
        <v>1132</v>
      </c>
      <c r="T804" t="s">
        <v>1180</v>
      </c>
      <c r="U804" t="s">
        <v>1145</v>
      </c>
      <c r="V804" t="s">
        <v>1151</v>
      </c>
      <c r="W804" t="s">
        <v>1131</v>
      </c>
      <c r="X804">
        <v>6</v>
      </c>
      <c r="Y804" t="s">
        <v>1185</v>
      </c>
      <c r="Z804" t="s">
        <v>1134</v>
      </c>
      <c r="AA804">
        <v>5</v>
      </c>
    </row>
    <row r="805" spans="1:27" x14ac:dyDescent="0.3">
      <c r="A805" t="s">
        <v>73</v>
      </c>
      <c r="B805" t="s">
        <v>1211</v>
      </c>
      <c r="C805" t="s">
        <v>1085</v>
      </c>
      <c r="D805" t="s">
        <v>1149</v>
      </c>
      <c r="E805" t="s">
        <v>1358</v>
      </c>
      <c r="F805" s="1">
        <v>46284.574305555558</v>
      </c>
      <c r="G805" s="1">
        <v>46284.577777777777</v>
      </c>
      <c r="H805">
        <v>3</v>
      </c>
      <c r="I805">
        <v>5</v>
      </c>
      <c r="J805" t="b">
        <v>0</v>
      </c>
      <c r="K805" t="b">
        <v>0</v>
      </c>
      <c r="L805" t="b">
        <v>0</v>
      </c>
      <c r="M805">
        <v>15</v>
      </c>
      <c r="N805" t="s">
        <v>1168</v>
      </c>
      <c r="O805" s="1">
        <v>46284.525694444441</v>
      </c>
      <c r="P805" t="b">
        <v>0</v>
      </c>
      <c r="Q805" t="s">
        <v>1145</v>
      </c>
      <c r="R805" t="s">
        <v>1131</v>
      </c>
      <c r="S805" t="s">
        <v>1152</v>
      </c>
      <c r="T805" t="s">
        <v>1122</v>
      </c>
      <c r="U805" t="s">
        <v>1247</v>
      </c>
      <c r="V805" t="s">
        <v>1152</v>
      </c>
      <c r="W805" t="s">
        <v>1145</v>
      </c>
      <c r="X805">
        <v>12</v>
      </c>
      <c r="Y805" t="s">
        <v>1173</v>
      </c>
      <c r="Z805" t="s">
        <v>1127</v>
      </c>
      <c r="AA805">
        <v>1.666666666666667</v>
      </c>
    </row>
    <row r="806" spans="1:27" x14ac:dyDescent="0.3">
      <c r="A806" t="s">
        <v>816</v>
      </c>
      <c r="B806" t="s">
        <v>1322</v>
      </c>
      <c r="C806" t="s">
        <v>1066</v>
      </c>
      <c r="D806" t="s">
        <v>1280</v>
      </c>
      <c r="E806" t="s">
        <v>1230</v>
      </c>
      <c r="F806" s="1">
        <v>46292.162499999999</v>
      </c>
      <c r="G806" s="1">
        <v>46292.165972222218</v>
      </c>
      <c r="H806">
        <v>6</v>
      </c>
      <c r="I806">
        <v>5</v>
      </c>
      <c r="J806" t="b">
        <v>0</v>
      </c>
      <c r="K806" t="b">
        <v>0</v>
      </c>
      <c r="L806" t="b">
        <v>0</v>
      </c>
      <c r="M806">
        <v>6</v>
      </c>
      <c r="N806" t="s">
        <v>1130</v>
      </c>
      <c r="O806" s="1">
        <v>46292.150694444441</v>
      </c>
      <c r="P806" t="b">
        <v>0</v>
      </c>
      <c r="Q806" t="s">
        <v>1145</v>
      </c>
      <c r="R806" t="s">
        <v>1120</v>
      </c>
      <c r="S806" t="s">
        <v>1157</v>
      </c>
      <c r="T806" t="s">
        <v>1122</v>
      </c>
      <c r="U806" t="s">
        <v>1247</v>
      </c>
      <c r="V806" t="s">
        <v>1151</v>
      </c>
      <c r="W806" t="s">
        <v>1257</v>
      </c>
      <c r="X806">
        <v>3</v>
      </c>
      <c r="Y806" t="s">
        <v>1133</v>
      </c>
      <c r="Z806" t="s">
        <v>1134</v>
      </c>
      <c r="AA806">
        <v>0.83333333333333337</v>
      </c>
    </row>
    <row r="807" spans="1:27" x14ac:dyDescent="0.3">
      <c r="A807" t="s">
        <v>822</v>
      </c>
      <c r="B807" t="s">
        <v>1148</v>
      </c>
      <c r="C807" t="s">
        <v>1083</v>
      </c>
      <c r="D807" t="s">
        <v>1283</v>
      </c>
      <c r="E807" t="s">
        <v>1344</v>
      </c>
      <c r="F807" s="1">
        <v>46275.152777777781</v>
      </c>
      <c r="G807" s="1">
        <v>46275.15625</v>
      </c>
      <c r="H807">
        <v>3</v>
      </c>
      <c r="I807">
        <v>5</v>
      </c>
      <c r="J807" t="b">
        <v>0</v>
      </c>
      <c r="K807" t="b">
        <v>0</v>
      </c>
      <c r="L807" t="b">
        <v>0</v>
      </c>
      <c r="M807">
        <v>10</v>
      </c>
      <c r="N807" t="s">
        <v>1118</v>
      </c>
      <c r="O807" s="1">
        <v>46275.054861111108</v>
      </c>
      <c r="P807" t="b">
        <v>0</v>
      </c>
      <c r="Q807" t="s">
        <v>1156</v>
      </c>
      <c r="R807" t="s">
        <v>1131</v>
      </c>
      <c r="S807" t="s">
        <v>1132</v>
      </c>
      <c r="T807" t="s">
        <v>1180</v>
      </c>
      <c r="U807" t="s">
        <v>1123</v>
      </c>
      <c r="V807" t="s">
        <v>1284</v>
      </c>
      <c r="W807" t="s">
        <v>1131</v>
      </c>
      <c r="X807">
        <v>1</v>
      </c>
      <c r="Y807" t="s">
        <v>1146</v>
      </c>
      <c r="Z807" t="s">
        <v>1134</v>
      </c>
      <c r="AA807">
        <v>1.666666666666667</v>
      </c>
    </row>
    <row r="808" spans="1:27" x14ac:dyDescent="0.3">
      <c r="A808" t="s">
        <v>590</v>
      </c>
      <c r="B808" t="s">
        <v>1405</v>
      </c>
      <c r="C808" t="s">
        <v>1071</v>
      </c>
      <c r="D808" t="s">
        <v>1283</v>
      </c>
      <c r="E808" t="s">
        <v>1137</v>
      </c>
      <c r="F808" s="1">
        <v>46277.505555555559</v>
      </c>
      <c r="G808" s="1">
        <v>46277.509027777778</v>
      </c>
      <c r="H808">
        <v>3</v>
      </c>
      <c r="I808">
        <v>5</v>
      </c>
      <c r="J808" t="b">
        <v>0</v>
      </c>
      <c r="K808" t="b">
        <v>0</v>
      </c>
      <c r="L808" t="b">
        <v>0</v>
      </c>
      <c r="M808">
        <v>5</v>
      </c>
      <c r="N808" t="s">
        <v>1118</v>
      </c>
      <c r="O808" s="1">
        <v>46277.40902777778</v>
      </c>
      <c r="P808" t="b">
        <v>0</v>
      </c>
      <c r="Q808" t="s">
        <v>1138</v>
      </c>
      <c r="R808" t="s">
        <v>1139</v>
      </c>
      <c r="S808" t="s">
        <v>1132</v>
      </c>
      <c r="T808" t="s">
        <v>1122</v>
      </c>
      <c r="U808" t="s">
        <v>1145</v>
      </c>
      <c r="V808" t="s">
        <v>1284</v>
      </c>
      <c r="W808" t="s">
        <v>1131</v>
      </c>
      <c r="X808">
        <v>9</v>
      </c>
      <c r="Y808" t="s">
        <v>1173</v>
      </c>
      <c r="Z808" t="s">
        <v>1147</v>
      </c>
      <c r="AA808">
        <v>1.666666666666667</v>
      </c>
    </row>
    <row r="809" spans="1:27" x14ac:dyDescent="0.3">
      <c r="A809" t="s">
        <v>622</v>
      </c>
      <c r="B809" t="s">
        <v>1402</v>
      </c>
      <c r="C809" t="s">
        <v>1057</v>
      </c>
      <c r="D809" t="s">
        <v>1339</v>
      </c>
      <c r="E809" t="s">
        <v>1261</v>
      </c>
      <c r="F809" s="1">
        <v>46289.056250000001</v>
      </c>
      <c r="G809" s="1">
        <v>46289.05972222222</v>
      </c>
      <c r="H809">
        <v>5</v>
      </c>
      <c r="I809">
        <v>5</v>
      </c>
      <c r="J809" t="b">
        <v>0</v>
      </c>
      <c r="K809" t="b">
        <v>0</v>
      </c>
      <c r="L809" t="b">
        <v>0</v>
      </c>
      <c r="M809">
        <v>12</v>
      </c>
      <c r="N809" t="s">
        <v>1118</v>
      </c>
      <c r="O809" s="1">
        <v>46289.047222222223</v>
      </c>
      <c r="P809" t="b">
        <v>0</v>
      </c>
      <c r="Q809" t="s">
        <v>1151</v>
      </c>
      <c r="R809" t="s">
        <v>1120</v>
      </c>
      <c r="S809" t="s">
        <v>1157</v>
      </c>
      <c r="T809" t="s">
        <v>1122</v>
      </c>
      <c r="U809" t="s">
        <v>1172</v>
      </c>
      <c r="V809" t="s">
        <v>1284</v>
      </c>
      <c r="W809" t="s">
        <v>1257</v>
      </c>
      <c r="X809">
        <v>1</v>
      </c>
      <c r="Y809" t="s">
        <v>1146</v>
      </c>
      <c r="Z809" t="s">
        <v>1127</v>
      </c>
      <c r="AA809">
        <v>1</v>
      </c>
    </row>
    <row r="810" spans="1:27" x14ac:dyDescent="0.3">
      <c r="A810" t="s">
        <v>624</v>
      </c>
      <c r="B810" t="s">
        <v>1402</v>
      </c>
      <c r="C810" t="s">
        <v>1078</v>
      </c>
      <c r="D810" t="s">
        <v>1280</v>
      </c>
      <c r="E810" t="s">
        <v>1198</v>
      </c>
      <c r="F810" s="1">
        <v>46289.131944444453</v>
      </c>
      <c r="G810" s="1">
        <v>46289.135416666657</v>
      </c>
      <c r="H810">
        <v>1</v>
      </c>
      <c r="I810">
        <v>5</v>
      </c>
      <c r="J810" t="b">
        <v>0</v>
      </c>
      <c r="K810" t="b">
        <v>0</v>
      </c>
      <c r="L810" t="b">
        <v>0</v>
      </c>
      <c r="M810">
        <v>12</v>
      </c>
      <c r="N810" t="s">
        <v>1118</v>
      </c>
      <c r="O810" s="1">
        <v>46289.047222222223</v>
      </c>
      <c r="P810" t="b">
        <v>0</v>
      </c>
      <c r="Q810" t="s">
        <v>1169</v>
      </c>
      <c r="R810" t="s">
        <v>1131</v>
      </c>
      <c r="S810" t="s">
        <v>1145</v>
      </c>
      <c r="T810" t="s">
        <v>1145</v>
      </c>
      <c r="U810" t="s">
        <v>1172</v>
      </c>
      <c r="V810" t="s">
        <v>1151</v>
      </c>
      <c r="W810" t="s">
        <v>1257</v>
      </c>
      <c r="X810">
        <v>1</v>
      </c>
      <c r="Y810" t="s">
        <v>1146</v>
      </c>
      <c r="Z810" t="s">
        <v>1127</v>
      </c>
      <c r="AA810">
        <v>5</v>
      </c>
    </row>
    <row r="811" spans="1:27" x14ac:dyDescent="0.3">
      <c r="A811" t="s">
        <v>586</v>
      </c>
      <c r="B811" t="s">
        <v>1446</v>
      </c>
      <c r="C811" t="s">
        <v>1067</v>
      </c>
      <c r="D811" t="s">
        <v>1280</v>
      </c>
      <c r="E811" t="s">
        <v>1317</v>
      </c>
      <c r="F811" s="1">
        <v>46278.431250000001</v>
      </c>
      <c r="G811" s="1">
        <v>46278.43472222222</v>
      </c>
      <c r="H811">
        <v>4</v>
      </c>
      <c r="I811">
        <v>5</v>
      </c>
      <c r="J811" t="b">
        <v>0</v>
      </c>
      <c r="K811" t="b">
        <v>0</v>
      </c>
      <c r="L811" t="b">
        <v>0</v>
      </c>
      <c r="M811">
        <v>4</v>
      </c>
      <c r="N811" t="s">
        <v>1130</v>
      </c>
      <c r="O811" s="1">
        <v>46278.368055555547</v>
      </c>
      <c r="P811" t="b">
        <v>0</v>
      </c>
      <c r="Q811" t="s">
        <v>1156</v>
      </c>
      <c r="R811" t="s">
        <v>1120</v>
      </c>
      <c r="S811" t="s">
        <v>1152</v>
      </c>
      <c r="T811" t="s">
        <v>1180</v>
      </c>
      <c r="U811" t="s">
        <v>1247</v>
      </c>
      <c r="V811" t="s">
        <v>1151</v>
      </c>
      <c r="W811" t="s">
        <v>1257</v>
      </c>
      <c r="X811">
        <v>8</v>
      </c>
      <c r="Y811" t="s">
        <v>1133</v>
      </c>
      <c r="Z811" t="s">
        <v>1147</v>
      </c>
      <c r="AA811">
        <v>1.25</v>
      </c>
    </row>
    <row r="812" spans="1:27" x14ac:dyDescent="0.3">
      <c r="A812" t="s">
        <v>798</v>
      </c>
      <c r="B812" t="s">
        <v>1318</v>
      </c>
      <c r="C812" t="s">
        <v>1058</v>
      </c>
      <c r="D812" t="s">
        <v>1280</v>
      </c>
      <c r="E812" t="s">
        <v>1207</v>
      </c>
      <c r="F812" s="1">
        <v>46293.845833333333</v>
      </c>
      <c r="G812" s="1">
        <v>46293.849305555559</v>
      </c>
      <c r="H812">
        <v>3</v>
      </c>
      <c r="I812">
        <v>5</v>
      </c>
      <c r="J812" t="b">
        <v>0</v>
      </c>
      <c r="K812" t="b">
        <v>0</v>
      </c>
      <c r="L812" t="b">
        <v>0</v>
      </c>
      <c r="M812">
        <v>8</v>
      </c>
      <c r="N812" t="s">
        <v>1130</v>
      </c>
      <c r="O812" s="1">
        <v>46293.824999999997</v>
      </c>
      <c r="P812" t="b">
        <v>0</v>
      </c>
      <c r="Q812" t="s">
        <v>1179</v>
      </c>
      <c r="R812" t="s">
        <v>1131</v>
      </c>
      <c r="S812" t="s">
        <v>1157</v>
      </c>
      <c r="T812" t="s">
        <v>1122</v>
      </c>
      <c r="U812" t="s">
        <v>1145</v>
      </c>
      <c r="V812" t="s">
        <v>1151</v>
      </c>
      <c r="W812" t="s">
        <v>1257</v>
      </c>
      <c r="X812">
        <v>19</v>
      </c>
      <c r="Y812" t="s">
        <v>1185</v>
      </c>
      <c r="Z812" t="s">
        <v>1134</v>
      </c>
      <c r="AA812">
        <v>1.666666666666667</v>
      </c>
    </row>
    <row r="813" spans="1:27" x14ac:dyDescent="0.3">
      <c r="A813" t="s">
        <v>221</v>
      </c>
      <c r="B813" t="s">
        <v>1206</v>
      </c>
      <c r="C813" t="s">
        <v>1086</v>
      </c>
      <c r="D813" t="s">
        <v>1283</v>
      </c>
      <c r="E813" t="s">
        <v>1200</v>
      </c>
      <c r="F813" s="1">
        <v>46266.875694444447</v>
      </c>
      <c r="G813" s="1">
        <v>46266.879166666673</v>
      </c>
      <c r="H813">
        <v>2</v>
      </c>
      <c r="I813">
        <v>5</v>
      </c>
      <c r="J813" t="b">
        <v>0</v>
      </c>
      <c r="K813" t="b">
        <v>0</v>
      </c>
      <c r="L813" t="b">
        <v>0</v>
      </c>
      <c r="N813" t="s">
        <v>1130</v>
      </c>
      <c r="O813" s="1">
        <v>46266.843055555553</v>
      </c>
      <c r="P813" t="b">
        <v>1</v>
      </c>
      <c r="Q813" t="s">
        <v>1156</v>
      </c>
      <c r="R813" t="s">
        <v>1139</v>
      </c>
      <c r="S813" t="s">
        <v>1132</v>
      </c>
      <c r="T813" t="s">
        <v>1122</v>
      </c>
      <c r="U813" t="s">
        <v>1145</v>
      </c>
      <c r="V813" t="s">
        <v>1284</v>
      </c>
      <c r="W813" t="s">
        <v>1131</v>
      </c>
      <c r="X813">
        <v>20</v>
      </c>
      <c r="Y813" t="s">
        <v>1126</v>
      </c>
      <c r="AA813">
        <v>2.5</v>
      </c>
    </row>
    <row r="814" spans="1:27" x14ac:dyDescent="0.3">
      <c r="A814" t="s">
        <v>581</v>
      </c>
      <c r="B814" t="s">
        <v>1250</v>
      </c>
      <c r="C814" t="s">
        <v>1081</v>
      </c>
      <c r="D814" t="s">
        <v>1339</v>
      </c>
      <c r="E814" t="s">
        <v>1167</v>
      </c>
      <c r="F814" s="1">
        <v>46288.829861111109</v>
      </c>
      <c r="G814" s="1">
        <v>46288.833333333343</v>
      </c>
      <c r="H814">
        <v>5</v>
      </c>
      <c r="I814">
        <v>5</v>
      </c>
      <c r="J814" t="b">
        <v>0</v>
      </c>
      <c r="K814" t="b">
        <v>0</v>
      </c>
      <c r="L814" t="b">
        <v>0</v>
      </c>
      <c r="M814">
        <v>10</v>
      </c>
      <c r="N814" t="s">
        <v>1118</v>
      </c>
      <c r="O814" s="1">
        <v>46288.808333333327</v>
      </c>
      <c r="P814" t="b">
        <v>0</v>
      </c>
      <c r="Q814" t="s">
        <v>1169</v>
      </c>
      <c r="R814" t="s">
        <v>1131</v>
      </c>
      <c r="S814" t="s">
        <v>1157</v>
      </c>
      <c r="T814" t="s">
        <v>1180</v>
      </c>
      <c r="U814" t="s">
        <v>1247</v>
      </c>
      <c r="V814" t="s">
        <v>1284</v>
      </c>
      <c r="W814" t="s">
        <v>1257</v>
      </c>
      <c r="X814">
        <v>19</v>
      </c>
      <c r="Y814" t="s">
        <v>1161</v>
      </c>
      <c r="Z814" t="s">
        <v>1134</v>
      </c>
      <c r="AA814">
        <v>1</v>
      </c>
    </row>
    <row r="815" spans="1:27" x14ac:dyDescent="0.3">
      <c r="A815" t="s">
        <v>335</v>
      </c>
      <c r="B815" t="s">
        <v>1195</v>
      </c>
      <c r="C815" t="s">
        <v>1068</v>
      </c>
      <c r="D815" t="s">
        <v>1280</v>
      </c>
      <c r="E815" t="s">
        <v>1182</v>
      </c>
      <c r="F815" s="1">
        <v>46290.42083333333</v>
      </c>
      <c r="G815" s="1">
        <v>46290.424305555563</v>
      </c>
      <c r="H815">
        <v>1</v>
      </c>
      <c r="I815">
        <v>5</v>
      </c>
      <c r="J815" t="b">
        <v>0</v>
      </c>
      <c r="K815" t="b">
        <v>0</v>
      </c>
      <c r="L815" t="b">
        <v>0</v>
      </c>
      <c r="M815">
        <v>20</v>
      </c>
      <c r="N815" t="s">
        <v>1130</v>
      </c>
      <c r="O815" s="1">
        <v>46290.347916666673</v>
      </c>
      <c r="P815" t="b">
        <v>0</v>
      </c>
      <c r="Q815" t="s">
        <v>1119</v>
      </c>
      <c r="R815" t="s">
        <v>1131</v>
      </c>
      <c r="S815" t="s">
        <v>1121</v>
      </c>
      <c r="T815" t="s">
        <v>1122</v>
      </c>
      <c r="U815" t="s">
        <v>1123</v>
      </c>
      <c r="V815" t="s">
        <v>1151</v>
      </c>
      <c r="W815" t="s">
        <v>1257</v>
      </c>
      <c r="X815">
        <v>8</v>
      </c>
      <c r="Y815" t="s">
        <v>1142</v>
      </c>
      <c r="Z815" t="s">
        <v>1127</v>
      </c>
      <c r="AA815">
        <v>5</v>
      </c>
    </row>
    <row r="816" spans="1:27" x14ac:dyDescent="0.3">
      <c r="A816" t="s">
        <v>852</v>
      </c>
      <c r="B816" t="s">
        <v>1355</v>
      </c>
      <c r="C816" t="s">
        <v>1084</v>
      </c>
      <c r="D816" t="s">
        <v>1280</v>
      </c>
      <c r="E816" t="s">
        <v>1292</v>
      </c>
      <c r="F816" s="1">
        <v>46285.047222222223</v>
      </c>
      <c r="G816" s="1">
        <v>46285.050694444442</v>
      </c>
      <c r="H816">
        <v>5</v>
      </c>
      <c r="I816">
        <v>5</v>
      </c>
      <c r="J816" t="b">
        <v>0</v>
      </c>
      <c r="K816" t="b">
        <v>0</v>
      </c>
      <c r="L816" t="b">
        <v>0</v>
      </c>
      <c r="M816">
        <v>8</v>
      </c>
      <c r="N816" t="s">
        <v>1168</v>
      </c>
      <c r="O816" s="1">
        <v>46284.948611111111</v>
      </c>
      <c r="P816" t="b">
        <v>0</v>
      </c>
      <c r="Q816" t="s">
        <v>1179</v>
      </c>
      <c r="R816" t="s">
        <v>1131</v>
      </c>
      <c r="S816" t="s">
        <v>1152</v>
      </c>
      <c r="T816" t="s">
        <v>1122</v>
      </c>
      <c r="U816" t="s">
        <v>1247</v>
      </c>
      <c r="V816" t="s">
        <v>1151</v>
      </c>
      <c r="W816" t="s">
        <v>1257</v>
      </c>
      <c r="X816">
        <v>22</v>
      </c>
      <c r="Y816" t="s">
        <v>1173</v>
      </c>
      <c r="Z816" t="s">
        <v>1134</v>
      </c>
      <c r="AA816">
        <v>1</v>
      </c>
    </row>
    <row r="817" spans="1:27" x14ac:dyDescent="0.3">
      <c r="A817" t="s">
        <v>835</v>
      </c>
      <c r="B817" t="s">
        <v>1193</v>
      </c>
      <c r="C817" t="s">
        <v>1081</v>
      </c>
      <c r="D817" t="s">
        <v>1280</v>
      </c>
      <c r="E817" t="s">
        <v>1228</v>
      </c>
      <c r="F817" s="1">
        <v>46283.582638888889</v>
      </c>
      <c r="G817" s="1">
        <v>46283.586111111108</v>
      </c>
      <c r="H817">
        <v>5</v>
      </c>
      <c r="I817">
        <v>5</v>
      </c>
      <c r="J817" t="b">
        <v>0</v>
      </c>
      <c r="K817" t="b">
        <v>0</v>
      </c>
      <c r="L817" t="b">
        <v>0</v>
      </c>
      <c r="M817">
        <v>6</v>
      </c>
      <c r="N817" t="s">
        <v>1155</v>
      </c>
      <c r="O817" s="1">
        <v>46283.459027777782</v>
      </c>
      <c r="P817" t="b">
        <v>0</v>
      </c>
      <c r="Q817" t="s">
        <v>1179</v>
      </c>
      <c r="R817" t="s">
        <v>1145</v>
      </c>
      <c r="S817" t="s">
        <v>1157</v>
      </c>
      <c r="T817" t="s">
        <v>1180</v>
      </c>
      <c r="U817" t="s">
        <v>1247</v>
      </c>
      <c r="V817" t="s">
        <v>1151</v>
      </c>
      <c r="W817" t="s">
        <v>1257</v>
      </c>
      <c r="X817">
        <v>11</v>
      </c>
      <c r="Y817" t="s">
        <v>1142</v>
      </c>
      <c r="Z817" t="s">
        <v>1134</v>
      </c>
      <c r="AA817">
        <v>1</v>
      </c>
    </row>
    <row r="818" spans="1:27" x14ac:dyDescent="0.3">
      <c r="A818" t="s">
        <v>824</v>
      </c>
      <c r="B818" t="s">
        <v>1485</v>
      </c>
      <c r="C818" t="s">
        <v>1071</v>
      </c>
      <c r="D818" t="s">
        <v>1283</v>
      </c>
      <c r="E818" t="s">
        <v>1253</v>
      </c>
      <c r="F818" s="1">
        <v>46283.751388888893</v>
      </c>
      <c r="G818" s="1">
        <v>46283.754861111112</v>
      </c>
      <c r="H818">
        <v>3</v>
      </c>
      <c r="I818">
        <v>5</v>
      </c>
      <c r="J818" t="b">
        <v>0</v>
      </c>
      <c r="K818" t="b">
        <v>0</v>
      </c>
      <c r="L818" t="b">
        <v>0</v>
      </c>
      <c r="M818">
        <v>1</v>
      </c>
      <c r="N818" t="s">
        <v>1130</v>
      </c>
      <c r="O818" s="1">
        <v>46283.652777777781</v>
      </c>
      <c r="P818" t="b">
        <v>0</v>
      </c>
      <c r="Q818" t="s">
        <v>1156</v>
      </c>
      <c r="R818" t="s">
        <v>1139</v>
      </c>
      <c r="S818" t="s">
        <v>1121</v>
      </c>
      <c r="T818" t="s">
        <v>1122</v>
      </c>
      <c r="U818" t="s">
        <v>1145</v>
      </c>
      <c r="V818" t="s">
        <v>1284</v>
      </c>
      <c r="W818" t="s">
        <v>1131</v>
      </c>
      <c r="X818">
        <v>15</v>
      </c>
      <c r="Y818" t="s">
        <v>1142</v>
      </c>
      <c r="Z818" t="s">
        <v>1147</v>
      </c>
      <c r="AA818">
        <v>1.666666666666667</v>
      </c>
    </row>
    <row r="819" spans="1:27" x14ac:dyDescent="0.3">
      <c r="A819" t="s">
        <v>334</v>
      </c>
      <c r="B819" t="s">
        <v>1195</v>
      </c>
      <c r="C819" t="s">
        <v>1086</v>
      </c>
      <c r="D819" t="s">
        <v>1283</v>
      </c>
      <c r="E819" t="s">
        <v>1233</v>
      </c>
      <c r="F819" s="1">
        <v>46290.414583333331</v>
      </c>
      <c r="G819" s="1">
        <v>46290.418055555558</v>
      </c>
      <c r="H819">
        <v>5</v>
      </c>
      <c r="I819">
        <v>5</v>
      </c>
      <c r="J819" t="b">
        <v>0</v>
      </c>
      <c r="K819" t="b">
        <v>0</v>
      </c>
      <c r="L819" t="b">
        <v>0</v>
      </c>
      <c r="M819">
        <v>20</v>
      </c>
      <c r="N819" t="s">
        <v>1130</v>
      </c>
      <c r="O819" s="1">
        <v>46290.347916666673</v>
      </c>
      <c r="P819" t="b">
        <v>0</v>
      </c>
      <c r="Q819" t="s">
        <v>1179</v>
      </c>
      <c r="R819" t="s">
        <v>1120</v>
      </c>
      <c r="S819" t="s">
        <v>1132</v>
      </c>
      <c r="T819" t="s">
        <v>1122</v>
      </c>
      <c r="U819" t="s">
        <v>1145</v>
      </c>
      <c r="V819" t="s">
        <v>1284</v>
      </c>
      <c r="W819" t="s">
        <v>1131</v>
      </c>
      <c r="X819">
        <v>8</v>
      </c>
      <c r="Y819" t="s">
        <v>1142</v>
      </c>
      <c r="Z819" t="s">
        <v>1127</v>
      </c>
      <c r="AA819">
        <v>1</v>
      </c>
    </row>
    <row r="820" spans="1:27" x14ac:dyDescent="0.3">
      <c r="A820" t="s">
        <v>193</v>
      </c>
      <c r="B820" t="s">
        <v>1409</v>
      </c>
      <c r="C820" t="s">
        <v>1071</v>
      </c>
      <c r="D820" t="s">
        <v>1280</v>
      </c>
      <c r="E820" t="s">
        <v>1287</v>
      </c>
      <c r="F820" s="1">
        <v>46293.136805555558</v>
      </c>
      <c r="G820" s="1">
        <v>46293.140277777777</v>
      </c>
      <c r="H820">
        <v>1</v>
      </c>
      <c r="I820">
        <v>5</v>
      </c>
      <c r="J820" t="b">
        <v>0</v>
      </c>
      <c r="K820" t="b">
        <v>0</v>
      </c>
      <c r="L820" t="b">
        <v>0</v>
      </c>
      <c r="M820">
        <v>4</v>
      </c>
      <c r="N820" t="s">
        <v>1130</v>
      </c>
      <c r="O820" s="1">
        <v>46293.038888888892</v>
      </c>
      <c r="P820" t="b">
        <v>0</v>
      </c>
      <c r="Q820" t="s">
        <v>1179</v>
      </c>
      <c r="R820" t="s">
        <v>1120</v>
      </c>
      <c r="S820" t="s">
        <v>1145</v>
      </c>
      <c r="T820" t="s">
        <v>1122</v>
      </c>
      <c r="U820" t="s">
        <v>1145</v>
      </c>
      <c r="V820" t="s">
        <v>1151</v>
      </c>
      <c r="W820" t="s">
        <v>1257</v>
      </c>
      <c r="X820">
        <v>0</v>
      </c>
      <c r="Y820" t="s">
        <v>1185</v>
      </c>
      <c r="Z820" t="s">
        <v>1147</v>
      </c>
      <c r="AA820">
        <v>5</v>
      </c>
    </row>
    <row r="821" spans="1:27" x14ac:dyDescent="0.3">
      <c r="A821" t="s">
        <v>313</v>
      </c>
      <c r="B821" t="s">
        <v>1199</v>
      </c>
      <c r="C821" t="s">
        <v>1085</v>
      </c>
      <c r="D821" t="s">
        <v>1255</v>
      </c>
      <c r="E821" t="s">
        <v>1265</v>
      </c>
      <c r="F821" s="1">
        <v>46289.333333333343</v>
      </c>
      <c r="G821" s="1">
        <v>46289.336805555547</v>
      </c>
      <c r="H821">
        <v>3</v>
      </c>
      <c r="I821">
        <v>5</v>
      </c>
      <c r="J821" t="b">
        <v>0</v>
      </c>
      <c r="K821" t="b">
        <v>0</v>
      </c>
      <c r="L821" t="b">
        <v>0</v>
      </c>
      <c r="M821">
        <v>6</v>
      </c>
      <c r="N821" t="s">
        <v>1168</v>
      </c>
      <c r="O821" s="1">
        <v>46289.22152777778</v>
      </c>
      <c r="P821" t="b">
        <v>0</v>
      </c>
      <c r="Q821" t="s">
        <v>1179</v>
      </c>
      <c r="R821" t="s">
        <v>1139</v>
      </c>
      <c r="S821" t="s">
        <v>1157</v>
      </c>
      <c r="T821" t="s">
        <v>1122</v>
      </c>
      <c r="U821" t="s">
        <v>1247</v>
      </c>
      <c r="V821" t="s">
        <v>1141</v>
      </c>
      <c r="W821" t="s">
        <v>1257</v>
      </c>
      <c r="X821">
        <v>5</v>
      </c>
      <c r="Y821" t="s">
        <v>1146</v>
      </c>
      <c r="Z821" t="s">
        <v>1134</v>
      </c>
      <c r="AA821">
        <v>1.666666666666667</v>
      </c>
    </row>
    <row r="822" spans="1:27" x14ac:dyDescent="0.3">
      <c r="A822" t="s">
        <v>380</v>
      </c>
      <c r="B822" t="s">
        <v>1232</v>
      </c>
      <c r="C822" t="s">
        <v>1084</v>
      </c>
      <c r="D822" t="s">
        <v>1255</v>
      </c>
      <c r="E822" t="s">
        <v>1129</v>
      </c>
      <c r="F822" s="1">
        <v>46270.886805555558</v>
      </c>
      <c r="G822" s="1">
        <v>46270.890277777777</v>
      </c>
      <c r="H822">
        <v>2</v>
      </c>
      <c r="I822">
        <v>5</v>
      </c>
      <c r="J822" t="b">
        <v>0</v>
      </c>
      <c r="K822" t="b">
        <v>0</v>
      </c>
      <c r="L822" t="b">
        <v>0</v>
      </c>
      <c r="M822">
        <v>4</v>
      </c>
      <c r="N822" t="s">
        <v>1118</v>
      </c>
      <c r="O822" s="1">
        <v>46270.777083333327</v>
      </c>
      <c r="P822" t="b">
        <v>0</v>
      </c>
      <c r="Q822" t="s">
        <v>1119</v>
      </c>
      <c r="R822" t="s">
        <v>1131</v>
      </c>
      <c r="S822" t="s">
        <v>1132</v>
      </c>
      <c r="T822" t="s">
        <v>1122</v>
      </c>
      <c r="U822" t="s">
        <v>1247</v>
      </c>
      <c r="V822" t="s">
        <v>1141</v>
      </c>
      <c r="W822" t="s">
        <v>1257</v>
      </c>
      <c r="X822">
        <v>18</v>
      </c>
      <c r="Y822" t="s">
        <v>1173</v>
      </c>
      <c r="Z822" t="s">
        <v>1147</v>
      </c>
      <c r="AA822">
        <v>2.5</v>
      </c>
    </row>
    <row r="823" spans="1:27" x14ac:dyDescent="0.3">
      <c r="A823" t="s">
        <v>172</v>
      </c>
      <c r="B823" t="s">
        <v>1486</v>
      </c>
      <c r="C823" t="s">
        <v>1057</v>
      </c>
      <c r="D823" t="s">
        <v>1283</v>
      </c>
      <c r="E823" t="s">
        <v>1301</v>
      </c>
      <c r="F823" s="1">
        <v>46271.801388888889</v>
      </c>
      <c r="G823" s="1">
        <v>46271.804861111108</v>
      </c>
      <c r="H823">
        <v>4</v>
      </c>
      <c r="I823">
        <v>5</v>
      </c>
      <c r="J823" t="b">
        <v>0</v>
      </c>
      <c r="K823" t="b">
        <v>0</v>
      </c>
      <c r="L823" t="b">
        <v>0</v>
      </c>
      <c r="M823">
        <v>1</v>
      </c>
      <c r="N823" t="s">
        <v>1118</v>
      </c>
      <c r="O823" s="1">
        <v>46271.794444444437</v>
      </c>
      <c r="P823" t="b">
        <v>0</v>
      </c>
      <c r="Q823" t="s">
        <v>1169</v>
      </c>
      <c r="R823" t="s">
        <v>1131</v>
      </c>
      <c r="S823" t="s">
        <v>1145</v>
      </c>
      <c r="T823" t="s">
        <v>1122</v>
      </c>
      <c r="U823" t="s">
        <v>1172</v>
      </c>
      <c r="V823" t="s">
        <v>1284</v>
      </c>
      <c r="W823" t="s">
        <v>1131</v>
      </c>
      <c r="X823">
        <v>19</v>
      </c>
      <c r="Y823" t="s">
        <v>1133</v>
      </c>
      <c r="Z823" t="s">
        <v>1147</v>
      </c>
      <c r="AA823">
        <v>1.25</v>
      </c>
    </row>
    <row r="824" spans="1:27" x14ac:dyDescent="0.3">
      <c r="A824" t="s">
        <v>872</v>
      </c>
      <c r="B824" t="s">
        <v>1326</v>
      </c>
      <c r="C824" t="s">
        <v>1077</v>
      </c>
      <c r="D824" t="s">
        <v>1280</v>
      </c>
      <c r="E824" t="s">
        <v>1305</v>
      </c>
      <c r="F824" s="1">
        <v>46270.90902777778</v>
      </c>
      <c r="G824" s="1">
        <v>46270.912499999999</v>
      </c>
      <c r="H824">
        <v>3</v>
      </c>
      <c r="I824">
        <v>5</v>
      </c>
      <c r="J824" t="b">
        <v>0</v>
      </c>
      <c r="K824" t="b">
        <v>0</v>
      </c>
      <c r="L824" t="b">
        <v>0</v>
      </c>
      <c r="M824">
        <v>20</v>
      </c>
      <c r="N824" t="s">
        <v>1130</v>
      </c>
      <c r="O824" s="1">
        <v>46270.8125</v>
      </c>
      <c r="P824" t="b">
        <v>0</v>
      </c>
      <c r="Q824" t="s">
        <v>1156</v>
      </c>
      <c r="R824" t="s">
        <v>1131</v>
      </c>
      <c r="S824" t="s">
        <v>1157</v>
      </c>
      <c r="T824" t="s">
        <v>1122</v>
      </c>
      <c r="U824" t="s">
        <v>1172</v>
      </c>
      <c r="V824" t="s">
        <v>1151</v>
      </c>
      <c r="W824" t="s">
        <v>1257</v>
      </c>
      <c r="X824">
        <v>19</v>
      </c>
      <c r="Y824" t="s">
        <v>1173</v>
      </c>
      <c r="Z824" t="s">
        <v>1127</v>
      </c>
      <c r="AA824">
        <v>1.666666666666667</v>
      </c>
    </row>
    <row r="825" spans="1:27" x14ac:dyDescent="0.3">
      <c r="A825" t="s">
        <v>876</v>
      </c>
      <c r="B825" t="s">
        <v>1487</v>
      </c>
      <c r="C825" t="s">
        <v>1073</v>
      </c>
      <c r="D825" t="s">
        <v>1255</v>
      </c>
      <c r="E825" t="s">
        <v>1398</v>
      </c>
      <c r="F825" s="1">
        <v>46287.770833333343</v>
      </c>
      <c r="G825" s="1">
        <v>46287.774305555547</v>
      </c>
      <c r="H825">
        <v>2</v>
      </c>
      <c r="I825">
        <v>5</v>
      </c>
      <c r="J825" t="b">
        <v>0</v>
      </c>
      <c r="K825" t="b">
        <v>0</v>
      </c>
      <c r="L825" t="b">
        <v>0</v>
      </c>
      <c r="M825">
        <v>1</v>
      </c>
      <c r="N825" t="s">
        <v>1118</v>
      </c>
      <c r="O825" s="1">
        <v>46287.651388888888</v>
      </c>
      <c r="P825" t="b">
        <v>0</v>
      </c>
      <c r="Q825" t="s">
        <v>1169</v>
      </c>
      <c r="R825" t="s">
        <v>1120</v>
      </c>
      <c r="S825" t="s">
        <v>1132</v>
      </c>
      <c r="T825" t="s">
        <v>1122</v>
      </c>
      <c r="U825" t="s">
        <v>1247</v>
      </c>
      <c r="V825" t="s">
        <v>1141</v>
      </c>
      <c r="W825" t="s">
        <v>1257</v>
      </c>
      <c r="X825">
        <v>15</v>
      </c>
      <c r="Y825" t="s">
        <v>1126</v>
      </c>
      <c r="Z825" t="s">
        <v>1147</v>
      </c>
      <c r="AA825">
        <v>2.5</v>
      </c>
    </row>
    <row r="826" spans="1:27" x14ac:dyDescent="0.3">
      <c r="A826" t="s">
        <v>550</v>
      </c>
      <c r="B826" t="s">
        <v>1323</v>
      </c>
      <c r="C826" t="s">
        <v>1065</v>
      </c>
      <c r="D826" t="s">
        <v>1283</v>
      </c>
      <c r="E826" t="s">
        <v>1379</v>
      </c>
      <c r="F826" s="1">
        <v>46280.922222222223</v>
      </c>
      <c r="G826" s="1">
        <v>46280.925694444442</v>
      </c>
      <c r="H826">
        <v>6</v>
      </c>
      <c r="I826">
        <v>5</v>
      </c>
      <c r="J826" t="b">
        <v>0</v>
      </c>
      <c r="K826" t="b">
        <v>0</v>
      </c>
      <c r="L826" t="b">
        <v>0</v>
      </c>
      <c r="M826">
        <v>15</v>
      </c>
      <c r="N826" t="s">
        <v>1118</v>
      </c>
      <c r="O826" s="1">
        <v>46280.834722222222</v>
      </c>
      <c r="P826" t="b">
        <v>0</v>
      </c>
      <c r="Q826" t="s">
        <v>1179</v>
      </c>
      <c r="R826" t="s">
        <v>1120</v>
      </c>
      <c r="S826" t="s">
        <v>1145</v>
      </c>
      <c r="T826" t="s">
        <v>1180</v>
      </c>
      <c r="U826" t="s">
        <v>1247</v>
      </c>
      <c r="V826" t="s">
        <v>1284</v>
      </c>
      <c r="W826" t="s">
        <v>1131</v>
      </c>
      <c r="X826">
        <v>20</v>
      </c>
      <c r="Y826" t="s">
        <v>1126</v>
      </c>
      <c r="Z826" t="s">
        <v>1127</v>
      </c>
      <c r="AA826">
        <v>0.83333333333333337</v>
      </c>
    </row>
    <row r="827" spans="1:27" x14ac:dyDescent="0.3">
      <c r="A827" t="s">
        <v>544</v>
      </c>
      <c r="B827" t="s">
        <v>1449</v>
      </c>
      <c r="C827" t="s">
        <v>1082</v>
      </c>
      <c r="D827" t="s">
        <v>1283</v>
      </c>
      <c r="E827" t="s">
        <v>1227</v>
      </c>
      <c r="F827" s="1">
        <v>46266.484722222223</v>
      </c>
      <c r="G827" s="1">
        <v>46266.488194444442</v>
      </c>
      <c r="H827">
        <v>7</v>
      </c>
      <c r="I827">
        <v>5</v>
      </c>
      <c r="J827" t="b">
        <v>0</v>
      </c>
      <c r="K827" t="b">
        <v>0</v>
      </c>
      <c r="L827" t="b">
        <v>0</v>
      </c>
      <c r="M827">
        <v>5</v>
      </c>
      <c r="N827" t="s">
        <v>1118</v>
      </c>
      <c r="O827" s="1">
        <v>46266.425000000003</v>
      </c>
      <c r="P827" t="b">
        <v>0</v>
      </c>
      <c r="Q827" t="s">
        <v>1145</v>
      </c>
      <c r="R827" t="s">
        <v>1131</v>
      </c>
      <c r="S827" t="s">
        <v>1121</v>
      </c>
      <c r="T827" t="s">
        <v>1122</v>
      </c>
      <c r="U827" t="s">
        <v>1145</v>
      </c>
      <c r="V827" t="s">
        <v>1284</v>
      </c>
      <c r="W827" t="s">
        <v>1131</v>
      </c>
      <c r="X827">
        <v>10</v>
      </c>
      <c r="Y827" t="s">
        <v>1126</v>
      </c>
      <c r="Z827" t="s">
        <v>1147</v>
      </c>
      <c r="AA827">
        <v>0.7142857142857143</v>
      </c>
    </row>
    <row r="828" spans="1:27" x14ac:dyDescent="0.3">
      <c r="A828" t="s">
        <v>297</v>
      </c>
      <c r="B828" t="s">
        <v>1389</v>
      </c>
      <c r="C828" t="s">
        <v>1064</v>
      </c>
      <c r="D828" t="s">
        <v>1339</v>
      </c>
      <c r="E828" t="s">
        <v>1233</v>
      </c>
      <c r="F828" s="1">
        <v>46291.802083333343</v>
      </c>
      <c r="G828" s="1">
        <v>46291.805555555547</v>
      </c>
      <c r="H828">
        <v>2</v>
      </c>
      <c r="I828">
        <v>5</v>
      </c>
      <c r="J828" t="b">
        <v>0</v>
      </c>
      <c r="K828" t="b">
        <v>0</v>
      </c>
      <c r="L828" t="b">
        <v>0</v>
      </c>
      <c r="M828">
        <v>4</v>
      </c>
      <c r="N828" t="s">
        <v>1118</v>
      </c>
      <c r="O828" s="1">
        <v>46291.708333333343</v>
      </c>
      <c r="P828" t="b">
        <v>0</v>
      </c>
      <c r="Q828" t="s">
        <v>1179</v>
      </c>
      <c r="R828" t="s">
        <v>1120</v>
      </c>
      <c r="S828" t="s">
        <v>1132</v>
      </c>
      <c r="T828" t="s">
        <v>1122</v>
      </c>
      <c r="U828" t="s">
        <v>1123</v>
      </c>
      <c r="V828" t="s">
        <v>1284</v>
      </c>
      <c r="W828" t="s">
        <v>1257</v>
      </c>
      <c r="X828">
        <v>17</v>
      </c>
      <c r="Y828" t="s">
        <v>1173</v>
      </c>
      <c r="Z828" t="s">
        <v>1147</v>
      </c>
      <c r="AA828">
        <v>2.5</v>
      </c>
    </row>
    <row r="829" spans="1:27" x14ac:dyDescent="0.3">
      <c r="A829" t="s">
        <v>303</v>
      </c>
      <c r="B829" t="s">
        <v>1254</v>
      </c>
      <c r="C829" t="s">
        <v>1087</v>
      </c>
      <c r="D829" t="s">
        <v>1283</v>
      </c>
      <c r="E829" t="s">
        <v>1200</v>
      </c>
      <c r="F829" s="1">
        <v>46273.052777777782</v>
      </c>
      <c r="G829" s="1">
        <v>46273.056250000001</v>
      </c>
      <c r="H829">
        <v>2</v>
      </c>
      <c r="I829">
        <v>5</v>
      </c>
      <c r="J829" t="b">
        <v>0</v>
      </c>
      <c r="K829" t="b">
        <v>0</v>
      </c>
      <c r="L829" t="b">
        <v>0</v>
      </c>
      <c r="M829">
        <v>4</v>
      </c>
      <c r="N829" t="s">
        <v>1118</v>
      </c>
      <c r="O829" s="1">
        <v>46273.029166666667</v>
      </c>
      <c r="P829" t="b">
        <v>0</v>
      </c>
      <c r="Q829" t="s">
        <v>1156</v>
      </c>
      <c r="R829" t="s">
        <v>1139</v>
      </c>
      <c r="S829" t="s">
        <v>1132</v>
      </c>
      <c r="T829" t="s">
        <v>1145</v>
      </c>
      <c r="U829" t="s">
        <v>1247</v>
      </c>
      <c r="V829" t="s">
        <v>1284</v>
      </c>
      <c r="W829" t="s">
        <v>1131</v>
      </c>
      <c r="X829">
        <v>0</v>
      </c>
      <c r="Y829" t="s">
        <v>1126</v>
      </c>
      <c r="Z829" t="s">
        <v>1147</v>
      </c>
      <c r="AA829">
        <v>2.5</v>
      </c>
    </row>
    <row r="830" spans="1:27" x14ac:dyDescent="0.3">
      <c r="A830" t="s">
        <v>764</v>
      </c>
      <c r="B830" t="s">
        <v>1375</v>
      </c>
      <c r="C830" t="s">
        <v>1065</v>
      </c>
      <c r="D830" t="s">
        <v>1280</v>
      </c>
      <c r="E830" t="s">
        <v>1175</v>
      </c>
      <c r="F830" s="1">
        <v>46267.243750000001</v>
      </c>
      <c r="G830" s="1">
        <v>46267.24722222222</v>
      </c>
      <c r="H830">
        <v>4</v>
      </c>
      <c r="I830">
        <v>5</v>
      </c>
      <c r="J830" t="b">
        <v>0</v>
      </c>
      <c r="K830" t="b">
        <v>0</v>
      </c>
      <c r="L830" t="b">
        <v>0</v>
      </c>
      <c r="M830">
        <v>8</v>
      </c>
      <c r="N830" t="s">
        <v>1130</v>
      </c>
      <c r="O830" s="1">
        <v>46267.217361111107</v>
      </c>
      <c r="P830" t="b">
        <v>0</v>
      </c>
      <c r="Q830" t="s">
        <v>1169</v>
      </c>
      <c r="R830" t="s">
        <v>1139</v>
      </c>
      <c r="S830" t="s">
        <v>1152</v>
      </c>
      <c r="T830" t="s">
        <v>1180</v>
      </c>
      <c r="U830" t="s">
        <v>1247</v>
      </c>
      <c r="V830" t="s">
        <v>1151</v>
      </c>
      <c r="W830" t="s">
        <v>1257</v>
      </c>
      <c r="X830">
        <v>5</v>
      </c>
      <c r="Y830" t="s">
        <v>1161</v>
      </c>
      <c r="Z830" t="s">
        <v>1134</v>
      </c>
      <c r="AA830">
        <v>1.25</v>
      </c>
    </row>
    <row r="831" spans="1:27" x14ac:dyDescent="0.3">
      <c r="A831" t="s">
        <v>770</v>
      </c>
      <c r="B831" t="s">
        <v>1376</v>
      </c>
      <c r="C831" t="s">
        <v>1074</v>
      </c>
      <c r="D831" t="s">
        <v>1339</v>
      </c>
      <c r="E831" t="s">
        <v>1154</v>
      </c>
      <c r="F831" s="1">
        <v>46278.304861111108</v>
      </c>
      <c r="G831" s="1">
        <v>46278.308333333327</v>
      </c>
      <c r="H831">
        <v>4</v>
      </c>
      <c r="I831">
        <v>5</v>
      </c>
      <c r="J831" t="b">
        <v>0</v>
      </c>
      <c r="K831" t="b">
        <v>0</v>
      </c>
      <c r="L831" t="b">
        <v>0</v>
      </c>
      <c r="M831">
        <v>10</v>
      </c>
      <c r="N831" t="s">
        <v>1130</v>
      </c>
      <c r="O831" s="1">
        <v>46278.228472222218</v>
      </c>
      <c r="P831" t="b">
        <v>0</v>
      </c>
      <c r="Q831" t="s">
        <v>1156</v>
      </c>
      <c r="R831" t="s">
        <v>1131</v>
      </c>
      <c r="S831" t="s">
        <v>1157</v>
      </c>
      <c r="T831" t="s">
        <v>1145</v>
      </c>
      <c r="U831" t="s">
        <v>1145</v>
      </c>
      <c r="V831" t="s">
        <v>1284</v>
      </c>
      <c r="W831" t="s">
        <v>1257</v>
      </c>
      <c r="X831">
        <v>5</v>
      </c>
      <c r="Y831" t="s">
        <v>1133</v>
      </c>
      <c r="Z831" t="s">
        <v>1134</v>
      </c>
      <c r="AA831">
        <v>1.25</v>
      </c>
    </row>
    <row r="832" spans="1:27" x14ac:dyDescent="0.3">
      <c r="A832" t="s">
        <v>292</v>
      </c>
      <c r="B832" t="s">
        <v>1434</v>
      </c>
      <c r="C832" t="s">
        <v>1063</v>
      </c>
      <c r="D832" t="s">
        <v>1280</v>
      </c>
      <c r="E832" t="s">
        <v>1287</v>
      </c>
      <c r="F832" s="1">
        <v>46275.992361111108</v>
      </c>
      <c r="G832" s="1">
        <v>46275.995833333327</v>
      </c>
      <c r="H832">
        <v>4</v>
      </c>
      <c r="I832">
        <v>5</v>
      </c>
      <c r="J832" t="b">
        <v>0</v>
      </c>
      <c r="K832" t="b">
        <v>0</v>
      </c>
      <c r="L832" t="b">
        <v>0</v>
      </c>
      <c r="M832">
        <v>6</v>
      </c>
      <c r="N832" t="s">
        <v>1155</v>
      </c>
      <c r="O832" s="1">
        <v>46275.96597222222</v>
      </c>
      <c r="P832" t="b">
        <v>0</v>
      </c>
      <c r="Q832" t="s">
        <v>1179</v>
      </c>
      <c r="R832" t="s">
        <v>1120</v>
      </c>
      <c r="S832" t="s">
        <v>1145</v>
      </c>
      <c r="T832" t="s">
        <v>1122</v>
      </c>
      <c r="U832" t="s">
        <v>1172</v>
      </c>
      <c r="V832" t="s">
        <v>1151</v>
      </c>
      <c r="W832" t="s">
        <v>1257</v>
      </c>
      <c r="X832">
        <v>23</v>
      </c>
      <c r="Y832" t="s">
        <v>1146</v>
      </c>
      <c r="Z832" t="s">
        <v>1134</v>
      </c>
      <c r="AA832">
        <v>1.25</v>
      </c>
    </row>
    <row r="833" spans="1:27" x14ac:dyDescent="0.3">
      <c r="A833" t="s">
        <v>535</v>
      </c>
      <c r="B833" t="s">
        <v>1190</v>
      </c>
      <c r="C833" t="s">
        <v>1072</v>
      </c>
      <c r="D833" t="s">
        <v>1283</v>
      </c>
      <c r="E833" t="s">
        <v>1272</v>
      </c>
      <c r="F833" s="1">
        <v>46284.140277777777</v>
      </c>
      <c r="G833" s="1">
        <v>46284.143750000003</v>
      </c>
      <c r="H833">
        <v>2</v>
      </c>
      <c r="I833">
        <v>5</v>
      </c>
      <c r="J833" t="b">
        <v>0</v>
      </c>
      <c r="K833" t="b">
        <v>0</v>
      </c>
      <c r="L833" t="b">
        <v>0</v>
      </c>
      <c r="M833">
        <v>12</v>
      </c>
      <c r="N833" t="s">
        <v>1130</v>
      </c>
      <c r="O833" s="1">
        <v>46284.070833333331</v>
      </c>
      <c r="P833" t="b">
        <v>0</v>
      </c>
      <c r="Q833" t="s">
        <v>1179</v>
      </c>
      <c r="R833" t="s">
        <v>1120</v>
      </c>
      <c r="S833" t="s">
        <v>1157</v>
      </c>
      <c r="T833" t="s">
        <v>1180</v>
      </c>
      <c r="U833" t="s">
        <v>1172</v>
      </c>
      <c r="V833" t="s">
        <v>1284</v>
      </c>
      <c r="W833" t="s">
        <v>1131</v>
      </c>
      <c r="X833">
        <v>1</v>
      </c>
      <c r="Y833" t="s">
        <v>1173</v>
      </c>
      <c r="Z833" t="s">
        <v>1127</v>
      </c>
      <c r="AA833">
        <v>2.5</v>
      </c>
    </row>
    <row r="834" spans="1:27" x14ac:dyDescent="0.3">
      <c r="A834" t="s">
        <v>525</v>
      </c>
      <c r="B834" t="s">
        <v>1297</v>
      </c>
      <c r="C834" t="s">
        <v>1065</v>
      </c>
      <c r="D834" t="s">
        <v>1280</v>
      </c>
      <c r="E834" t="s">
        <v>1144</v>
      </c>
      <c r="F834" s="1">
        <v>46290.008333333331</v>
      </c>
      <c r="G834" s="1">
        <v>46290.011805555558</v>
      </c>
      <c r="H834">
        <v>5</v>
      </c>
      <c r="I834">
        <v>5</v>
      </c>
      <c r="J834" t="b">
        <v>0</v>
      </c>
      <c r="K834" t="b">
        <v>0</v>
      </c>
      <c r="L834" t="b">
        <v>0</v>
      </c>
      <c r="M834">
        <v>15</v>
      </c>
      <c r="N834" t="s">
        <v>1155</v>
      </c>
      <c r="O834" s="1">
        <v>46289.979861111111</v>
      </c>
      <c r="P834" t="b">
        <v>0</v>
      </c>
      <c r="Q834" t="s">
        <v>1138</v>
      </c>
      <c r="R834" t="s">
        <v>1120</v>
      </c>
      <c r="S834" t="s">
        <v>1145</v>
      </c>
      <c r="T834" t="s">
        <v>1180</v>
      </c>
      <c r="U834" t="s">
        <v>1247</v>
      </c>
      <c r="V834" t="s">
        <v>1151</v>
      </c>
      <c r="W834" t="s">
        <v>1257</v>
      </c>
      <c r="X834">
        <v>23</v>
      </c>
      <c r="Y834" t="s">
        <v>1146</v>
      </c>
      <c r="Z834" t="s">
        <v>1127</v>
      </c>
      <c r="AA834">
        <v>1</v>
      </c>
    </row>
    <row r="835" spans="1:27" x14ac:dyDescent="0.3">
      <c r="A835" t="s">
        <v>778</v>
      </c>
      <c r="B835" t="s">
        <v>1435</v>
      </c>
      <c r="C835" t="s">
        <v>1066</v>
      </c>
      <c r="D835" t="s">
        <v>1238</v>
      </c>
      <c r="E835" t="s">
        <v>1259</v>
      </c>
      <c r="F835" s="1">
        <v>46291.371527777781</v>
      </c>
      <c r="G835" s="1">
        <v>46291.375</v>
      </c>
      <c r="H835">
        <v>5</v>
      </c>
      <c r="I835">
        <v>5</v>
      </c>
      <c r="J835" t="b">
        <v>0</v>
      </c>
      <c r="K835" t="b">
        <v>0</v>
      </c>
      <c r="L835" t="b">
        <v>0</v>
      </c>
      <c r="M835">
        <v>5</v>
      </c>
      <c r="N835" t="s">
        <v>1118</v>
      </c>
      <c r="O835" s="1">
        <v>46291.277083333327</v>
      </c>
      <c r="P835" t="b">
        <v>0</v>
      </c>
      <c r="Q835" t="s">
        <v>1179</v>
      </c>
      <c r="R835" t="s">
        <v>1120</v>
      </c>
      <c r="S835" t="s">
        <v>1132</v>
      </c>
      <c r="T835" t="s">
        <v>1122</v>
      </c>
      <c r="U835" t="s">
        <v>1247</v>
      </c>
      <c r="V835" t="s">
        <v>1151</v>
      </c>
      <c r="W835" t="s">
        <v>1131</v>
      </c>
      <c r="X835">
        <v>6</v>
      </c>
      <c r="Y835" t="s">
        <v>1173</v>
      </c>
      <c r="Z835" t="s">
        <v>1147</v>
      </c>
      <c r="AA835">
        <v>1</v>
      </c>
    </row>
    <row r="836" spans="1:27" x14ac:dyDescent="0.3">
      <c r="A836" t="s">
        <v>353</v>
      </c>
      <c r="B836" t="s">
        <v>1181</v>
      </c>
      <c r="C836" t="s">
        <v>1077</v>
      </c>
      <c r="D836" t="s">
        <v>1283</v>
      </c>
      <c r="E836" t="s">
        <v>1165</v>
      </c>
      <c r="F836" s="1">
        <v>46283.806944444441</v>
      </c>
      <c r="G836" s="1">
        <v>46283.810416666667</v>
      </c>
      <c r="H836">
        <v>2</v>
      </c>
      <c r="I836">
        <v>5</v>
      </c>
      <c r="J836" t="b">
        <v>0</v>
      </c>
      <c r="K836" t="b">
        <v>0</v>
      </c>
      <c r="L836" t="b">
        <v>0</v>
      </c>
      <c r="M836">
        <v>20</v>
      </c>
      <c r="N836" t="s">
        <v>1168</v>
      </c>
      <c r="O836" s="1">
        <v>46283.73541666667</v>
      </c>
      <c r="P836" t="b">
        <v>0</v>
      </c>
      <c r="Q836" t="s">
        <v>1138</v>
      </c>
      <c r="R836" t="s">
        <v>1120</v>
      </c>
      <c r="S836" t="s">
        <v>1152</v>
      </c>
      <c r="T836" t="s">
        <v>1122</v>
      </c>
      <c r="U836" t="s">
        <v>1172</v>
      </c>
      <c r="V836" t="s">
        <v>1284</v>
      </c>
      <c r="W836" t="s">
        <v>1131</v>
      </c>
      <c r="X836">
        <v>17</v>
      </c>
      <c r="Y836" t="s">
        <v>1142</v>
      </c>
      <c r="Z836" t="s">
        <v>1127</v>
      </c>
      <c r="AA836">
        <v>2.5</v>
      </c>
    </row>
    <row r="837" spans="1:27" x14ac:dyDescent="0.3">
      <c r="A837" t="s">
        <v>351</v>
      </c>
      <c r="B837" t="s">
        <v>1310</v>
      </c>
      <c r="C837" t="s">
        <v>1072</v>
      </c>
      <c r="D837" t="s">
        <v>1283</v>
      </c>
      <c r="E837" t="s">
        <v>1307</v>
      </c>
      <c r="F837" s="1">
        <v>46282.942361111112</v>
      </c>
      <c r="G837" s="1">
        <v>46282.945833333331</v>
      </c>
      <c r="H837">
        <v>2</v>
      </c>
      <c r="I837">
        <v>5</v>
      </c>
      <c r="J837" t="b">
        <v>0</v>
      </c>
      <c r="K837" t="b">
        <v>0</v>
      </c>
      <c r="L837" t="b">
        <v>0</v>
      </c>
      <c r="M837">
        <v>12</v>
      </c>
      <c r="N837" t="s">
        <v>1130</v>
      </c>
      <c r="O837" s="1">
        <v>46282.884722222218</v>
      </c>
      <c r="P837" t="b">
        <v>0</v>
      </c>
      <c r="Q837" t="s">
        <v>1151</v>
      </c>
      <c r="R837" t="s">
        <v>1139</v>
      </c>
      <c r="S837" t="s">
        <v>1121</v>
      </c>
      <c r="T837" t="s">
        <v>1180</v>
      </c>
      <c r="U837" t="s">
        <v>1172</v>
      </c>
      <c r="V837" t="s">
        <v>1284</v>
      </c>
      <c r="W837" t="s">
        <v>1131</v>
      </c>
      <c r="X837">
        <v>21</v>
      </c>
      <c r="Y837" t="s">
        <v>1146</v>
      </c>
      <c r="Z837" t="s">
        <v>1127</v>
      </c>
      <c r="AA837">
        <v>2.5</v>
      </c>
    </row>
    <row r="838" spans="1:27" x14ac:dyDescent="0.3">
      <c r="A838" t="s">
        <v>635</v>
      </c>
      <c r="B838" t="s">
        <v>1203</v>
      </c>
      <c r="C838" t="s">
        <v>1085</v>
      </c>
      <c r="D838" t="s">
        <v>1339</v>
      </c>
      <c r="E838" t="s">
        <v>1129</v>
      </c>
      <c r="F838" s="1">
        <v>46287.12222222222</v>
      </c>
      <c r="G838" s="1">
        <v>46287.125694444447</v>
      </c>
      <c r="H838">
        <v>5</v>
      </c>
      <c r="I838">
        <v>5</v>
      </c>
      <c r="J838" t="b">
        <v>0</v>
      </c>
      <c r="K838" t="b">
        <v>0</v>
      </c>
      <c r="L838" t="b">
        <v>0</v>
      </c>
      <c r="M838">
        <v>12</v>
      </c>
      <c r="N838" t="s">
        <v>1145</v>
      </c>
      <c r="O838" s="1">
        <v>46287.080555555563</v>
      </c>
      <c r="P838" t="b">
        <v>0</v>
      </c>
      <c r="Q838" t="s">
        <v>1119</v>
      </c>
      <c r="R838" t="s">
        <v>1131</v>
      </c>
      <c r="S838" t="s">
        <v>1132</v>
      </c>
      <c r="T838" t="s">
        <v>1122</v>
      </c>
      <c r="U838" t="s">
        <v>1247</v>
      </c>
      <c r="V838" t="s">
        <v>1284</v>
      </c>
      <c r="W838" t="s">
        <v>1257</v>
      </c>
      <c r="X838">
        <v>1</v>
      </c>
      <c r="Y838" t="s">
        <v>1126</v>
      </c>
      <c r="Z838" t="s">
        <v>1127</v>
      </c>
      <c r="AA838">
        <v>1</v>
      </c>
    </row>
    <row r="839" spans="1:27" x14ac:dyDescent="0.3">
      <c r="A839" t="s">
        <v>643</v>
      </c>
      <c r="B839" t="s">
        <v>1214</v>
      </c>
      <c r="C839" t="s">
        <v>1080</v>
      </c>
      <c r="D839" t="s">
        <v>1283</v>
      </c>
      <c r="E839" t="s">
        <v>1356</v>
      </c>
      <c r="F839" s="1">
        <v>46292.635416666657</v>
      </c>
      <c r="G839" s="1">
        <v>46292.638888888891</v>
      </c>
      <c r="H839">
        <v>2</v>
      </c>
      <c r="I839">
        <v>5</v>
      </c>
      <c r="J839" t="b">
        <v>0</v>
      </c>
      <c r="K839" t="b">
        <v>0</v>
      </c>
      <c r="L839" t="b">
        <v>0</v>
      </c>
      <c r="M839">
        <v>10</v>
      </c>
      <c r="N839" t="s">
        <v>1130</v>
      </c>
      <c r="O839" s="1">
        <v>46292.53125</v>
      </c>
      <c r="P839" t="b">
        <v>0</v>
      </c>
      <c r="Q839" t="s">
        <v>1145</v>
      </c>
      <c r="R839" t="s">
        <v>1120</v>
      </c>
      <c r="S839" t="s">
        <v>1132</v>
      </c>
      <c r="T839" t="s">
        <v>1122</v>
      </c>
      <c r="U839" t="s">
        <v>1247</v>
      </c>
      <c r="V839" t="s">
        <v>1284</v>
      </c>
      <c r="W839" t="s">
        <v>1131</v>
      </c>
      <c r="X839">
        <v>12</v>
      </c>
      <c r="Y839" t="s">
        <v>1133</v>
      </c>
      <c r="Z839" t="s">
        <v>1134</v>
      </c>
      <c r="AA839">
        <v>2.5</v>
      </c>
    </row>
    <row r="840" spans="1:27" x14ac:dyDescent="0.3">
      <c r="A840" t="s">
        <v>641</v>
      </c>
      <c r="B840" t="s">
        <v>1488</v>
      </c>
      <c r="C840" t="s">
        <v>1080</v>
      </c>
      <c r="D840" t="s">
        <v>1339</v>
      </c>
      <c r="E840" t="s">
        <v>1261</v>
      </c>
      <c r="F840" s="1">
        <v>46286.154861111107</v>
      </c>
      <c r="G840" s="1">
        <v>46286.158333333333</v>
      </c>
      <c r="H840">
        <v>5</v>
      </c>
      <c r="I840">
        <v>5</v>
      </c>
      <c r="J840" t="b">
        <v>0</v>
      </c>
      <c r="K840" t="b">
        <v>0</v>
      </c>
      <c r="L840" t="b">
        <v>0</v>
      </c>
      <c r="M840">
        <v>3</v>
      </c>
      <c r="N840" t="s">
        <v>1118</v>
      </c>
      <c r="O840" s="1">
        <v>46286.030555555553</v>
      </c>
      <c r="P840" t="b">
        <v>0</v>
      </c>
      <c r="Q840" t="s">
        <v>1151</v>
      </c>
      <c r="R840" t="s">
        <v>1120</v>
      </c>
      <c r="S840" t="s">
        <v>1157</v>
      </c>
      <c r="T840" t="s">
        <v>1122</v>
      </c>
      <c r="U840" t="s">
        <v>1247</v>
      </c>
      <c r="V840" t="s">
        <v>1284</v>
      </c>
      <c r="W840" t="s">
        <v>1257</v>
      </c>
      <c r="X840">
        <v>0</v>
      </c>
      <c r="Y840" t="s">
        <v>1185</v>
      </c>
      <c r="Z840" t="s">
        <v>1147</v>
      </c>
      <c r="AA840">
        <v>1</v>
      </c>
    </row>
    <row r="841" spans="1:27" x14ac:dyDescent="0.3">
      <c r="A841" t="s">
        <v>638</v>
      </c>
      <c r="B841" t="s">
        <v>1203</v>
      </c>
      <c r="C841" t="s">
        <v>1084</v>
      </c>
      <c r="D841" t="s">
        <v>1339</v>
      </c>
      <c r="E841" t="s">
        <v>1216</v>
      </c>
      <c r="F841" s="1">
        <v>46287.200694444437</v>
      </c>
      <c r="G841" s="1">
        <v>46287.20416666667</v>
      </c>
      <c r="H841">
        <v>1</v>
      </c>
      <c r="I841">
        <v>5</v>
      </c>
      <c r="J841" t="b">
        <v>0</v>
      </c>
      <c r="K841" t="b">
        <v>0</v>
      </c>
      <c r="L841" t="b">
        <v>0</v>
      </c>
      <c r="M841">
        <v>12</v>
      </c>
      <c r="N841" t="s">
        <v>1145</v>
      </c>
      <c r="O841" s="1">
        <v>46287.080555555563</v>
      </c>
      <c r="P841" t="b">
        <v>0</v>
      </c>
      <c r="Q841" t="s">
        <v>1119</v>
      </c>
      <c r="R841" t="s">
        <v>1131</v>
      </c>
      <c r="S841" t="s">
        <v>1157</v>
      </c>
      <c r="T841" t="s">
        <v>1122</v>
      </c>
      <c r="U841" t="s">
        <v>1247</v>
      </c>
      <c r="V841" t="s">
        <v>1284</v>
      </c>
      <c r="W841" t="s">
        <v>1257</v>
      </c>
      <c r="X841">
        <v>1</v>
      </c>
      <c r="Y841" t="s">
        <v>1126</v>
      </c>
      <c r="Z841" t="s">
        <v>1127</v>
      </c>
      <c r="AA841">
        <v>5</v>
      </c>
    </row>
    <row r="842" spans="1:27" x14ac:dyDescent="0.3">
      <c r="A842" t="s">
        <v>188</v>
      </c>
      <c r="B842" t="s">
        <v>1170</v>
      </c>
      <c r="C842" t="s">
        <v>1066</v>
      </c>
      <c r="D842" t="s">
        <v>1238</v>
      </c>
      <c r="E842" t="s">
        <v>1144</v>
      </c>
      <c r="F842" s="1">
        <v>46277.05972222222</v>
      </c>
      <c r="G842" s="1">
        <v>46277.063194444447</v>
      </c>
      <c r="H842">
        <v>4</v>
      </c>
      <c r="I842">
        <v>5</v>
      </c>
      <c r="J842" t="b">
        <v>0</v>
      </c>
      <c r="K842" t="b">
        <v>0</v>
      </c>
      <c r="L842" t="b">
        <v>0</v>
      </c>
      <c r="M842">
        <v>20</v>
      </c>
      <c r="N842" t="s">
        <v>1118</v>
      </c>
      <c r="O842" s="1">
        <v>46277.038194444453</v>
      </c>
      <c r="P842" t="b">
        <v>0</v>
      </c>
      <c r="Q842" t="s">
        <v>1138</v>
      </c>
      <c r="R842" t="s">
        <v>1120</v>
      </c>
      <c r="S842" t="s">
        <v>1145</v>
      </c>
      <c r="T842" t="s">
        <v>1122</v>
      </c>
      <c r="U842" t="s">
        <v>1247</v>
      </c>
      <c r="V842" t="s">
        <v>1151</v>
      </c>
      <c r="W842" t="s">
        <v>1131</v>
      </c>
      <c r="X842">
        <v>0</v>
      </c>
      <c r="Y842" t="s">
        <v>1173</v>
      </c>
      <c r="Z842" t="s">
        <v>1127</v>
      </c>
      <c r="AA842">
        <v>1.25</v>
      </c>
    </row>
    <row r="843" spans="1:27" x14ac:dyDescent="0.3">
      <c r="A843" t="s">
        <v>913</v>
      </c>
      <c r="B843" t="s">
        <v>1413</v>
      </c>
      <c r="C843" t="s">
        <v>1066</v>
      </c>
      <c r="D843" t="s">
        <v>1149</v>
      </c>
      <c r="E843" t="s">
        <v>1265</v>
      </c>
      <c r="F843" s="1">
        <v>46275.724305555559</v>
      </c>
      <c r="G843" s="1">
        <v>46275.727777777778</v>
      </c>
      <c r="H843">
        <v>2</v>
      </c>
      <c r="I843">
        <v>5</v>
      </c>
      <c r="J843" t="b">
        <v>0</v>
      </c>
      <c r="K843" t="b">
        <v>0</v>
      </c>
      <c r="L843" t="b">
        <v>0</v>
      </c>
      <c r="M843">
        <v>6</v>
      </c>
      <c r="N843" t="s">
        <v>1118</v>
      </c>
      <c r="O843" s="1">
        <v>46275.626388888893</v>
      </c>
      <c r="P843" t="b">
        <v>0</v>
      </c>
      <c r="Q843" t="s">
        <v>1179</v>
      </c>
      <c r="R843" t="s">
        <v>1139</v>
      </c>
      <c r="S843" t="s">
        <v>1157</v>
      </c>
      <c r="T843" t="s">
        <v>1122</v>
      </c>
      <c r="U843" t="s">
        <v>1247</v>
      </c>
      <c r="V843" t="s">
        <v>1152</v>
      </c>
      <c r="W843" t="s">
        <v>1145</v>
      </c>
      <c r="X843">
        <v>15</v>
      </c>
      <c r="Y843" t="s">
        <v>1146</v>
      </c>
      <c r="Z843" t="s">
        <v>1134</v>
      </c>
      <c r="AA843">
        <v>2.5</v>
      </c>
    </row>
    <row r="844" spans="1:27" x14ac:dyDescent="0.3">
      <c r="A844" t="s">
        <v>519</v>
      </c>
      <c r="B844" t="s">
        <v>1367</v>
      </c>
      <c r="C844" t="s">
        <v>1080</v>
      </c>
      <c r="D844" t="s">
        <v>1283</v>
      </c>
      <c r="E844" t="s">
        <v>1235</v>
      </c>
      <c r="F844" s="1">
        <v>46278.490972222222</v>
      </c>
      <c r="G844" s="1">
        <v>46278.494444444441</v>
      </c>
      <c r="H844">
        <v>5</v>
      </c>
      <c r="I844">
        <v>5</v>
      </c>
      <c r="J844" t="b">
        <v>0</v>
      </c>
      <c r="K844" t="b">
        <v>0</v>
      </c>
      <c r="L844" t="b">
        <v>0</v>
      </c>
      <c r="M844">
        <v>15</v>
      </c>
      <c r="N844" t="s">
        <v>1155</v>
      </c>
      <c r="O844" s="1">
        <v>46278.393055555563</v>
      </c>
      <c r="P844" t="b">
        <v>0</v>
      </c>
      <c r="Q844" t="s">
        <v>1151</v>
      </c>
      <c r="R844" t="s">
        <v>1131</v>
      </c>
      <c r="S844" t="s">
        <v>1152</v>
      </c>
      <c r="T844" t="s">
        <v>1122</v>
      </c>
      <c r="U844" t="s">
        <v>1247</v>
      </c>
      <c r="V844" t="s">
        <v>1284</v>
      </c>
      <c r="W844" t="s">
        <v>1131</v>
      </c>
      <c r="X844">
        <v>9</v>
      </c>
      <c r="Y844" t="s">
        <v>1133</v>
      </c>
      <c r="Z844" t="s">
        <v>1127</v>
      </c>
      <c r="AA844">
        <v>1</v>
      </c>
    </row>
    <row r="845" spans="1:27" x14ac:dyDescent="0.3">
      <c r="A845" t="s">
        <v>520</v>
      </c>
      <c r="B845" t="s">
        <v>1447</v>
      </c>
      <c r="C845" t="s">
        <v>1057</v>
      </c>
      <c r="D845" t="s">
        <v>1280</v>
      </c>
      <c r="E845" t="s">
        <v>1216</v>
      </c>
      <c r="F845" s="1">
        <v>46280.906944444447</v>
      </c>
      <c r="G845" s="1">
        <v>46280.910416666673</v>
      </c>
      <c r="H845">
        <v>5</v>
      </c>
      <c r="I845">
        <v>5</v>
      </c>
      <c r="J845" t="b">
        <v>0</v>
      </c>
      <c r="K845" t="b">
        <v>0</v>
      </c>
      <c r="L845" t="b">
        <v>0</v>
      </c>
      <c r="M845">
        <v>8</v>
      </c>
      <c r="N845" t="s">
        <v>1155</v>
      </c>
      <c r="O845" s="1">
        <v>46280.80972222222</v>
      </c>
      <c r="P845" t="b">
        <v>0</v>
      </c>
      <c r="Q845" t="s">
        <v>1119</v>
      </c>
      <c r="R845" t="s">
        <v>1131</v>
      </c>
      <c r="S845" t="s">
        <v>1157</v>
      </c>
      <c r="T845" t="s">
        <v>1122</v>
      </c>
      <c r="U845" t="s">
        <v>1172</v>
      </c>
      <c r="V845" t="s">
        <v>1151</v>
      </c>
      <c r="W845" t="s">
        <v>1257</v>
      </c>
      <c r="X845">
        <v>19</v>
      </c>
      <c r="Y845" t="s">
        <v>1126</v>
      </c>
      <c r="Z845" t="s">
        <v>1134</v>
      </c>
      <c r="AA845">
        <v>1</v>
      </c>
    </row>
    <row r="846" spans="1:27" x14ac:dyDescent="0.3">
      <c r="A846" t="s">
        <v>161</v>
      </c>
      <c r="B846" t="s">
        <v>1412</v>
      </c>
      <c r="C846" t="s">
        <v>1072</v>
      </c>
      <c r="D846" t="s">
        <v>1238</v>
      </c>
      <c r="E846" t="s">
        <v>1244</v>
      </c>
      <c r="F846" s="1">
        <v>46283.884027777778</v>
      </c>
      <c r="G846" s="1">
        <v>46283.887499999997</v>
      </c>
      <c r="H846">
        <v>3</v>
      </c>
      <c r="I846">
        <v>5</v>
      </c>
      <c r="J846" t="b">
        <v>0</v>
      </c>
      <c r="K846" t="b">
        <v>0</v>
      </c>
      <c r="L846" t="b">
        <v>0</v>
      </c>
      <c r="M846">
        <v>6</v>
      </c>
      <c r="N846" t="s">
        <v>1130</v>
      </c>
      <c r="O846" s="1">
        <v>46283.841666666667</v>
      </c>
      <c r="P846" t="b">
        <v>0</v>
      </c>
      <c r="Q846" t="s">
        <v>1119</v>
      </c>
      <c r="R846" t="s">
        <v>1120</v>
      </c>
      <c r="S846" t="s">
        <v>1121</v>
      </c>
      <c r="T846" t="s">
        <v>1180</v>
      </c>
      <c r="U846" t="s">
        <v>1172</v>
      </c>
      <c r="V846" t="s">
        <v>1151</v>
      </c>
      <c r="W846" t="s">
        <v>1131</v>
      </c>
      <c r="X846">
        <v>20</v>
      </c>
      <c r="Y846" t="s">
        <v>1142</v>
      </c>
      <c r="Z846" t="s">
        <v>1134</v>
      </c>
      <c r="AA846">
        <v>1.666666666666667</v>
      </c>
    </row>
    <row r="847" spans="1:27" x14ac:dyDescent="0.3">
      <c r="A847" t="s">
        <v>163</v>
      </c>
      <c r="B847" t="s">
        <v>1412</v>
      </c>
      <c r="C847" t="s">
        <v>1080</v>
      </c>
      <c r="D847" t="s">
        <v>1280</v>
      </c>
      <c r="E847" t="s">
        <v>1230</v>
      </c>
      <c r="F847" s="1">
        <v>46283.917361111111</v>
      </c>
      <c r="G847" s="1">
        <v>46283.92083333333</v>
      </c>
      <c r="H847">
        <v>3</v>
      </c>
      <c r="I847">
        <v>5</v>
      </c>
      <c r="J847" t="b">
        <v>0</v>
      </c>
      <c r="K847" t="b">
        <v>0</v>
      </c>
      <c r="L847" t="b">
        <v>0</v>
      </c>
      <c r="M847">
        <v>6</v>
      </c>
      <c r="N847" t="s">
        <v>1130</v>
      </c>
      <c r="O847" s="1">
        <v>46283.841666666667</v>
      </c>
      <c r="P847" t="b">
        <v>0</v>
      </c>
      <c r="Q847" t="s">
        <v>1145</v>
      </c>
      <c r="R847" t="s">
        <v>1120</v>
      </c>
      <c r="S847" t="s">
        <v>1157</v>
      </c>
      <c r="T847" t="s">
        <v>1122</v>
      </c>
      <c r="U847" t="s">
        <v>1247</v>
      </c>
      <c r="V847" t="s">
        <v>1151</v>
      </c>
      <c r="W847" t="s">
        <v>1257</v>
      </c>
      <c r="X847">
        <v>20</v>
      </c>
      <c r="Y847" t="s">
        <v>1142</v>
      </c>
      <c r="Z847" t="s">
        <v>1134</v>
      </c>
      <c r="AA847">
        <v>1.666666666666667</v>
      </c>
    </row>
    <row r="848" spans="1:27" x14ac:dyDescent="0.3">
      <c r="A848" t="s">
        <v>166</v>
      </c>
      <c r="B848" t="s">
        <v>1357</v>
      </c>
      <c r="C848" t="s">
        <v>1064</v>
      </c>
      <c r="D848" t="s">
        <v>1280</v>
      </c>
      <c r="E848" t="s">
        <v>1294</v>
      </c>
      <c r="F848" s="1">
        <v>46281.272916666669</v>
      </c>
      <c r="G848" s="1">
        <v>46281.276388888888</v>
      </c>
      <c r="H848">
        <v>2</v>
      </c>
      <c r="I848">
        <v>5</v>
      </c>
      <c r="J848" t="b">
        <v>0</v>
      </c>
      <c r="K848" t="b">
        <v>0</v>
      </c>
      <c r="L848" t="b">
        <v>0</v>
      </c>
      <c r="M848">
        <v>4</v>
      </c>
      <c r="N848" t="s">
        <v>1118</v>
      </c>
      <c r="O848" s="1">
        <v>46281.256944444453</v>
      </c>
      <c r="P848" t="b">
        <v>0</v>
      </c>
      <c r="Q848" t="s">
        <v>1119</v>
      </c>
      <c r="R848" t="s">
        <v>1145</v>
      </c>
      <c r="S848" t="s">
        <v>1132</v>
      </c>
      <c r="T848" t="s">
        <v>1122</v>
      </c>
      <c r="U848" t="s">
        <v>1123</v>
      </c>
      <c r="V848" t="s">
        <v>1151</v>
      </c>
      <c r="W848" t="s">
        <v>1257</v>
      </c>
      <c r="X848">
        <v>6</v>
      </c>
      <c r="Y848" t="s">
        <v>1161</v>
      </c>
      <c r="Z848" t="s">
        <v>1147</v>
      </c>
      <c r="AA848">
        <v>2.5</v>
      </c>
    </row>
    <row r="849" spans="1:27" x14ac:dyDescent="0.3">
      <c r="A849" t="s">
        <v>153</v>
      </c>
      <c r="B849" t="s">
        <v>1286</v>
      </c>
      <c r="C849" t="s">
        <v>1083</v>
      </c>
      <c r="D849" t="s">
        <v>1283</v>
      </c>
      <c r="E849" t="s">
        <v>1344</v>
      </c>
      <c r="F849" s="1">
        <v>46290.363888888889</v>
      </c>
      <c r="G849" s="1">
        <v>46290.367361111108</v>
      </c>
      <c r="H849">
        <v>1</v>
      </c>
      <c r="I849">
        <v>5</v>
      </c>
      <c r="J849" t="b">
        <v>0</v>
      </c>
      <c r="K849" t="b">
        <v>0</v>
      </c>
      <c r="L849" t="b">
        <v>0</v>
      </c>
      <c r="M849">
        <v>15</v>
      </c>
      <c r="N849" t="s">
        <v>1118</v>
      </c>
      <c r="O849" s="1">
        <v>46290.302777777782</v>
      </c>
      <c r="P849" t="b">
        <v>0</v>
      </c>
      <c r="Q849" t="s">
        <v>1156</v>
      </c>
      <c r="R849" t="s">
        <v>1131</v>
      </c>
      <c r="S849" t="s">
        <v>1132</v>
      </c>
      <c r="T849" t="s">
        <v>1180</v>
      </c>
      <c r="U849" t="s">
        <v>1123</v>
      </c>
      <c r="V849" t="s">
        <v>1284</v>
      </c>
      <c r="W849" t="s">
        <v>1131</v>
      </c>
      <c r="X849">
        <v>7</v>
      </c>
      <c r="Y849" t="s">
        <v>1142</v>
      </c>
      <c r="Z849" t="s">
        <v>1127</v>
      </c>
      <c r="AA849">
        <v>5</v>
      </c>
    </row>
    <row r="850" spans="1:27" x14ac:dyDescent="0.3">
      <c r="A850" t="s">
        <v>685</v>
      </c>
      <c r="B850" t="s">
        <v>1489</v>
      </c>
      <c r="C850" t="s">
        <v>1057</v>
      </c>
      <c r="D850" t="s">
        <v>1339</v>
      </c>
      <c r="E850" t="s">
        <v>1228</v>
      </c>
      <c r="F850" s="1">
        <v>46283.672222222223</v>
      </c>
      <c r="G850" s="1">
        <v>46283.675694444442</v>
      </c>
      <c r="H850">
        <v>3</v>
      </c>
      <c r="I850">
        <v>5</v>
      </c>
      <c r="J850" t="b">
        <v>0</v>
      </c>
      <c r="K850" t="b">
        <v>0</v>
      </c>
      <c r="L850" t="b">
        <v>0</v>
      </c>
      <c r="M850">
        <v>4</v>
      </c>
      <c r="N850" t="s">
        <v>1118</v>
      </c>
      <c r="O850" s="1">
        <v>46283.657638888893</v>
      </c>
      <c r="P850" t="b">
        <v>0</v>
      </c>
      <c r="Q850" t="s">
        <v>1179</v>
      </c>
      <c r="R850" t="s">
        <v>1145</v>
      </c>
      <c r="S850" t="s">
        <v>1157</v>
      </c>
      <c r="T850" t="s">
        <v>1122</v>
      </c>
      <c r="U850" t="s">
        <v>1172</v>
      </c>
      <c r="V850" t="s">
        <v>1284</v>
      </c>
      <c r="W850" t="s">
        <v>1257</v>
      </c>
      <c r="X850">
        <v>15</v>
      </c>
      <c r="Y850" t="s">
        <v>1142</v>
      </c>
      <c r="Z850" t="s">
        <v>1147</v>
      </c>
      <c r="AA850">
        <v>1.666666666666667</v>
      </c>
    </row>
    <row r="851" spans="1:27" x14ac:dyDescent="0.3">
      <c r="A851" t="s">
        <v>690</v>
      </c>
      <c r="B851" t="s">
        <v>1392</v>
      </c>
      <c r="C851" t="s">
        <v>1069</v>
      </c>
      <c r="D851" t="s">
        <v>1283</v>
      </c>
      <c r="E851" t="s">
        <v>1159</v>
      </c>
      <c r="F851" s="1">
        <v>46279.833333333343</v>
      </c>
      <c r="G851" s="1">
        <v>46279.836805555547</v>
      </c>
      <c r="H851">
        <v>4</v>
      </c>
      <c r="I851">
        <v>5</v>
      </c>
      <c r="J851" t="b">
        <v>0</v>
      </c>
      <c r="K851" t="b">
        <v>0</v>
      </c>
      <c r="L851" t="b">
        <v>0</v>
      </c>
      <c r="M851">
        <v>12</v>
      </c>
      <c r="N851" t="s">
        <v>1118</v>
      </c>
      <c r="O851" s="1">
        <v>46279.723611111112</v>
      </c>
      <c r="P851" t="b">
        <v>0</v>
      </c>
      <c r="Q851" t="s">
        <v>1138</v>
      </c>
      <c r="R851" t="s">
        <v>1120</v>
      </c>
      <c r="S851" t="s">
        <v>1132</v>
      </c>
      <c r="T851" t="s">
        <v>1140</v>
      </c>
      <c r="U851" t="s">
        <v>1172</v>
      </c>
      <c r="V851" t="s">
        <v>1284</v>
      </c>
      <c r="W851" t="s">
        <v>1131</v>
      </c>
      <c r="X851">
        <v>17</v>
      </c>
      <c r="Y851" t="s">
        <v>1185</v>
      </c>
      <c r="Z851" t="s">
        <v>1127</v>
      </c>
      <c r="AA851">
        <v>1.25</v>
      </c>
    </row>
    <row r="852" spans="1:27" x14ac:dyDescent="0.3">
      <c r="A852" t="s">
        <v>692</v>
      </c>
      <c r="B852" t="s">
        <v>1392</v>
      </c>
      <c r="C852" t="s">
        <v>1063</v>
      </c>
      <c r="D852" t="s">
        <v>1280</v>
      </c>
      <c r="E852" t="s">
        <v>1144</v>
      </c>
      <c r="F852" s="1">
        <v>46279.788194444453</v>
      </c>
      <c r="G852" s="1">
        <v>46279.791666666657</v>
      </c>
      <c r="H852">
        <v>3</v>
      </c>
      <c r="I852">
        <v>5</v>
      </c>
      <c r="J852" t="b">
        <v>0</v>
      </c>
      <c r="K852" t="b">
        <v>0</v>
      </c>
      <c r="L852" t="b">
        <v>0</v>
      </c>
      <c r="M852">
        <v>12</v>
      </c>
      <c r="N852" t="s">
        <v>1118</v>
      </c>
      <c r="O852" s="1">
        <v>46279.723611111112</v>
      </c>
      <c r="P852" t="b">
        <v>0</v>
      </c>
      <c r="Q852" t="s">
        <v>1138</v>
      </c>
      <c r="R852" t="s">
        <v>1120</v>
      </c>
      <c r="S852" t="s">
        <v>1145</v>
      </c>
      <c r="T852" t="s">
        <v>1122</v>
      </c>
      <c r="U852" t="s">
        <v>1172</v>
      </c>
      <c r="V852" t="s">
        <v>1151</v>
      </c>
      <c r="W852" t="s">
        <v>1257</v>
      </c>
      <c r="X852">
        <v>17</v>
      </c>
      <c r="Y852" t="s">
        <v>1185</v>
      </c>
      <c r="Z852" t="s">
        <v>1127</v>
      </c>
      <c r="AA852">
        <v>1.666666666666667</v>
      </c>
    </row>
    <row r="853" spans="1:27" x14ac:dyDescent="0.3">
      <c r="A853" t="s">
        <v>489</v>
      </c>
      <c r="B853" t="s">
        <v>1304</v>
      </c>
      <c r="C853" t="s">
        <v>1075</v>
      </c>
      <c r="D853" t="s">
        <v>1283</v>
      </c>
      <c r="E853" t="s">
        <v>1371</v>
      </c>
      <c r="F853" s="1">
        <v>46268.132638888892</v>
      </c>
      <c r="G853" s="1">
        <v>46268.136111111111</v>
      </c>
      <c r="H853">
        <v>1</v>
      </c>
      <c r="I853">
        <v>5</v>
      </c>
      <c r="J853" t="b">
        <v>0</v>
      </c>
      <c r="K853" t="b">
        <v>0</v>
      </c>
      <c r="L853" t="b">
        <v>0</v>
      </c>
      <c r="M853">
        <v>15</v>
      </c>
      <c r="N853" t="s">
        <v>1118</v>
      </c>
      <c r="O853" s="1">
        <v>46268.107638888891</v>
      </c>
      <c r="P853" t="b">
        <v>0</v>
      </c>
      <c r="Q853" t="s">
        <v>1138</v>
      </c>
      <c r="R853" t="s">
        <v>1131</v>
      </c>
      <c r="S853" t="s">
        <v>1157</v>
      </c>
      <c r="T853" t="s">
        <v>1122</v>
      </c>
      <c r="U853" t="s">
        <v>1172</v>
      </c>
      <c r="V853" t="s">
        <v>1284</v>
      </c>
      <c r="W853" t="s">
        <v>1131</v>
      </c>
      <c r="X853">
        <v>2</v>
      </c>
      <c r="Y853" t="s">
        <v>1146</v>
      </c>
      <c r="Z853" t="s">
        <v>1127</v>
      </c>
      <c r="AA853">
        <v>5</v>
      </c>
    </row>
    <row r="854" spans="1:27" x14ac:dyDescent="0.3">
      <c r="A854" t="s">
        <v>108</v>
      </c>
      <c r="B854" t="s">
        <v>1490</v>
      </c>
      <c r="C854" t="s">
        <v>1069</v>
      </c>
      <c r="D854" t="s">
        <v>1255</v>
      </c>
      <c r="E854" t="s">
        <v>1237</v>
      </c>
      <c r="F854" s="1">
        <v>46285.874305555553</v>
      </c>
      <c r="G854" s="1">
        <v>46285.87777777778</v>
      </c>
      <c r="H854">
        <v>1</v>
      </c>
      <c r="I854">
        <v>5</v>
      </c>
      <c r="J854" t="b">
        <v>0</v>
      </c>
      <c r="K854" t="b">
        <v>0</v>
      </c>
      <c r="L854" t="b">
        <v>0</v>
      </c>
      <c r="M854">
        <v>5</v>
      </c>
      <c r="N854" t="s">
        <v>1118</v>
      </c>
      <c r="O854" s="1">
        <v>46285.784722222219</v>
      </c>
      <c r="P854" t="b">
        <v>0</v>
      </c>
      <c r="Q854" t="s">
        <v>1151</v>
      </c>
      <c r="R854" t="s">
        <v>1120</v>
      </c>
      <c r="S854" t="s">
        <v>1152</v>
      </c>
      <c r="T854" t="s">
        <v>1140</v>
      </c>
      <c r="U854" t="s">
        <v>1172</v>
      </c>
      <c r="V854" t="s">
        <v>1141</v>
      </c>
      <c r="W854" t="s">
        <v>1257</v>
      </c>
      <c r="X854">
        <v>18</v>
      </c>
      <c r="Y854" t="s">
        <v>1133</v>
      </c>
      <c r="Z854" t="s">
        <v>1147</v>
      </c>
      <c r="AA854">
        <v>5</v>
      </c>
    </row>
    <row r="855" spans="1:27" x14ac:dyDescent="0.3">
      <c r="A855" t="s">
        <v>468</v>
      </c>
      <c r="B855" t="s">
        <v>1430</v>
      </c>
      <c r="C855" t="s">
        <v>1069</v>
      </c>
      <c r="D855" t="s">
        <v>1339</v>
      </c>
      <c r="E855" t="s">
        <v>1175</v>
      </c>
      <c r="F855" s="1">
        <v>46289.619444444441</v>
      </c>
      <c r="G855" s="1">
        <v>46289.622916666667</v>
      </c>
      <c r="H855">
        <v>6</v>
      </c>
      <c r="I855">
        <v>5</v>
      </c>
      <c r="J855" t="b">
        <v>0</v>
      </c>
      <c r="K855" t="b">
        <v>0</v>
      </c>
      <c r="L855" t="b">
        <v>0</v>
      </c>
      <c r="M855">
        <v>3</v>
      </c>
      <c r="N855" t="s">
        <v>1130</v>
      </c>
      <c r="O855" s="1">
        <v>46289.537499999999</v>
      </c>
      <c r="P855" t="b">
        <v>0</v>
      </c>
      <c r="Q855" t="s">
        <v>1169</v>
      </c>
      <c r="R855" t="s">
        <v>1139</v>
      </c>
      <c r="S855" t="s">
        <v>1152</v>
      </c>
      <c r="T855" t="s">
        <v>1140</v>
      </c>
      <c r="U855" t="s">
        <v>1172</v>
      </c>
      <c r="V855" t="s">
        <v>1284</v>
      </c>
      <c r="W855" t="s">
        <v>1257</v>
      </c>
      <c r="X855">
        <v>12</v>
      </c>
      <c r="Y855" t="s">
        <v>1146</v>
      </c>
      <c r="Z855" t="s">
        <v>1147</v>
      </c>
      <c r="AA855">
        <v>0.83333333333333337</v>
      </c>
    </row>
    <row r="856" spans="1:27" x14ac:dyDescent="0.3">
      <c r="A856" t="s">
        <v>109</v>
      </c>
      <c r="B856" t="s">
        <v>1465</v>
      </c>
      <c r="C856" t="s">
        <v>1081</v>
      </c>
      <c r="D856" t="s">
        <v>1339</v>
      </c>
      <c r="E856" t="s">
        <v>1249</v>
      </c>
      <c r="F856" s="1">
        <v>46271.392361111109</v>
      </c>
      <c r="G856" s="1">
        <v>46271.395833333343</v>
      </c>
      <c r="H856">
        <v>2</v>
      </c>
      <c r="I856">
        <v>5</v>
      </c>
      <c r="J856" t="b">
        <v>0</v>
      </c>
      <c r="K856" t="b">
        <v>0</v>
      </c>
      <c r="L856" t="b">
        <v>0</v>
      </c>
      <c r="M856">
        <v>5</v>
      </c>
      <c r="N856" t="s">
        <v>1118</v>
      </c>
      <c r="O856" s="1">
        <v>46271.359027777777</v>
      </c>
      <c r="P856" t="b">
        <v>0</v>
      </c>
      <c r="Q856" t="s">
        <v>1169</v>
      </c>
      <c r="R856" t="s">
        <v>1131</v>
      </c>
      <c r="S856" t="s">
        <v>1157</v>
      </c>
      <c r="T856" t="s">
        <v>1180</v>
      </c>
      <c r="U856" t="s">
        <v>1247</v>
      </c>
      <c r="V856" t="s">
        <v>1284</v>
      </c>
      <c r="W856" t="s">
        <v>1257</v>
      </c>
      <c r="X856">
        <v>8</v>
      </c>
      <c r="Y856" t="s">
        <v>1133</v>
      </c>
      <c r="Z856" t="s">
        <v>1147</v>
      </c>
      <c r="AA856">
        <v>2.5</v>
      </c>
    </row>
    <row r="857" spans="1:27" x14ac:dyDescent="0.3">
      <c r="A857" t="s">
        <v>944</v>
      </c>
      <c r="B857" t="s">
        <v>1315</v>
      </c>
      <c r="C857" t="s">
        <v>1078</v>
      </c>
      <c r="D857" t="s">
        <v>1283</v>
      </c>
      <c r="E857" t="s">
        <v>1253</v>
      </c>
      <c r="F857" s="1">
        <v>46278.412499999999</v>
      </c>
      <c r="G857" s="1">
        <v>46278.415972222218</v>
      </c>
      <c r="H857">
        <v>6</v>
      </c>
      <c r="I857">
        <v>5</v>
      </c>
      <c r="J857" t="b">
        <v>0</v>
      </c>
      <c r="K857" t="b">
        <v>0</v>
      </c>
      <c r="L857" t="b">
        <v>0</v>
      </c>
      <c r="N857" t="s">
        <v>1118</v>
      </c>
      <c r="O857" s="1">
        <v>46278.355555555558</v>
      </c>
      <c r="P857" t="b">
        <v>1</v>
      </c>
      <c r="Q857" t="s">
        <v>1156</v>
      </c>
      <c r="R857" t="s">
        <v>1139</v>
      </c>
      <c r="S857" t="s">
        <v>1121</v>
      </c>
      <c r="T857" t="s">
        <v>1145</v>
      </c>
      <c r="U857" t="s">
        <v>1172</v>
      </c>
      <c r="V857" t="s">
        <v>1284</v>
      </c>
      <c r="W857" t="s">
        <v>1131</v>
      </c>
      <c r="X857">
        <v>8</v>
      </c>
      <c r="Y857" t="s">
        <v>1133</v>
      </c>
      <c r="AA857">
        <v>0.83333333333333337</v>
      </c>
    </row>
    <row r="858" spans="1:27" x14ac:dyDescent="0.3">
      <c r="A858" t="s">
        <v>749</v>
      </c>
      <c r="B858" t="s">
        <v>1373</v>
      </c>
      <c r="C858" t="s">
        <v>1065</v>
      </c>
      <c r="D858" t="s">
        <v>1339</v>
      </c>
      <c r="E858" t="s">
        <v>1196</v>
      </c>
      <c r="F858" s="1">
        <v>46285.4</v>
      </c>
      <c r="G858" s="1">
        <v>46285.40347222222</v>
      </c>
      <c r="H858">
        <v>6</v>
      </c>
      <c r="I858">
        <v>5</v>
      </c>
      <c r="J858" t="b">
        <v>0</v>
      </c>
      <c r="K858" t="b">
        <v>0</v>
      </c>
      <c r="L858" t="b">
        <v>0</v>
      </c>
      <c r="M858">
        <v>8</v>
      </c>
      <c r="N858" t="s">
        <v>1118</v>
      </c>
      <c r="O858" s="1">
        <v>46285.378472222219</v>
      </c>
      <c r="P858" t="b">
        <v>0</v>
      </c>
      <c r="Q858" t="s">
        <v>1138</v>
      </c>
      <c r="R858" t="s">
        <v>1120</v>
      </c>
      <c r="S858" t="s">
        <v>1121</v>
      </c>
      <c r="T858" t="s">
        <v>1180</v>
      </c>
      <c r="U858" t="s">
        <v>1247</v>
      </c>
      <c r="V858" t="s">
        <v>1284</v>
      </c>
      <c r="W858" t="s">
        <v>1257</v>
      </c>
      <c r="X858">
        <v>9</v>
      </c>
      <c r="Y858" t="s">
        <v>1133</v>
      </c>
      <c r="Z858" t="s">
        <v>1134</v>
      </c>
      <c r="AA858">
        <v>0.83333333333333337</v>
      </c>
    </row>
    <row r="859" spans="1:27" x14ac:dyDescent="0.3">
      <c r="A859" t="s">
        <v>247</v>
      </c>
      <c r="B859" t="s">
        <v>1428</v>
      </c>
      <c r="C859" t="s">
        <v>1087</v>
      </c>
      <c r="D859" t="s">
        <v>1255</v>
      </c>
      <c r="E859" t="s">
        <v>1418</v>
      </c>
      <c r="F859" s="1">
        <v>46283.402083333327</v>
      </c>
      <c r="G859" s="1">
        <v>46283.405555555553</v>
      </c>
      <c r="H859">
        <v>3</v>
      </c>
      <c r="I859">
        <v>5</v>
      </c>
      <c r="J859" t="b">
        <v>0</v>
      </c>
      <c r="K859" t="b">
        <v>0</v>
      </c>
      <c r="L859" t="b">
        <v>0</v>
      </c>
      <c r="M859">
        <v>20</v>
      </c>
      <c r="N859" t="s">
        <v>1130</v>
      </c>
      <c r="O859" s="1">
        <v>46283.30972222222</v>
      </c>
      <c r="P859" t="b">
        <v>0</v>
      </c>
      <c r="Q859" t="s">
        <v>1179</v>
      </c>
      <c r="R859" t="s">
        <v>1120</v>
      </c>
      <c r="S859" t="s">
        <v>1157</v>
      </c>
      <c r="T859" t="s">
        <v>1145</v>
      </c>
      <c r="U859" t="s">
        <v>1247</v>
      </c>
      <c r="V859" t="s">
        <v>1141</v>
      </c>
      <c r="W859" t="s">
        <v>1257</v>
      </c>
      <c r="X859">
        <v>7</v>
      </c>
      <c r="Y859" t="s">
        <v>1142</v>
      </c>
      <c r="Z859" t="s">
        <v>1127</v>
      </c>
      <c r="AA859">
        <v>1.666666666666667</v>
      </c>
    </row>
    <row r="860" spans="1:27" x14ac:dyDescent="0.3">
      <c r="A860" t="s">
        <v>680</v>
      </c>
      <c r="B860" t="s">
        <v>1386</v>
      </c>
      <c r="C860" t="s">
        <v>1084</v>
      </c>
      <c r="D860" t="s">
        <v>1280</v>
      </c>
      <c r="E860" t="s">
        <v>1150</v>
      </c>
      <c r="F860" s="1">
        <v>46282.45</v>
      </c>
      <c r="G860" s="1">
        <v>46282.453472222223</v>
      </c>
      <c r="H860">
        <v>4</v>
      </c>
      <c r="I860">
        <v>5</v>
      </c>
      <c r="J860" t="b">
        <v>0</v>
      </c>
      <c r="K860" t="b">
        <v>0</v>
      </c>
      <c r="L860" t="b">
        <v>0</v>
      </c>
      <c r="M860">
        <v>6</v>
      </c>
      <c r="N860" t="s">
        <v>1155</v>
      </c>
      <c r="O860" s="1">
        <v>46282.35</v>
      </c>
      <c r="P860" t="b">
        <v>0</v>
      </c>
      <c r="Q860" t="s">
        <v>1151</v>
      </c>
      <c r="R860" t="s">
        <v>1131</v>
      </c>
      <c r="S860" t="s">
        <v>1121</v>
      </c>
      <c r="T860" t="s">
        <v>1122</v>
      </c>
      <c r="U860" t="s">
        <v>1247</v>
      </c>
      <c r="V860" t="s">
        <v>1151</v>
      </c>
      <c r="W860" t="s">
        <v>1257</v>
      </c>
      <c r="X860">
        <v>8</v>
      </c>
      <c r="Y860" t="s">
        <v>1146</v>
      </c>
      <c r="Z860" t="s">
        <v>1134</v>
      </c>
      <c r="AA860">
        <v>1.25</v>
      </c>
    </row>
    <row r="861" spans="1:27" x14ac:dyDescent="0.3">
      <c r="A861" t="s">
        <v>400</v>
      </c>
      <c r="B861" t="s">
        <v>1279</v>
      </c>
      <c r="C861" t="s">
        <v>1077</v>
      </c>
      <c r="D861" t="s">
        <v>1339</v>
      </c>
      <c r="E861" t="s">
        <v>1292</v>
      </c>
      <c r="F861" s="1">
        <v>46268.657638888893</v>
      </c>
      <c r="G861" s="1">
        <v>46268.661111111112</v>
      </c>
      <c r="H861">
        <v>3</v>
      </c>
      <c r="I861">
        <v>5</v>
      </c>
      <c r="J861" t="b">
        <v>0</v>
      </c>
      <c r="K861" t="b">
        <v>0</v>
      </c>
      <c r="L861" t="b">
        <v>0</v>
      </c>
      <c r="M861">
        <v>20</v>
      </c>
      <c r="N861" t="s">
        <v>1118</v>
      </c>
      <c r="O861" s="1">
        <v>46268.624305555553</v>
      </c>
      <c r="P861" t="b">
        <v>0</v>
      </c>
      <c r="Q861" t="s">
        <v>1179</v>
      </c>
      <c r="R861" t="s">
        <v>1131</v>
      </c>
      <c r="S861" t="s">
        <v>1152</v>
      </c>
      <c r="T861" t="s">
        <v>1122</v>
      </c>
      <c r="U861" t="s">
        <v>1172</v>
      </c>
      <c r="V861" t="s">
        <v>1284</v>
      </c>
      <c r="W861" t="s">
        <v>1257</v>
      </c>
      <c r="X861">
        <v>14</v>
      </c>
      <c r="Y861" t="s">
        <v>1146</v>
      </c>
      <c r="Z861" t="s">
        <v>1127</v>
      </c>
      <c r="AA861">
        <v>1.666666666666667</v>
      </c>
    </row>
    <row r="862" spans="1:27" x14ac:dyDescent="0.3">
      <c r="A862" t="s">
        <v>397</v>
      </c>
      <c r="B862" t="s">
        <v>1311</v>
      </c>
      <c r="C862" t="s">
        <v>1060</v>
      </c>
      <c r="D862" t="s">
        <v>1339</v>
      </c>
      <c r="E862" t="s">
        <v>1184</v>
      </c>
      <c r="F862" s="1">
        <v>46287.600694444453</v>
      </c>
      <c r="G862" s="1">
        <v>46287.604166666657</v>
      </c>
      <c r="H862">
        <v>4</v>
      </c>
      <c r="I862">
        <v>5</v>
      </c>
      <c r="J862" t="b">
        <v>0</v>
      </c>
      <c r="K862" t="b">
        <v>0</v>
      </c>
      <c r="L862" t="b">
        <v>0</v>
      </c>
      <c r="M862">
        <v>6</v>
      </c>
      <c r="N862" t="s">
        <v>1118</v>
      </c>
      <c r="O862" s="1">
        <v>46287.543749999997</v>
      </c>
      <c r="P862" t="b">
        <v>0</v>
      </c>
      <c r="Q862" t="s">
        <v>1156</v>
      </c>
      <c r="R862" t="s">
        <v>1131</v>
      </c>
      <c r="S862" t="s">
        <v>1132</v>
      </c>
      <c r="T862" t="s">
        <v>1140</v>
      </c>
      <c r="U862" t="s">
        <v>1145</v>
      </c>
      <c r="V862" t="s">
        <v>1284</v>
      </c>
      <c r="W862" t="s">
        <v>1257</v>
      </c>
      <c r="X862">
        <v>13</v>
      </c>
      <c r="Y862" t="s">
        <v>1126</v>
      </c>
      <c r="Z862" t="s">
        <v>1134</v>
      </c>
      <c r="AA862">
        <v>1.25</v>
      </c>
    </row>
    <row r="863" spans="1:27" x14ac:dyDescent="0.3">
      <c r="A863" t="s">
        <v>514</v>
      </c>
      <c r="B863" t="s">
        <v>1367</v>
      </c>
      <c r="C863" t="s">
        <v>1072</v>
      </c>
      <c r="D863" t="s">
        <v>1339</v>
      </c>
      <c r="E863" t="s">
        <v>1332</v>
      </c>
      <c r="F863" s="1">
        <v>46278.462500000001</v>
      </c>
      <c r="G863" s="1">
        <v>46278.46597222222</v>
      </c>
      <c r="H863">
        <v>4</v>
      </c>
      <c r="I863">
        <v>5</v>
      </c>
      <c r="J863" t="b">
        <v>0</v>
      </c>
      <c r="K863" t="b">
        <v>0</v>
      </c>
      <c r="L863" t="b">
        <v>0</v>
      </c>
      <c r="M863">
        <v>15</v>
      </c>
      <c r="N863" t="s">
        <v>1155</v>
      </c>
      <c r="O863" s="1">
        <v>46278.393055555563</v>
      </c>
      <c r="P863" t="b">
        <v>0</v>
      </c>
      <c r="Q863" t="s">
        <v>1179</v>
      </c>
      <c r="R863" t="s">
        <v>1120</v>
      </c>
      <c r="S863" t="s">
        <v>1132</v>
      </c>
      <c r="T863" t="s">
        <v>1180</v>
      </c>
      <c r="U863" t="s">
        <v>1172</v>
      </c>
      <c r="V863" t="s">
        <v>1284</v>
      </c>
      <c r="W863" t="s">
        <v>1257</v>
      </c>
      <c r="X863">
        <v>9</v>
      </c>
      <c r="Y863" t="s">
        <v>1133</v>
      </c>
      <c r="Z863" t="s">
        <v>1127</v>
      </c>
      <c r="AA863">
        <v>1.25</v>
      </c>
    </row>
    <row r="864" spans="1:27" x14ac:dyDescent="0.3">
      <c r="A864" t="s">
        <v>995</v>
      </c>
      <c r="B864" t="s">
        <v>1451</v>
      </c>
      <c r="C864" t="s">
        <v>1057</v>
      </c>
      <c r="D864" t="s">
        <v>1149</v>
      </c>
      <c r="E864" t="s">
        <v>1207</v>
      </c>
      <c r="F864" s="1">
        <v>46291.981249999997</v>
      </c>
      <c r="G864" s="1">
        <v>46291.984722222223</v>
      </c>
      <c r="H864">
        <v>1</v>
      </c>
      <c r="I864">
        <v>5</v>
      </c>
      <c r="J864" t="b">
        <v>0</v>
      </c>
      <c r="K864" t="b">
        <v>0</v>
      </c>
      <c r="L864" t="b">
        <v>0</v>
      </c>
      <c r="M864">
        <v>6</v>
      </c>
      <c r="N864" t="s">
        <v>1118</v>
      </c>
      <c r="O864" s="1">
        <v>46291.857638888891</v>
      </c>
      <c r="P864" t="b">
        <v>0</v>
      </c>
      <c r="Q864" t="s">
        <v>1179</v>
      </c>
      <c r="R864" t="s">
        <v>1131</v>
      </c>
      <c r="S864" t="s">
        <v>1157</v>
      </c>
      <c r="T864" t="s">
        <v>1122</v>
      </c>
      <c r="U864" t="s">
        <v>1172</v>
      </c>
      <c r="V864" t="s">
        <v>1152</v>
      </c>
      <c r="W864" t="s">
        <v>1145</v>
      </c>
      <c r="X864">
        <v>20</v>
      </c>
      <c r="Y864" t="s">
        <v>1173</v>
      </c>
      <c r="Z864" t="s">
        <v>1134</v>
      </c>
      <c r="AA864">
        <v>5</v>
      </c>
    </row>
    <row r="865" spans="1:27" x14ac:dyDescent="0.3">
      <c r="A865" t="s">
        <v>436</v>
      </c>
      <c r="B865" t="s">
        <v>1115</v>
      </c>
      <c r="C865" t="s">
        <v>1080</v>
      </c>
      <c r="D865" t="s">
        <v>1149</v>
      </c>
      <c r="E865" t="s">
        <v>1261</v>
      </c>
      <c r="F865" s="1">
        <v>46294.240972222222</v>
      </c>
      <c r="G865" s="1">
        <v>46294.244444444441</v>
      </c>
      <c r="H865">
        <v>1</v>
      </c>
      <c r="I865">
        <v>5</v>
      </c>
      <c r="J865" t="b">
        <v>0</v>
      </c>
      <c r="K865" t="b">
        <v>0</v>
      </c>
      <c r="L865" t="b">
        <v>0</v>
      </c>
      <c r="M865">
        <v>15</v>
      </c>
      <c r="N865" t="s">
        <v>1118</v>
      </c>
      <c r="O865" s="1">
        <v>46294.216666666667</v>
      </c>
      <c r="P865" t="b">
        <v>0</v>
      </c>
      <c r="Q865" t="s">
        <v>1151</v>
      </c>
      <c r="R865" t="s">
        <v>1120</v>
      </c>
      <c r="S865" t="s">
        <v>1157</v>
      </c>
      <c r="T865" t="s">
        <v>1122</v>
      </c>
      <c r="U865" t="s">
        <v>1247</v>
      </c>
      <c r="V865" t="s">
        <v>1152</v>
      </c>
      <c r="W865" t="s">
        <v>1145</v>
      </c>
      <c r="X865">
        <v>5</v>
      </c>
      <c r="Y865" t="s">
        <v>1126</v>
      </c>
      <c r="Z865" t="s">
        <v>1127</v>
      </c>
      <c r="AA865">
        <v>5</v>
      </c>
    </row>
    <row r="866" spans="1:27" x14ac:dyDescent="0.3">
      <c r="A866" t="s">
        <v>427</v>
      </c>
      <c r="B866" t="s">
        <v>1143</v>
      </c>
      <c r="C866" t="s">
        <v>1087</v>
      </c>
      <c r="D866" t="s">
        <v>1255</v>
      </c>
      <c r="E866" t="s">
        <v>1265</v>
      </c>
      <c r="F866" s="1">
        <v>46289.293055555558</v>
      </c>
      <c r="G866" s="1">
        <v>46289.296527777777</v>
      </c>
      <c r="H866">
        <v>7</v>
      </c>
      <c r="I866">
        <v>5</v>
      </c>
      <c r="J866" t="b">
        <v>0</v>
      </c>
      <c r="K866" t="b">
        <v>0</v>
      </c>
      <c r="L866" t="b">
        <v>0</v>
      </c>
      <c r="M866">
        <v>3</v>
      </c>
      <c r="N866" t="s">
        <v>1130</v>
      </c>
      <c r="O866" s="1">
        <v>46289.17083333333</v>
      </c>
      <c r="P866" t="b">
        <v>0</v>
      </c>
      <c r="Q866" t="s">
        <v>1179</v>
      </c>
      <c r="R866" t="s">
        <v>1139</v>
      </c>
      <c r="S866" t="s">
        <v>1157</v>
      </c>
      <c r="T866" t="s">
        <v>1145</v>
      </c>
      <c r="U866" t="s">
        <v>1247</v>
      </c>
      <c r="V866" t="s">
        <v>1141</v>
      </c>
      <c r="W866" t="s">
        <v>1257</v>
      </c>
      <c r="X866">
        <v>4</v>
      </c>
      <c r="Y866" t="s">
        <v>1146</v>
      </c>
      <c r="Z866" t="s">
        <v>1147</v>
      </c>
      <c r="AA866">
        <v>0.7142857142857143</v>
      </c>
    </row>
    <row r="867" spans="1:27" x14ac:dyDescent="0.3">
      <c r="A867" t="s">
        <v>1007</v>
      </c>
      <c r="B867" t="s">
        <v>1331</v>
      </c>
      <c r="C867" t="s">
        <v>1075</v>
      </c>
      <c r="D867" t="s">
        <v>1255</v>
      </c>
      <c r="E867" t="s">
        <v>1317</v>
      </c>
      <c r="F867" s="1">
        <v>46272.699305555558</v>
      </c>
      <c r="G867" s="1">
        <v>46272.702777777777</v>
      </c>
      <c r="H867">
        <v>2</v>
      </c>
      <c r="I867">
        <v>5</v>
      </c>
      <c r="J867" t="b">
        <v>0</v>
      </c>
      <c r="K867" t="b">
        <v>0</v>
      </c>
      <c r="L867" t="b">
        <v>0</v>
      </c>
      <c r="M867">
        <v>10</v>
      </c>
      <c r="N867" t="s">
        <v>1168</v>
      </c>
      <c r="O867" s="1">
        <v>46272.580555555563</v>
      </c>
      <c r="P867" t="b">
        <v>0</v>
      </c>
      <c r="Q867" t="s">
        <v>1156</v>
      </c>
      <c r="R867" t="s">
        <v>1120</v>
      </c>
      <c r="S867" t="s">
        <v>1152</v>
      </c>
      <c r="T867" t="s">
        <v>1122</v>
      </c>
      <c r="U867" t="s">
        <v>1172</v>
      </c>
      <c r="V867" t="s">
        <v>1141</v>
      </c>
      <c r="W867" t="s">
        <v>1257</v>
      </c>
      <c r="X867">
        <v>13</v>
      </c>
      <c r="Y867" t="s">
        <v>1185</v>
      </c>
      <c r="Z867" t="s">
        <v>1134</v>
      </c>
      <c r="AA867">
        <v>2.5</v>
      </c>
    </row>
    <row r="868" spans="1:27" x14ac:dyDescent="0.3">
      <c r="A868" t="s">
        <v>432</v>
      </c>
      <c r="B868" t="s">
        <v>1115</v>
      </c>
      <c r="C868" t="s">
        <v>1060</v>
      </c>
      <c r="D868" t="s">
        <v>1283</v>
      </c>
      <c r="E868" t="s">
        <v>1182</v>
      </c>
      <c r="F868" s="1">
        <v>46294.247916666667</v>
      </c>
      <c r="G868" s="1">
        <v>46294.251388888893</v>
      </c>
      <c r="H868">
        <v>1</v>
      </c>
      <c r="I868">
        <v>5</v>
      </c>
      <c r="J868" t="b">
        <v>0</v>
      </c>
      <c r="K868" t="b">
        <v>0</v>
      </c>
      <c r="L868" t="b">
        <v>0</v>
      </c>
      <c r="M868">
        <v>15</v>
      </c>
      <c r="N868" t="s">
        <v>1118</v>
      </c>
      <c r="O868" s="1">
        <v>46294.216666666667</v>
      </c>
      <c r="P868" t="b">
        <v>0</v>
      </c>
      <c r="Q868" t="s">
        <v>1119</v>
      </c>
      <c r="R868" t="s">
        <v>1131</v>
      </c>
      <c r="S868" t="s">
        <v>1121</v>
      </c>
      <c r="T868" t="s">
        <v>1140</v>
      </c>
      <c r="U868" t="s">
        <v>1145</v>
      </c>
      <c r="V868" t="s">
        <v>1284</v>
      </c>
      <c r="W868" t="s">
        <v>1131</v>
      </c>
      <c r="X868">
        <v>5</v>
      </c>
      <c r="Y868" t="s">
        <v>1126</v>
      </c>
      <c r="Z868" t="s">
        <v>1127</v>
      </c>
      <c r="AA868">
        <v>5</v>
      </c>
    </row>
    <row r="869" spans="1:27" x14ac:dyDescent="0.3">
      <c r="A869" t="s">
        <v>1048</v>
      </c>
      <c r="B869" t="s">
        <v>1426</v>
      </c>
      <c r="C869" t="s">
        <v>1085</v>
      </c>
      <c r="D869" t="s">
        <v>1149</v>
      </c>
      <c r="E869" t="s">
        <v>1167</v>
      </c>
      <c r="F869" s="1">
        <v>46281.570138888892</v>
      </c>
      <c r="G869" s="1">
        <v>46281.573611111111</v>
      </c>
      <c r="H869">
        <v>7</v>
      </c>
      <c r="I869">
        <v>5</v>
      </c>
      <c r="J869" t="b">
        <v>0</v>
      </c>
      <c r="K869" t="b">
        <v>0</v>
      </c>
      <c r="L869" t="b">
        <v>0</v>
      </c>
      <c r="M869">
        <v>6</v>
      </c>
      <c r="N869" t="s">
        <v>1130</v>
      </c>
      <c r="P869" t="b">
        <v>0</v>
      </c>
      <c r="Q869" t="s">
        <v>1169</v>
      </c>
      <c r="R869" t="s">
        <v>1131</v>
      </c>
      <c r="S869" t="s">
        <v>1157</v>
      </c>
      <c r="T869" t="s">
        <v>1122</v>
      </c>
      <c r="U869" t="s">
        <v>1247</v>
      </c>
      <c r="V869" t="s">
        <v>1152</v>
      </c>
      <c r="W869" t="s">
        <v>1145</v>
      </c>
      <c r="Z869" t="s">
        <v>1134</v>
      </c>
      <c r="AA869">
        <v>0.7142857142857143</v>
      </c>
    </row>
    <row r="870" spans="1:27" x14ac:dyDescent="0.3">
      <c r="A870" t="s">
        <v>101</v>
      </c>
      <c r="B870" t="s">
        <v>1202</v>
      </c>
      <c r="C870" t="s">
        <v>1063</v>
      </c>
      <c r="D870" t="s">
        <v>1283</v>
      </c>
      <c r="E870" t="s">
        <v>1364</v>
      </c>
      <c r="F870" s="1">
        <v>46293.132638888892</v>
      </c>
      <c r="G870" s="1">
        <v>46293.136111111111</v>
      </c>
      <c r="H870">
        <v>3</v>
      </c>
      <c r="I870">
        <v>5</v>
      </c>
      <c r="J870" t="b">
        <v>0</v>
      </c>
      <c r="K870" t="b">
        <v>0</v>
      </c>
      <c r="L870" t="b">
        <v>0</v>
      </c>
      <c r="M870">
        <v>8</v>
      </c>
      <c r="N870" t="s">
        <v>1118</v>
      </c>
      <c r="O870" s="1">
        <v>46293.128472222219</v>
      </c>
      <c r="P870" t="b">
        <v>0</v>
      </c>
      <c r="Q870" t="s">
        <v>1179</v>
      </c>
      <c r="R870" t="s">
        <v>1139</v>
      </c>
      <c r="S870" t="s">
        <v>1121</v>
      </c>
      <c r="T870" t="s">
        <v>1122</v>
      </c>
      <c r="U870" t="s">
        <v>1172</v>
      </c>
      <c r="V870" t="s">
        <v>1284</v>
      </c>
      <c r="W870" t="s">
        <v>1131</v>
      </c>
      <c r="X870">
        <v>3</v>
      </c>
      <c r="Y870" t="s">
        <v>1185</v>
      </c>
      <c r="Z870" t="s">
        <v>1134</v>
      </c>
      <c r="AA870">
        <v>1.666666666666667</v>
      </c>
    </row>
    <row r="871" spans="1:27" x14ac:dyDescent="0.3">
      <c r="A871" t="s">
        <v>985</v>
      </c>
      <c r="B871" t="s">
        <v>1330</v>
      </c>
      <c r="C871" t="s">
        <v>1060</v>
      </c>
      <c r="D871" t="s">
        <v>1280</v>
      </c>
      <c r="E871" t="s">
        <v>1223</v>
      </c>
      <c r="F871" s="1">
        <v>46273.743750000001</v>
      </c>
      <c r="G871" s="1">
        <v>46273.74722222222</v>
      </c>
      <c r="H871">
        <v>6</v>
      </c>
      <c r="I871">
        <v>5</v>
      </c>
      <c r="J871" t="b">
        <v>0</v>
      </c>
      <c r="K871" t="b">
        <v>0</v>
      </c>
      <c r="L871" t="b">
        <v>0</v>
      </c>
      <c r="M871">
        <v>5</v>
      </c>
      <c r="N871" t="s">
        <v>1118</v>
      </c>
      <c r="O871" s="1">
        <v>46273.655555555553</v>
      </c>
      <c r="P871" t="b">
        <v>0</v>
      </c>
      <c r="Q871" t="s">
        <v>1119</v>
      </c>
      <c r="R871" t="s">
        <v>1120</v>
      </c>
      <c r="S871" t="s">
        <v>1152</v>
      </c>
      <c r="T871" t="s">
        <v>1140</v>
      </c>
      <c r="U871" t="s">
        <v>1145</v>
      </c>
      <c r="V871" t="s">
        <v>1151</v>
      </c>
      <c r="W871" t="s">
        <v>1257</v>
      </c>
      <c r="X871">
        <v>15</v>
      </c>
      <c r="Y871" t="s">
        <v>1126</v>
      </c>
      <c r="Z871" t="s">
        <v>1147</v>
      </c>
      <c r="AA871">
        <v>0.83333333333333337</v>
      </c>
    </row>
    <row r="872" spans="1:27" x14ac:dyDescent="0.3">
      <c r="A872" t="s">
        <v>1034</v>
      </c>
      <c r="B872" t="s">
        <v>1363</v>
      </c>
      <c r="C872" t="s">
        <v>1086</v>
      </c>
      <c r="D872" t="s">
        <v>1238</v>
      </c>
      <c r="E872" t="s">
        <v>1383</v>
      </c>
      <c r="F872" s="1">
        <v>46278.063888888893</v>
      </c>
      <c r="G872" s="1">
        <v>46278.067361111112</v>
      </c>
      <c r="H872">
        <v>1</v>
      </c>
      <c r="I872">
        <v>5</v>
      </c>
      <c r="J872" t="b">
        <v>0</v>
      </c>
      <c r="K872" t="b">
        <v>0</v>
      </c>
      <c r="L872" t="b">
        <v>0</v>
      </c>
      <c r="M872">
        <v>5</v>
      </c>
      <c r="N872" t="s">
        <v>1168</v>
      </c>
      <c r="O872" s="1">
        <v>46277.988888888889</v>
      </c>
      <c r="P872" t="b">
        <v>0</v>
      </c>
      <c r="Q872" t="s">
        <v>1119</v>
      </c>
      <c r="R872" t="s">
        <v>1131</v>
      </c>
      <c r="S872" t="s">
        <v>1132</v>
      </c>
      <c r="T872" t="s">
        <v>1122</v>
      </c>
      <c r="U872" t="s">
        <v>1145</v>
      </c>
      <c r="V872" t="s">
        <v>1151</v>
      </c>
      <c r="W872" t="s">
        <v>1131</v>
      </c>
      <c r="X872">
        <v>23</v>
      </c>
      <c r="Y872" t="s">
        <v>1173</v>
      </c>
      <c r="Z872" t="s">
        <v>1147</v>
      </c>
      <c r="AA872">
        <v>5</v>
      </c>
    </row>
    <row r="873" spans="1:27" x14ac:dyDescent="0.3">
      <c r="A873" t="s">
        <v>715</v>
      </c>
      <c r="B873" t="s">
        <v>1399</v>
      </c>
      <c r="C873" t="s">
        <v>1064</v>
      </c>
      <c r="D873" t="s">
        <v>1339</v>
      </c>
      <c r="E873" t="s">
        <v>1267</v>
      </c>
      <c r="F873" s="1">
        <v>46291.302777777782</v>
      </c>
      <c r="G873" s="1">
        <v>46291.306250000001</v>
      </c>
      <c r="H873">
        <v>2</v>
      </c>
      <c r="I873">
        <v>5</v>
      </c>
      <c r="J873" t="b">
        <v>0</v>
      </c>
      <c r="K873" t="b">
        <v>0</v>
      </c>
      <c r="L873" t="b">
        <v>0</v>
      </c>
      <c r="M873">
        <v>10</v>
      </c>
      <c r="N873" t="s">
        <v>1118</v>
      </c>
      <c r="O873" s="1">
        <v>46291.222916666673</v>
      </c>
      <c r="P873" t="b">
        <v>0</v>
      </c>
      <c r="Q873" t="s">
        <v>1151</v>
      </c>
      <c r="R873" t="s">
        <v>1145</v>
      </c>
      <c r="S873" t="s">
        <v>1121</v>
      </c>
      <c r="T873" t="s">
        <v>1122</v>
      </c>
      <c r="U873" t="s">
        <v>1123</v>
      </c>
      <c r="V873" t="s">
        <v>1284</v>
      </c>
      <c r="W873" t="s">
        <v>1257</v>
      </c>
      <c r="X873">
        <v>5</v>
      </c>
      <c r="Y873" t="s">
        <v>1173</v>
      </c>
      <c r="Z873" t="s">
        <v>1134</v>
      </c>
      <c r="AA873">
        <v>2.5</v>
      </c>
    </row>
    <row r="874" spans="1:27" x14ac:dyDescent="0.3">
      <c r="A874" t="s">
        <v>55</v>
      </c>
      <c r="B874" t="s">
        <v>1153</v>
      </c>
      <c r="C874" t="s">
        <v>1061</v>
      </c>
      <c r="D874" t="s">
        <v>1283</v>
      </c>
      <c r="E874" t="s">
        <v>1150</v>
      </c>
      <c r="F874" s="1">
        <v>46280.340277777781</v>
      </c>
      <c r="G874" s="1">
        <v>46280.34375</v>
      </c>
      <c r="H874">
        <v>3</v>
      </c>
      <c r="I874">
        <v>5</v>
      </c>
      <c r="J874" t="b">
        <v>0</v>
      </c>
      <c r="K874" t="b">
        <v>0</v>
      </c>
      <c r="L874" t="b">
        <v>0</v>
      </c>
      <c r="M874">
        <v>10</v>
      </c>
      <c r="N874" t="s">
        <v>1155</v>
      </c>
      <c r="O874" s="1">
        <v>46280.222916666673</v>
      </c>
      <c r="P874" t="b">
        <v>0</v>
      </c>
      <c r="Q874" t="s">
        <v>1151</v>
      </c>
      <c r="R874" t="s">
        <v>1131</v>
      </c>
      <c r="S874" t="s">
        <v>1121</v>
      </c>
      <c r="T874" t="s">
        <v>1145</v>
      </c>
      <c r="U874" t="s">
        <v>1172</v>
      </c>
      <c r="V874" t="s">
        <v>1284</v>
      </c>
      <c r="W874" t="s">
        <v>1131</v>
      </c>
      <c r="X874">
        <v>5</v>
      </c>
      <c r="Y874" t="s">
        <v>1126</v>
      </c>
      <c r="Z874" t="s">
        <v>1134</v>
      </c>
      <c r="AA874">
        <v>1.666666666666667</v>
      </c>
    </row>
    <row r="875" spans="1:27" x14ac:dyDescent="0.3">
      <c r="A875" t="s">
        <v>988</v>
      </c>
      <c r="B875" t="s">
        <v>1290</v>
      </c>
      <c r="C875" t="s">
        <v>1069</v>
      </c>
      <c r="D875" t="s">
        <v>1238</v>
      </c>
      <c r="E875" t="s">
        <v>1231</v>
      </c>
      <c r="F875" s="1">
        <v>46266.96875</v>
      </c>
      <c r="G875" s="1">
        <v>46266.972222222219</v>
      </c>
      <c r="H875">
        <v>2</v>
      </c>
      <c r="I875">
        <v>5</v>
      </c>
      <c r="J875" t="b">
        <v>0</v>
      </c>
      <c r="K875" t="b">
        <v>0</v>
      </c>
      <c r="L875" t="b">
        <v>0</v>
      </c>
      <c r="M875">
        <v>20</v>
      </c>
      <c r="N875" t="s">
        <v>1168</v>
      </c>
      <c r="O875" s="1">
        <v>46266.9</v>
      </c>
      <c r="P875" t="b">
        <v>0</v>
      </c>
      <c r="Q875" t="s">
        <v>1169</v>
      </c>
      <c r="R875" t="s">
        <v>1131</v>
      </c>
      <c r="S875" t="s">
        <v>1152</v>
      </c>
      <c r="T875" t="s">
        <v>1140</v>
      </c>
      <c r="U875" t="s">
        <v>1172</v>
      </c>
      <c r="V875" t="s">
        <v>1151</v>
      </c>
      <c r="W875" t="s">
        <v>1131</v>
      </c>
      <c r="X875">
        <v>21</v>
      </c>
      <c r="Y875" t="s">
        <v>1126</v>
      </c>
      <c r="Z875" t="s">
        <v>1127</v>
      </c>
      <c r="AA875">
        <v>2.5</v>
      </c>
    </row>
    <row r="876" spans="1:27" x14ac:dyDescent="0.3">
      <c r="A876" t="s">
        <v>989</v>
      </c>
      <c r="B876" t="s">
        <v>1290</v>
      </c>
      <c r="C876" t="s">
        <v>1069</v>
      </c>
      <c r="D876" t="s">
        <v>1339</v>
      </c>
      <c r="E876" t="s">
        <v>1159</v>
      </c>
      <c r="F876" s="1">
        <v>46267.022222222222</v>
      </c>
      <c r="G876" s="1">
        <v>46267.025694444441</v>
      </c>
      <c r="H876">
        <v>7</v>
      </c>
      <c r="I876">
        <v>5</v>
      </c>
      <c r="J876" t="b">
        <v>0</v>
      </c>
      <c r="K876" t="b">
        <v>0</v>
      </c>
      <c r="L876" t="b">
        <v>0</v>
      </c>
      <c r="M876">
        <v>20</v>
      </c>
      <c r="N876" t="s">
        <v>1168</v>
      </c>
      <c r="O876" s="1">
        <v>46266.9</v>
      </c>
      <c r="P876" t="b">
        <v>0</v>
      </c>
      <c r="Q876" t="s">
        <v>1138</v>
      </c>
      <c r="R876" t="s">
        <v>1120</v>
      </c>
      <c r="S876" t="s">
        <v>1132</v>
      </c>
      <c r="T876" t="s">
        <v>1140</v>
      </c>
      <c r="U876" t="s">
        <v>1172</v>
      </c>
      <c r="V876" t="s">
        <v>1284</v>
      </c>
      <c r="W876" t="s">
        <v>1257</v>
      </c>
      <c r="X876">
        <v>21</v>
      </c>
      <c r="Y876" t="s">
        <v>1126</v>
      </c>
      <c r="Z876" t="s">
        <v>1127</v>
      </c>
      <c r="AA876">
        <v>0.7142857142857143</v>
      </c>
    </row>
    <row r="877" spans="1:27" x14ac:dyDescent="0.3">
      <c r="A877" t="s">
        <v>416</v>
      </c>
      <c r="B877" t="s">
        <v>1361</v>
      </c>
      <c r="C877" t="s">
        <v>1072</v>
      </c>
      <c r="D877" t="s">
        <v>1238</v>
      </c>
      <c r="E877" t="s">
        <v>1312</v>
      </c>
      <c r="F877" s="1">
        <v>46290.508333333331</v>
      </c>
      <c r="G877" s="1">
        <v>46290.511805555558</v>
      </c>
      <c r="H877">
        <v>3</v>
      </c>
      <c r="I877">
        <v>5</v>
      </c>
      <c r="J877" t="b">
        <v>0</v>
      </c>
      <c r="K877" t="b">
        <v>0</v>
      </c>
      <c r="L877" t="b">
        <v>0</v>
      </c>
      <c r="M877">
        <v>4</v>
      </c>
      <c r="N877" t="s">
        <v>1168</v>
      </c>
      <c r="O877" s="1">
        <v>46290.427777777782</v>
      </c>
      <c r="P877" t="b">
        <v>0</v>
      </c>
      <c r="Q877" t="s">
        <v>1119</v>
      </c>
      <c r="R877" t="s">
        <v>1120</v>
      </c>
      <c r="S877" t="s">
        <v>1157</v>
      </c>
      <c r="T877" t="s">
        <v>1180</v>
      </c>
      <c r="U877" t="s">
        <v>1172</v>
      </c>
      <c r="V877" t="s">
        <v>1151</v>
      </c>
      <c r="W877" t="s">
        <v>1131</v>
      </c>
      <c r="X877">
        <v>10</v>
      </c>
      <c r="Y877" t="s">
        <v>1142</v>
      </c>
      <c r="Z877" t="s">
        <v>1147</v>
      </c>
      <c r="AA877">
        <v>1.666666666666667</v>
      </c>
    </row>
    <row r="878" spans="1:27" x14ac:dyDescent="0.3">
      <c r="A878" t="s">
        <v>742</v>
      </c>
      <c r="B878" t="s">
        <v>1351</v>
      </c>
      <c r="C878" t="s">
        <v>1061</v>
      </c>
      <c r="D878" t="s">
        <v>1238</v>
      </c>
      <c r="E878" t="s">
        <v>1216</v>
      </c>
      <c r="F878" s="1">
        <v>46269.01458333333</v>
      </c>
      <c r="G878" s="1">
        <v>46269.018055555563</v>
      </c>
      <c r="H878">
        <v>1</v>
      </c>
      <c r="I878">
        <v>5</v>
      </c>
      <c r="J878" t="b">
        <v>0</v>
      </c>
      <c r="K878" t="b">
        <v>0</v>
      </c>
      <c r="L878" t="b">
        <v>0</v>
      </c>
      <c r="M878">
        <v>4</v>
      </c>
      <c r="N878" t="s">
        <v>1130</v>
      </c>
      <c r="O878" s="1">
        <v>46268.894444444442</v>
      </c>
      <c r="P878" t="b">
        <v>0</v>
      </c>
      <c r="Q878" t="s">
        <v>1119</v>
      </c>
      <c r="R878" t="s">
        <v>1131</v>
      </c>
      <c r="S878" t="s">
        <v>1157</v>
      </c>
      <c r="T878" t="s">
        <v>1145</v>
      </c>
      <c r="U878" t="s">
        <v>1172</v>
      </c>
      <c r="V878" t="s">
        <v>1151</v>
      </c>
      <c r="W878" t="s">
        <v>1131</v>
      </c>
      <c r="X878">
        <v>21</v>
      </c>
      <c r="Y878" t="s">
        <v>1146</v>
      </c>
      <c r="Z878" t="s">
        <v>1147</v>
      </c>
      <c r="AA878">
        <v>5</v>
      </c>
    </row>
    <row r="879" spans="1:27" x14ac:dyDescent="0.3">
      <c r="A879" t="s">
        <v>754</v>
      </c>
      <c r="B879" t="s">
        <v>1464</v>
      </c>
      <c r="C879" t="s">
        <v>1074</v>
      </c>
      <c r="D879" t="s">
        <v>1339</v>
      </c>
      <c r="E879" t="s">
        <v>1216</v>
      </c>
      <c r="F879" s="1">
        <v>46292.081250000003</v>
      </c>
      <c r="G879" s="1">
        <v>46292.084722222222</v>
      </c>
      <c r="H879">
        <v>3</v>
      </c>
      <c r="I879">
        <v>5</v>
      </c>
      <c r="J879" t="b">
        <v>0</v>
      </c>
      <c r="K879" t="b">
        <v>0</v>
      </c>
      <c r="L879" t="b">
        <v>0</v>
      </c>
      <c r="M879">
        <v>6</v>
      </c>
      <c r="N879" t="s">
        <v>1168</v>
      </c>
      <c r="O879" s="1">
        <v>46291.963194444441</v>
      </c>
      <c r="P879" t="b">
        <v>0</v>
      </c>
      <c r="Q879" t="s">
        <v>1119</v>
      </c>
      <c r="R879" t="s">
        <v>1131</v>
      </c>
      <c r="S879" t="s">
        <v>1157</v>
      </c>
      <c r="T879" t="s">
        <v>1145</v>
      </c>
      <c r="U879" t="s">
        <v>1145</v>
      </c>
      <c r="V879" t="s">
        <v>1284</v>
      </c>
      <c r="W879" t="s">
        <v>1257</v>
      </c>
      <c r="X879">
        <v>23</v>
      </c>
      <c r="Y879" t="s">
        <v>1173</v>
      </c>
      <c r="Z879" t="s">
        <v>1134</v>
      </c>
      <c r="AA879">
        <v>1.666666666666667</v>
      </c>
    </row>
    <row r="880" spans="1:27" x14ac:dyDescent="0.3">
      <c r="A880" t="s">
        <v>930</v>
      </c>
      <c r="B880" t="s">
        <v>1417</v>
      </c>
      <c r="C880" t="s">
        <v>1070</v>
      </c>
      <c r="D880" t="s">
        <v>1280</v>
      </c>
      <c r="E880" t="s">
        <v>1184</v>
      </c>
      <c r="F880" s="1">
        <v>46289.998611111107</v>
      </c>
      <c r="G880" s="1">
        <v>46290.002083333333</v>
      </c>
      <c r="H880">
        <v>4</v>
      </c>
      <c r="I880">
        <v>5</v>
      </c>
      <c r="J880" t="b">
        <v>0</v>
      </c>
      <c r="K880" t="b">
        <v>0</v>
      </c>
      <c r="L880" t="b">
        <v>0</v>
      </c>
      <c r="M880">
        <v>20</v>
      </c>
      <c r="N880" t="s">
        <v>1118</v>
      </c>
      <c r="O880" s="1">
        <v>46289.963888888888</v>
      </c>
      <c r="P880" t="b">
        <v>0</v>
      </c>
      <c r="Q880" t="s">
        <v>1156</v>
      </c>
      <c r="R880" t="s">
        <v>1131</v>
      </c>
      <c r="S880" t="s">
        <v>1132</v>
      </c>
      <c r="T880" t="s">
        <v>1180</v>
      </c>
      <c r="U880" t="s">
        <v>1145</v>
      </c>
      <c r="V880" t="s">
        <v>1151</v>
      </c>
      <c r="W880" t="s">
        <v>1257</v>
      </c>
      <c r="X880">
        <v>23</v>
      </c>
      <c r="Y880" t="s">
        <v>1146</v>
      </c>
      <c r="Z880" t="s">
        <v>1127</v>
      </c>
      <c r="AA880">
        <v>1.25</v>
      </c>
    </row>
    <row r="881" spans="1:27" x14ac:dyDescent="0.3">
      <c r="A881" t="s">
        <v>499</v>
      </c>
      <c r="B881" t="s">
        <v>1275</v>
      </c>
      <c r="C881" t="s">
        <v>1065</v>
      </c>
      <c r="D881" t="s">
        <v>1339</v>
      </c>
      <c r="E881" t="s">
        <v>1198</v>
      </c>
      <c r="F881" s="1">
        <v>46287.404861111107</v>
      </c>
      <c r="G881" s="1">
        <v>46287.408333333333</v>
      </c>
      <c r="H881">
        <v>4</v>
      </c>
      <c r="I881">
        <v>5</v>
      </c>
      <c r="J881" t="b">
        <v>0</v>
      </c>
      <c r="K881" t="b">
        <v>0</v>
      </c>
      <c r="L881" t="b">
        <v>0</v>
      </c>
      <c r="M881">
        <v>20</v>
      </c>
      <c r="N881" t="s">
        <v>1118</v>
      </c>
      <c r="O881" s="1">
        <v>46287.399305555547</v>
      </c>
      <c r="P881" t="b">
        <v>0</v>
      </c>
      <c r="Q881" t="s">
        <v>1169</v>
      </c>
      <c r="R881" t="s">
        <v>1131</v>
      </c>
      <c r="S881" t="s">
        <v>1145</v>
      </c>
      <c r="T881" t="s">
        <v>1180</v>
      </c>
      <c r="U881" t="s">
        <v>1247</v>
      </c>
      <c r="V881" t="s">
        <v>1284</v>
      </c>
      <c r="W881" t="s">
        <v>1257</v>
      </c>
      <c r="X881">
        <v>9</v>
      </c>
      <c r="Y881" t="s">
        <v>1126</v>
      </c>
      <c r="Z881" t="s">
        <v>1127</v>
      </c>
      <c r="AA881">
        <v>1.25</v>
      </c>
    </row>
    <row r="882" spans="1:27" x14ac:dyDescent="0.3">
      <c r="A882" t="s">
        <v>494</v>
      </c>
      <c r="B882" t="s">
        <v>1438</v>
      </c>
      <c r="C882" t="s">
        <v>1081</v>
      </c>
      <c r="D882" t="s">
        <v>1339</v>
      </c>
      <c r="E882" t="s">
        <v>1117</v>
      </c>
      <c r="F882" s="1">
        <v>46289.60833333333</v>
      </c>
      <c r="G882" s="1">
        <v>46289.611805555563</v>
      </c>
      <c r="H882">
        <v>7</v>
      </c>
      <c r="I882">
        <v>5</v>
      </c>
      <c r="J882" t="b">
        <v>0</v>
      </c>
      <c r="K882" t="b">
        <v>0</v>
      </c>
      <c r="L882" t="b">
        <v>0</v>
      </c>
      <c r="M882">
        <v>3</v>
      </c>
      <c r="N882" t="s">
        <v>1118</v>
      </c>
      <c r="O882" s="1">
        <v>46289.506944444453</v>
      </c>
      <c r="P882" t="b">
        <v>0</v>
      </c>
      <c r="Q882" t="s">
        <v>1119</v>
      </c>
      <c r="R882" t="s">
        <v>1120</v>
      </c>
      <c r="S882" t="s">
        <v>1121</v>
      </c>
      <c r="T882" t="s">
        <v>1180</v>
      </c>
      <c r="U882" t="s">
        <v>1247</v>
      </c>
      <c r="V882" t="s">
        <v>1284</v>
      </c>
      <c r="W882" t="s">
        <v>1257</v>
      </c>
      <c r="X882">
        <v>12</v>
      </c>
      <c r="Y882" t="s">
        <v>1146</v>
      </c>
      <c r="Z882" t="s">
        <v>1147</v>
      </c>
      <c r="AA882">
        <v>0.7142857142857143</v>
      </c>
    </row>
    <row r="883" spans="1:27" x14ac:dyDescent="0.3">
      <c r="A883" t="s">
        <v>129</v>
      </c>
      <c r="B883" t="s">
        <v>1480</v>
      </c>
      <c r="C883" t="s">
        <v>1067</v>
      </c>
      <c r="D883" t="s">
        <v>1255</v>
      </c>
      <c r="E883" t="s">
        <v>1165</v>
      </c>
      <c r="F883" s="1">
        <v>46282.013194444437</v>
      </c>
      <c r="G883" s="1">
        <v>46282.01666666667</v>
      </c>
      <c r="H883">
        <v>1</v>
      </c>
      <c r="I883">
        <v>5</v>
      </c>
      <c r="J883" t="b">
        <v>0</v>
      </c>
      <c r="K883" t="b">
        <v>0</v>
      </c>
      <c r="L883" t="b">
        <v>0</v>
      </c>
      <c r="M883">
        <v>2</v>
      </c>
      <c r="N883" t="s">
        <v>1155</v>
      </c>
      <c r="O883" s="1">
        <v>46281.956944444442</v>
      </c>
      <c r="P883" t="b">
        <v>0</v>
      </c>
      <c r="Q883" t="s">
        <v>1138</v>
      </c>
      <c r="R883" t="s">
        <v>1120</v>
      </c>
      <c r="S883" t="s">
        <v>1152</v>
      </c>
      <c r="T883" t="s">
        <v>1180</v>
      </c>
      <c r="U883" t="s">
        <v>1247</v>
      </c>
      <c r="V883" t="s">
        <v>1141</v>
      </c>
      <c r="W883" t="s">
        <v>1257</v>
      </c>
      <c r="X883">
        <v>22</v>
      </c>
      <c r="Y883" t="s">
        <v>1161</v>
      </c>
      <c r="Z883" t="s">
        <v>1147</v>
      </c>
      <c r="AA883">
        <v>5</v>
      </c>
    </row>
    <row r="884" spans="1:27" x14ac:dyDescent="0.3">
      <c r="A884" t="s">
        <v>656</v>
      </c>
      <c r="B884" t="s">
        <v>1353</v>
      </c>
      <c r="C884" t="s">
        <v>1081</v>
      </c>
      <c r="D884" t="s">
        <v>1238</v>
      </c>
      <c r="E884" t="s">
        <v>1237</v>
      </c>
      <c r="F884" s="1">
        <v>46291.379861111112</v>
      </c>
      <c r="G884" s="1">
        <v>46291.383333333331</v>
      </c>
      <c r="H884">
        <v>1</v>
      </c>
      <c r="I884">
        <v>5</v>
      </c>
      <c r="J884" t="b">
        <v>0</v>
      </c>
      <c r="K884" t="b">
        <v>0</v>
      </c>
      <c r="L884" t="b">
        <v>0</v>
      </c>
      <c r="M884">
        <v>8</v>
      </c>
      <c r="N884" t="s">
        <v>1118</v>
      </c>
      <c r="O884" s="1">
        <v>46291.306944444441</v>
      </c>
      <c r="P884" t="b">
        <v>0</v>
      </c>
      <c r="Q884" t="s">
        <v>1151</v>
      </c>
      <c r="R884" t="s">
        <v>1120</v>
      </c>
      <c r="S884" t="s">
        <v>1152</v>
      </c>
      <c r="T884" t="s">
        <v>1180</v>
      </c>
      <c r="U884" t="s">
        <v>1247</v>
      </c>
      <c r="V884" t="s">
        <v>1151</v>
      </c>
      <c r="W884" t="s">
        <v>1131</v>
      </c>
      <c r="X884">
        <v>7</v>
      </c>
      <c r="Y884" t="s">
        <v>1173</v>
      </c>
      <c r="Z884" t="s">
        <v>1134</v>
      </c>
      <c r="AA884">
        <v>5</v>
      </c>
    </row>
    <row r="885" spans="1:27" x14ac:dyDescent="0.3">
      <c r="A885" t="s">
        <v>927</v>
      </c>
      <c r="B885" t="s">
        <v>1417</v>
      </c>
      <c r="C885" t="s">
        <v>1063</v>
      </c>
      <c r="D885" t="s">
        <v>1283</v>
      </c>
      <c r="E885" t="s">
        <v>1287</v>
      </c>
      <c r="F885" s="1">
        <v>46290.011805555558</v>
      </c>
      <c r="G885" s="1">
        <v>46290.015277777777</v>
      </c>
      <c r="H885">
        <v>3</v>
      </c>
      <c r="I885">
        <v>5</v>
      </c>
      <c r="J885" t="b">
        <v>0</v>
      </c>
      <c r="K885" t="b">
        <v>0</v>
      </c>
      <c r="L885" t="b">
        <v>0</v>
      </c>
      <c r="M885">
        <v>20</v>
      </c>
      <c r="N885" t="s">
        <v>1118</v>
      </c>
      <c r="O885" s="1">
        <v>46289.963888888888</v>
      </c>
      <c r="P885" t="b">
        <v>0</v>
      </c>
      <c r="Q885" t="s">
        <v>1179</v>
      </c>
      <c r="R885" t="s">
        <v>1120</v>
      </c>
      <c r="S885" t="s">
        <v>1145</v>
      </c>
      <c r="T885" t="s">
        <v>1122</v>
      </c>
      <c r="U885" t="s">
        <v>1172</v>
      </c>
      <c r="V885" t="s">
        <v>1284</v>
      </c>
      <c r="W885" t="s">
        <v>1131</v>
      </c>
      <c r="X885">
        <v>23</v>
      </c>
      <c r="Y885" t="s">
        <v>1146</v>
      </c>
      <c r="Z885" t="s">
        <v>1127</v>
      </c>
      <c r="AA885">
        <v>1.666666666666667</v>
      </c>
    </row>
    <row r="886" spans="1:27" x14ac:dyDescent="0.3">
      <c r="A886" t="s">
        <v>122</v>
      </c>
      <c r="B886" t="s">
        <v>1243</v>
      </c>
      <c r="C886" t="s">
        <v>1078</v>
      </c>
      <c r="D886" t="s">
        <v>1255</v>
      </c>
      <c r="E886" t="s">
        <v>1292</v>
      </c>
      <c r="F886" s="1">
        <v>46286.206250000003</v>
      </c>
      <c r="G886" s="1">
        <v>46286.209722222222</v>
      </c>
      <c r="H886">
        <v>2</v>
      </c>
      <c r="I886">
        <v>5</v>
      </c>
      <c r="J886" t="b">
        <v>0</v>
      </c>
      <c r="K886" t="b">
        <v>0</v>
      </c>
      <c r="L886" t="b">
        <v>0</v>
      </c>
      <c r="M886">
        <v>20</v>
      </c>
      <c r="N886" t="s">
        <v>1155</v>
      </c>
      <c r="O886" s="1">
        <v>46286.134722222218</v>
      </c>
      <c r="P886" t="b">
        <v>0</v>
      </c>
      <c r="Q886" t="s">
        <v>1179</v>
      </c>
      <c r="R886" t="s">
        <v>1131</v>
      </c>
      <c r="S886" t="s">
        <v>1152</v>
      </c>
      <c r="T886" t="s">
        <v>1145</v>
      </c>
      <c r="U886" t="s">
        <v>1172</v>
      </c>
      <c r="V886" t="s">
        <v>1141</v>
      </c>
      <c r="W886" t="s">
        <v>1257</v>
      </c>
      <c r="X886">
        <v>3</v>
      </c>
      <c r="Y886" t="s">
        <v>1185</v>
      </c>
      <c r="Z886" t="s">
        <v>1127</v>
      </c>
      <c r="AA886">
        <v>2.5</v>
      </c>
    </row>
    <row r="887" spans="1:27" x14ac:dyDescent="0.3">
      <c r="A887" t="s">
        <v>521</v>
      </c>
      <c r="B887" t="s">
        <v>1447</v>
      </c>
      <c r="C887" t="s">
        <v>1078</v>
      </c>
      <c r="D887" t="s">
        <v>1339</v>
      </c>
      <c r="E887" t="s">
        <v>1305</v>
      </c>
      <c r="F887" s="1">
        <v>46280.857638888891</v>
      </c>
      <c r="G887" s="1">
        <v>46280.861111111109</v>
      </c>
      <c r="H887">
        <v>6</v>
      </c>
      <c r="I887">
        <v>5</v>
      </c>
      <c r="J887" t="b">
        <v>0</v>
      </c>
      <c r="K887" t="b">
        <v>0</v>
      </c>
      <c r="L887" t="b">
        <v>0</v>
      </c>
      <c r="M887">
        <v>8</v>
      </c>
      <c r="N887" t="s">
        <v>1155</v>
      </c>
      <c r="O887" s="1">
        <v>46280.80972222222</v>
      </c>
      <c r="P887" t="b">
        <v>0</v>
      </c>
      <c r="Q887" t="s">
        <v>1156</v>
      </c>
      <c r="R887" t="s">
        <v>1131</v>
      </c>
      <c r="S887" t="s">
        <v>1157</v>
      </c>
      <c r="T887" t="s">
        <v>1145</v>
      </c>
      <c r="U887" t="s">
        <v>1172</v>
      </c>
      <c r="V887" t="s">
        <v>1284</v>
      </c>
      <c r="W887" t="s">
        <v>1257</v>
      </c>
      <c r="X887">
        <v>19</v>
      </c>
      <c r="Y887" t="s">
        <v>1126</v>
      </c>
      <c r="Z887" t="s">
        <v>1134</v>
      </c>
      <c r="AA887">
        <v>0.83333333333333337</v>
      </c>
    </row>
    <row r="888" spans="1:27" x14ac:dyDescent="0.3">
      <c r="A888" t="s">
        <v>853</v>
      </c>
      <c r="B888" t="s">
        <v>1355</v>
      </c>
      <c r="C888" t="s">
        <v>1078</v>
      </c>
      <c r="D888" t="s">
        <v>1339</v>
      </c>
      <c r="E888" t="s">
        <v>1209</v>
      </c>
      <c r="F888" s="1">
        <v>46284.994444444441</v>
      </c>
      <c r="G888" s="1">
        <v>46284.99722222222</v>
      </c>
      <c r="H888">
        <v>2</v>
      </c>
      <c r="I888">
        <v>4</v>
      </c>
      <c r="J888" t="b">
        <v>0</v>
      </c>
      <c r="K888" t="b">
        <v>0</v>
      </c>
      <c r="L888" t="b">
        <v>0</v>
      </c>
      <c r="M888">
        <v>8</v>
      </c>
      <c r="N888" t="s">
        <v>1168</v>
      </c>
      <c r="O888" s="1">
        <v>46284.948611111111</v>
      </c>
      <c r="P888" t="b">
        <v>0</v>
      </c>
      <c r="Q888" t="s">
        <v>1138</v>
      </c>
      <c r="R888" t="s">
        <v>1131</v>
      </c>
      <c r="S888" t="s">
        <v>1132</v>
      </c>
      <c r="T888" t="s">
        <v>1145</v>
      </c>
      <c r="U888" t="s">
        <v>1172</v>
      </c>
      <c r="V888" t="s">
        <v>1284</v>
      </c>
      <c r="W888" t="s">
        <v>1257</v>
      </c>
      <c r="X888">
        <v>22</v>
      </c>
      <c r="Y888" t="s">
        <v>1173</v>
      </c>
      <c r="Z888" t="s">
        <v>1134</v>
      </c>
      <c r="AA888">
        <v>2</v>
      </c>
    </row>
    <row r="889" spans="1:27" x14ac:dyDescent="0.3">
      <c r="A889" t="s">
        <v>854</v>
      </c>
      <c r="B889" t="s">
        <v>1355</v>
      </c>
      <c r="C889" t="s">
        <v>1070</v>
      </c>
      <c r="D889" t="s">
        <v>1280</v>
      </c>
      <c r="E889" t="s">
        <v>1192</v>
      </c>
      <c r="F889" s="1">
        <v>46285.00277777778</v>
      </c>
      <c r="G889" s="1">
        <v>46285.005555555559</v>
      </c>
      <c r="H889">
        <v>3</v>
      </c>
      <c r="I889">
        <v>4</v>
      </c>
      <c r="J889" t="b">
        <v>0</v>
      </c>
      <c r="K889" t="b">
        <v>0</v>
      </c>
      <c r="L889" t="b">
        <v>0</v>
      </c>
      <c r="M889">
        <v>8</v>
      </c>
      <c r="N889" t="s">
        <v>1168</v>
      </c>
      <c r="O889" s="1">
        <v>46284.948611111111</v>
      </c>
      <c r="P889" t="b">
        <v>0</v>
      </c>
      <c r="Q889" t="s">
        <v>1151</v>
      </c>
      <c r="R889" t="s">
        <v>1139</v>
      </c>
      <c r="S889" t="s">
        <v>1132</v>
      </c>
      <c r="T889" t="s">
        <v>1180</v>
      </c>
      <c r="U889" t="s">
        <v>1145</v>
      </c>
      <c r="V889" t="s">
        <v>1151</v>
      </c>
      <c r="W889" t="s">
        <v>1257</v>
      </c>
      <c r="X889">
        <v>22</v>
      </c>
      <c r="Y889" t="s">
        <v>1173</v>
      </c>
      <c r="Z889" t="s">
        <v>1134</v>
      </c>
      <c r="AA889">
        <v>1.333333333333333</v>
      </c>
    </row>
    <row r="890" spans="1:27" x14ac:dyDescent="0.3">
      <c r="A890" t="s">
        <v>791</v>
      </c>
      <c r="B890" t="s">
        <v>1404</v>
      </c>
      <c r="C890" t="s">
        <v>1076</v>
      </c>
      <c r="D890" t="s">
        <v>1283</v>
      </c>
      <c r="E890" t="s">
        <v>1364</v>
      </c>
      <c r="F890" s="1">
        <v>46278.959027777782</v>
      </c>
      <c r="G890" s="1">
        <v>46278.961805555547</v>
      </c>
      <c r="H890">
        <v>2</v>
      </c>
      <c r="I890">
        <v>4</v>
      </c>
      <c r="J890" t="b">
        <v>0</v>
      </c>
      <c r="K890" t="b">
        <v>0</v>
      </c>
      <c r="L890" t="b">
        <v>0</v>
      </c>
      <c r="M890">
        <v>8</v>
      </c>
      <c r="N890" t="s">
        <v>1155</v>
      </c>
      <c r="O890" s="1">
        <v>46278.95</v>
      </c>
      <c r="P890" t="b">
        <v>0</v>
      </c>
      <c r="Q890" t="s">
        <v>1179</v>
      </c>
      <c r="R890" t="s">
        <v>1139</v>
      </c>
      <c r="S890" t="s">
        <v>1121</v>
      </c>
      <c r="T890" t="s">
        <v>1122</v>
      </c>
      <c r="U890" t="s">
        <v>1172</v>
      </c>
      <c r="V890" t="s">
        <v>1284</v>
      </c>
      <c r="W890" t="s">
        <v>1131</v>
      </c>
      <c r="X890">
        <v>22</v>
      </c>
      <c r="Y890" t="s">
        <v>1133</v>
      </c>
      <c r="Z890" t="s">
        <v>1134</v>
      </c>
      <c r="AA890">
        <v>2</v>
      </c>
    </row>
    <row r="891" spans="1:27" x14ac:dyDescent="0.3">
      <c r="A891" t="s">
        <v>789</v>
      </c>
      <c r="B891" t="s">
        <v>1404</v>
      </c>
      <c r="C891" t="s">
        <v>1078</v>
      </c>
      <c r="D891" t="s">
        <v>1283</v>
      </c>
      <c r="E891" t="s">
        <v>1272</v>
      </c>
      <c r="F891" s="1">
        <v>46279.038888888892</v>
      </c>
      <c r="G891" s="1">
        <v>46279.041666666657</v>
      </c>
      <c r="H891">
        <v>3</v>
      </c>
      <c r="I891">
        <v>4</v>
      </c>
      <c r="J891" t="b">
        <v>0</v>
      </c>
      <c r="K891" t="b">
        <v>0</v>
      </c>
      <c r="L891" t="b">
        <v>0</v>
      </c>
      <c r="M891">
        <v>8</v>
      </c>
      <c r="N891" t="s">
        <v>1155</v>
      </c>
      <c r="O891" s="1">
        <v>46278.95</v>
      </c>
      <c r="P891" t="b">
        <v>0</v>
      </c>
      <c r="Q891" t="s">
        <v>1179</v>
      </c>
      <c r="R891" t="s">
        <v>1120</v>
      </c>
      <c r="S891" t="s">
        <v>1157</v>
      </c>
      <c r="T891" t="s">
        <v>1145</v>
      </c>
      <c r="U891" t="s">
        <v>1172</v>
      </c>
      <c r="V891" t="s">
        <v>1284</v>
      </c>
      <c r="W891" t="s">
        <v>1131</v>
      </c>
      <c r="X891">
        <v>22</v>
      </c>
      <c r="Y891" t="s">
        <v>1133</v>
      </c>
      <c r="Z891" t="s">
        <v>1134</v>
      </c>
      <c r="AA891">
        <v>1.333333333333333</v>
      </c>
    </row>
    <row r="892" spans="1:27" x14ac:dyDescent="0.3">
      <c r="A892" t="s">
        <v>371</v>
      </c>
      <c r="B892" t="s">
        <v>1177</v>
      </c>
      <c r="C892" t="s">
        <v>1060</v>
      </c>
      <c r="D892" t="s">
        <v>1283</v>
      </c>
      <c r="E892" t="s">
        <v>1332</v>
      </c>
      <c r="F892" s="1">
        <v>46290.415972222218</v>
      </c>
      <c r="G892" s="1">
        <v>46290.418749999997</v>
      </c>
      <c r="H892">
        <v>5</v>
      </c>
      <c r="I892">
        <v>4</v>
      </c>
      <c r="J892" t="b">
        <v>0</v>
      </c>
      <c r="K892" t="b">
        <v>0</v>
      </c>
      <c r="L892" t="b">
        <v>0</v>
      </c>
      <c r="M892">
        <v>20</v>
      </c>
      <c r="N892" t="s">
        <v>1168</v>
      </c>
      <c r="O892" s="1">
        <v>46290.395138888889</v>
      </c>
      <c r="P892" t="b">
        <v>0</v>
      </c>
      <c r="Q892" t="s">
        <v>1179</v>
      </c>
      <c r="R892" t="s">
        <v>1120</v>
      </c>
      <c r="S892" t="s">
        <v>1132</v>
      </c>
      <c r="T892" t="s">
        <v>1140</v>
      </c>
      <c r="U892" t="s">
        <v>1145</v>
      </c>
      <c r="V892" t="s">
        <v>1284</v>
      </c>
      <c r="W892" t="s">
        <v>1131</v>
      </c>
      <c r="X892">
        <v>9</v>
      </c>
      <c r="Y892" t="s">
        <v>1142</v>
      </c>
      <c r="Z892" t="s">
        <v>1127</v>
      </c>
      <c r="AA892">
        <v>0.8</v>
      </c>
    </row>
    <row r="893" spans="1:27" x14ac:dyDescent="0.3">
      <c r="A893" t="s">
        <v>851</v>
      </c>
      <c r="B893" t="s">
        <v>1355</v>
      </c>
      <c r="C893" t="s">
        <v>1074</v>
      </c>
      <c r="D893" t="s">
        <v>1238</v>
      </c>
      <c r="E893" t="s">
        <v>1453</v>
      </c>
      <c r="F893" s="1">
        <v>46285.054861111108</v>
      </c>
      <c r="G893" s="1">
        <v>46285.057638888888</v>
      </c>
      <c r="H893">
        <v>3</v>
      </c>
      <c r="I893">
        <v>4</v>
      </c>
      <c r="J893" t="b">
        <v>0</v>
      </c>
      <c r="K893" t="b">
        <v>0</v>
      </c>
      <c r="L893" t="b">
        <v>0</v>
      </c>
      <c r="M893">
        <v>8</v>
      </c>
      <c r="N893" t="s">
        <v>1168</v>
      </c>
      <c r="O893" s="1">
        <v>46284.948611111111</v>
      </c>
      <c r="P893" t="b">
        <v>0</v>
      </c>
      <c r="Q893" t="s">
        <v>1156</v>
      </c>
      <c r="R893" t="s">
        <v>1131</v>
      </c>
      <c r="S893" t="s">
        <v>1121</v>
      </c>
      <c r="T893" t="s">
        <v>1145</v>
      </c>
      <c r="U893" t="s">
        <v>1145</v>
      </c>
      <c r="V893" t="s">
        <v>1151</v>
      </c>
      <c r="W893" t="s">
        <v>1131</v>
      </c>
      <c r="X893">
        <v>22</v>
      </c>
      <c r="Y893" t="s">
        <v>1173</v>
      </c>
      <c r="Z893" t="s">
        <v>1134</v>
      </c>
      <c r="AA893">
        <v>1.333333333333333</v>
      </c>
    </row>
    <row r="894" spans="1:27" x14ac:dyDescent="0.3">
      <c r="A894" t="s">
        <v>896</v>
      </c>
      <c r="B894" t="s">
        <v>1281</v>
      </c>
      <c r="C894" t="s">
        <v>1075</v>
      </c>
      <c r="D894" t="s">
        <v>1238</v>
      </c>
      <c r="E894" t="s">
        <v>1178</v>
      </c>
      <c r="F894" s="1">
        <v>46291.936111111107</v>
      </c>
      <c r="G894" s="1">
        <v>46291.938888888893</v>
      </c>
      <c r="H894">
        <v>1</v>
      </c>
      <c r="I894">
        <v>4</v>
      </c>
      <c r="J894" t="b">
        <v>0</v>
      </c>
      <c r="K894" t="b">
        <v>0</v>
      </c>
      <c r="L894" t="b">
        <v>0</v>
      </c>
      <c r="M894">
        <v>12</v>
      </c>
      <c r="N894" t="s">
        <v>1130</v>
      </c>
      <c r="O894" s="1">
        <v>46291.904861111107</v>
      </c>
      <c r="P894" t="b">
        <v>0</v>
      </c>
      <c r="Q894" t="s">
        <v>1179</v>
      </c>
      <c r="R894" t="s">
        <v>1139</v>
      </c>
      <c r="S894" t="s">
        <v>1157</v>
      </c>
      <c r="T894" t="s">
        <v>1122</v>
      </c>
      <c r="U894" t="s">
        <v>1172</v>
      </c>
      <c r="V894" t="s">
        <v>1151</v>
      </c>
      <c r="W894" t="s">
        <v>1131</v>
      </c>
      <c r="X894">
        <v>21</v>
      </c>
      <c r="Y894" t="s">
        <v>1173</v>
      </c>
      <c r="Z894" t="s">
        <v>1127</v>
      </c>
      <c r="AA894">
        <v>4</v>
      </c>
    </row>
    <row r="895" spans="1:27" x14ac:dyDescent="0.3">
      <c r="A895" t="s">
        <v>302</v>
      </c>
      <c r="B895" t="s">
        <v>1390</v>
      </c>
      <c r="C895" t="s">
        <v>1076</v>
      </c>
      <c r="D895" t="s">
        <v>1339</v>
      </c>
      <c r="E895" t="s">
        <v>1171</v>
      </c>
      <c r="F895" s="1">
        <v>46273.227083333331</v>
      </c>
      <c r="G895" s="1">
        <v>46273.229861111111</v>
      </c>
      <c r="H895">
        <v>2</v>
      </c>
      <c r="I895">
        <v>4</v>
      </c>
      <c r="J895" t="b">
        <v>0</v>
      </c>
      <c r="K895" t="b">
        <v>0</v>
      </c>
      <c r="L895" t="b">
        <v>0</v>
      </c>
      <c r="M895">
        <v>6</v>
      </c>
      <c r="N895" t="s">
        <v>1118</v>
      </c>
      <c r="O895" s="1">
        <v>46273.107638888891</v>
      </c>
      <c r="P895" t="b">
        <v>0</v>
      </c>
      <c r="Q895" t="s">
        <v>1119</v>
      </c>
      <c r="R895" t="s">
        <v>1131</v>
      </c>
      <c r="S895" t="s">
        <v>1121</v>
      </c>
      <c r="T895" t="s">
        <v>1122</v>
      </c>
      <c r="U895" t="s">
        <v>1172</v>
      </c>
      <c r="V895" t="s">
        <v>1284</v>
      </c>
      <c r="W895" t="s">
        <v>1257</v>
      </c>
      <c r="X895">
        <v>2</v>
      </c>
      <c r="Y895" t="s">
        <v>1126</v>
      </c>
      <c r="Z895" t="s">
        <v>1134</v>
      </c>
      <c r="AA895">
        <v>2</v>
      </c>
    </row>
    <row r="896" spans="1:27" x14ac:dyDescent="0.3">
      <c r="A896" t="s">
        <v>891</v>
      </c>
      <c r="B896" t="s">
        <v>1281</v>
      </c>
      <c r="C896" t="s">
        <v>1074</v>
      </c>
      <c r="D896" t="s">
        <v>1280</v>
      </c>
      <c r="E896" t="s">
        <v>1187</v>
      </c>
      <c r="F896" s="1">
        <v>46291.962500000001</v>
      </c>
      <c r="G896" s="1">
        <v>46291.965277777781</v>
      </c>
      <c r="H896">
        <v>1</v>
      </c>
      <c r="I896">
        <v>4</v>
      </c>
      <c r="J896" t="b">
        <v>0</v>
      </c>
      <c r="K896" t="b">
        <v>0</v>
      </c>
      <c r="L896" t="b">
        <v>0</v>
      </c>
      <c r="M896">
        <v>12</v>
      </c>
      <c r="N896" t="s">
        <v>1130</v>
      </c>
      <c r="O896" s="1">
        <v>46291.904861111107</v>
      </c>
      <c r="P896" t="b">
        <v>0</v>
      </c>
      <c r="Q896" t="s">
        <v>1156</v>
      </c>
      <c r="R896" t="s">
        <v>1131</v>
      </c>
      <c r="S896" t="s">
        <v>1132</v>
      </c>
      <c r="T896" t="s">
        <v>1145</v>
      </c>
      <c r="U896" t="s">
        <v>1145</v>
      </c>
      <c r="V896" t="s">
        <v>1151</v>
      </c>
      <c r="W896" t="s">
        <v>1257</v>
      </c>
      <c r="X896">
        <v>21</v>
      </c>
      <c r="Y896" t="s">
        <v>1173</v>
      </c>
      <c r="Z896" t="s">
        <v>1127</v>
      </c>
      <c r="AA896">
        <v>4</v>
      </c>
    </row>
    <row r="897" spans="1:27" x14ac:dyDescent="0.3">
      <c r="A897" t="s">
        <v>895</v>
      </c>
      <c r="B897" t="s">
        <v>1281</v>
      </c>
      <c r="C897" t="s">
        <v>1081</v>
      </c>
      <c r="D897" t="s">
        <v>1339</v>
      </c>
      <c r="E897" t="s">
        <v>1137</v>
      </c>
      <c r="F897" s="1">
        <v>46291.97152777778</v>
      </c>
      <c r="G897" s="1">
        <v>46291.974305555559</v>
      </c>
      <c r="H897">
        <v>3</v>
      </c>
      <c r="I897">
        <v>4</v>
      </c>
      <c r="J897" t="b">
        <v>0</v>
      </c>
      <c r="K897" t="b">
        <v>0</v>
      </c>
      <c r="L897" t="b">
        <v>0</v>
      </c>
      <c r="M897">
        <v>12</v>
      </c>
      <c r="N897" t="s">
        <v>1130</v>
      </c>
      <c r="O897" s="1">
        <v>46291.904861111107</v>
      </c>
      <c r="P897" t="b">
        <v>0</v>
      </c>
      <c r="Q897" t="s">
        <v>1138</v>
      </c>
      <c r="R897" t="s">
        <v>1139</v>
      </c>
      <c r="S897" t="s">
        <v>1132</v>
      </c>
      <c r="T897" t="s">
        <v>1180</v>
      </c>
      <c r="U897" t="s">
        <v>1247</v>
      </c>
      <c r="V897" t="s">
        <v>1284</v>
      </c>
      <c r="W897" t="s">
        <v>1257</v>
      </c>
      <c r="X897">
        <v>21</v>
      </c>
      <c r="Y897" t="s">
        <v>1173</v>
      </c>
      <c r="Z897" t="s">
        <v>1127</v>
      </c>
      <c r="AA897">
        <v>1.333333333333333</v>
      </c>
    </row>
    <row r="898" spans="1:27" x14ac:dyDescent="0.3">
      <c r="A898" t="s">
        <v>548</v>
      </c>
      <c r="B898" t="s">
        <v>1408</v>
      </c>
      <c r="C898" t="s">
        <v>1080</v>
      </c>
      <c r="D898" t="s">
        <v>1283</v>
      </c>
      <c r="E898" t="s">
        <v>1218</v>
      </c>
      <c r="F898" s="1">
        <v>46282.986805555563</v>
      </c>
      <c r="G898" s="1">
        <v>46282.989583333343</v>
      </c>
      <c r="H898">
        <v>3</v>
      </c>
      <c r="I898">
        <v>4</v>
      </c>
      <c r="J898" t="b">
        <v>0</v>
      </c>
      <c r="K898" t="b">
        <v>0</v>
      </c>
      <c r="L898" t="b">
        <v>0</v>
      </c>
      <c r="M898">
        <v>5</v>
      </c>
      <c r="N898" t="s">
        <v>1118</v>
      </c>
      <c r="O898" s="1">
        <v>46282.904861111107</v>
      </c>
      <c r="P898" t="b">
        <v>0</v>
      </c>
      <c r="Q898" t="s">
        <v>1169</v>
      </c>
      <c r="R898" t="s">
        <v>1120</v>
      </c>
      <c r="S898" t="s">
        <v>1152</v>
      </c>
      <c r="T898" t="s">
        <v>1122</v>
      </c>
      <c r="U898" t="s">
        <v>1247</v>
      </c>
      <c r="V898" t="s">
        <v>1284</v>
      </c>
      <c r="W898" t="s">
        <v>1131</v>
      </c>
      <c r="X898">
        <v>21</v>
      </c>
      <c r="Y898" t="s">
        <v>1146</v>
      </c>
      <c r="Z898" t="s">
        <v>1147</v>
      </c>
      <c r="AA898">
        <v>1.333333333333333</v>
      </c>
    </row>
    <row r="899" spans="1:27" x14ac:dyDescent="0.3">
      <c r="A899" t="s">
        <v>177</v>
      </c>
      <c r="B899" t="s">
        <v>1229</v>
      </c>
      <c r="C899" t="s">
        <v>1072</v>
      </c>
      <c r="D899" t="s">
        <v>1339</v>
      </c>
      <c r="E899" t="s">
        <v>1256</v>
      </c>
      <c r="F899" s="1">
        <v>46280.825694444437</v>
      </c>
      <c r="G899" s="1">
        <v>46280.828472222223</v>
      </c>
      <c r="H899">
        <v>4</v>
      </c>
      <c r="I899">
        <v>4</v>
      </c>
      <c r="J899" t="b">
        <v>0</v>
      </c>
      <c r="K899" t="b">
        <v>0</v>
      </c>
      <c r="L899" t="b">
        <v>0</v>
      </c>
      <c r="M899">
        <v>8</v>
      </c>
      <c r="N899" t="s">
        <v>1118</v>
      </c>
      <c r="O899" s="1">
        <v>46280.795138888891</v>
      </c>
      <c r="P899" t="b">
        <v>0</v>
      </c>
      <c r="Q899" t="s">
        <v>1145</v>
      </c>
      <c r="R899" t="s">
        <v>1139</v>
      </c>
      <c r="S899" t="s">
        <v>1157</v>
      </c>
      <c r="T899" t="s">
        <v>1180</v>
      </c>
      <c r="U899" t="s">
        <v>1172</v>
      </c>
      <c r="V899" t="s">
        <v>1284</v>
      </c>
      <c r="W899" t="s">
        <v>1257</v>
      </c>
      <c r="X899">
        <v>19</v>
      </c>
      <c r="Y899" t="s">
        <v>1126</v>
      </c>
      <c r="Z899" t="s">
        <v>1134</v>
      </c>
      <c r="AA899">
        <v>1</v>
      </c>
    </row>
    <row r="900" spans="1:27" x14ac:dyDescent="0.3">
      <c r="A900" t="s">
        <v>373</v>
      </c>
      <c r="B900" t="s">
        <v>1177</v>
      </c>
      <c r="C900" t="s">
        <v>1063</v>
      </c>
      <c r="D900" t="s">
        <v>1339</v>
      </c>
      <c r="E900" t="s">
        <v>1165</v>
      </c>
      <c r="F900" s="1">
        <v>46290.474305555559</v>
      </c>
      <c r="G900" s="1">
        <v>46290.477083333331</v>
      </c>
      <c r="H900">
        <v>4</v>
      </c>
      <c r="I900">
        <v>4</v>
      </c>
      <c r="J900" t="b">
        <v>0</v>
      </c>
      <c r="K900" t="b">
        <v>0</v>
      </c>
      <c r="L900" t="b">
        <v>0</v>
      </c>
      <c r="M900">
        <v>20</v>
      </c>
      <c r="N900" t="s">
        <v>1168</v>
      </c>
      <c r="O900" s="1">
        <v>46290.395138888889</v>
      </c>
      <c r="P900" t="b">
        <v>0</v>
      </c>
      <c r="Q900" t="s">
        <v>1138</v>
      </c>
      <c r="R900" t="s">
        <v>1120</v>
      </c>
      <c r="S900" t="s">
        <v>1152</v>
      </c>
      <c r="T900" t="s">
        <v>1122</v>
      </c>
      <c r="U900" t="s">
        <v>1172</v>
      </c>
      <c r="V900" t="s">
        <v>1284</v>
      </c>
      <c r="W900" t="s">
        <v>1257</v>
      </c>
      <c r="X900">
        <v>9</v>
      </c>
      <c r="Y900" t="s">
        <v>1142</v>
      </c>
      <c r="Z900" t="s">
        <v>1127</v>
      </c>
      <c r="AA900">
        <v>1</v>
      </c>
    </row>
    <row r="901" spans="1:27" x14ac:dyDescent="0.3">
      <c r="A901" t="s">
        <v>879</v>
      </c>
      <c r="B901" t="s">
        <v>1411</v>
      </c>
      <c r="C901" t="s">
        <v>1072</v>
      </c>
      <c r="D901" t="s">
        <v>1339</v>
      </c>
      <c r="E901" t="s">
        <v>1221</v>
      </c>
      <c r="F901" s="1">
        <v>46286.309027777781</v>
      </c>
      <c r="G901" s="1">
        <v>46286.311805555553</v>
      </c>
      <c r="H901">
        <v>3</v>
      </c>
      <c r="I901">
        <v>4</v>
      </c>
      <c r="J901" t="b">
        <v>0</v>
      </c>
      <c r="K901" t="b">
        <v>0</v>
      </c>
      <c r="L901" t="b">
        <v>0</v>
      </c>
      <c r="M901">
        <v>8</v>
      </c>
      <c r="N901" t="s">
        <v>1130</v>
      </c>
      <c r="O901" s="1">
        <v>46286.304166666669</v>
      </c>
      <c r="P901" t="b">
        <v>0</v>
      </c>
      <c r="Q901" t="s">
        <v>1151</v>
      </c>
      <c r="R901" t="s">
        <v>1131</v>
      </c>
      <c r="S901" t="s">
        <v>1121</v>
      </c>
      <c r="T901" t="s">
        <v>1180</v>
      </c>
      <c r="U901" t="s">
        <v>1172</v>
      </c>
      <c r="V901" t="s">
        <v>1284</v>
      </c>
      <c r="W901" t="s">
        <v>1257</v>
      </c>
      <c r="X901">
        <v>7</v>
      </c>
      <c r="Y901" t="s">
        <v>1185</v>
      </c>
      <c r="Z901" t="s">
        <v>1134</v>
      </c>
      <c r="AA901">
        <v>1.333333333333333</v>
      </c>
    </row>
    <row r="902" spans="1:27" x14ac:dyDescent="0.3">
      <c r="A902" t="s">
        <v>785</v>
      </c>
      <c r="B902" t="s">
        <v>1135</v>
      </c>
      <c r="C902" t="s">
        <v>1067</v>
      </c>
      <c r="D902" t="s">
        <v>1283</v>
      </c>
      <c r="E902" t="s">
        <v>1233</v>
      </c>
      <c r="F902" s="1">
        <v>46269.747916666667</v>
      </c>
      <c r="G902" s="1">
        <v>46269.750694444447</v>
      </c>
      <c r="H902">
        <v>6</v>
      </c>
      <c r="I902">
        <v>4</v>
      </c>
      <c r="J902" t="b">
        <v>0</v>
      </c>
      <c r="K902" t="b">
        <v>0</v>
      </c>
      <c r="L902" t="b">
        <v>0</v>
      </c>
      <c r="M902">
        <v>15</v>
      </c>
      <c r="N902" t="s">
        <v>1118</v>
      </c>
      <c r="O902" s="1">
        <v>46269.660416666673</v>
      </c>
      <c r="P902" t="b">
        <v>0</v>
      </c>
      <c r="Q902" t="s">
        <v>1179</v>
      </c>
      <c r="R902" t="s">
        <v>1120</v>
      </c>
      <c r="S902" t="s">
        <v>1132</v>
      </c>
      <c r="T902" t="s">
        <v>1180</v>
      </c>
      <c r="U902" t="s">
        <v>1247</v>
      </c>
      <c r="V902" t="s">
        <v>1284</v>
      </c>
      <c r="W902" t="s">
        <v>1131</v>
      </c>
      <c r="X902">
        <v>15</v>
      </c>
      <c r="Y902" t="s">
        <v>1142</v>
      </c>
      <c r="Z902" t="s">
        <v>1127</v>
      </c>
      <c r="AA902">
        <v>0.66666666666666663</v>
      </c>
    </row>
    <row r="903" spans="1:27" x14ac:dyDescent="0.3">
      <c r="A903" t="s">
        <v>326</v>
      </c>
      <c r="B903" t="s">
        <v>1174</v>
      </c>
      <c r="C903" t="s">
        <v>1073</v>
      </c>
      <c r="D903" t="s">
        <v>1283</v>
      </c>
      <c r="E903" t="s">
        <v>1167</v>
      </c>
      <c r="F903" s="1">
        <v>46288.144444444442</v>
      </c>
      <c r="G903" s="1">
        <v>46288.147222222222</v>
      </c>
      <c r="H903">
        <v>1</v>
      </c>
      <c r="I903">
        <v>4</v>
      </c>
      <c r="J903" t="b">
        <v>0</v>
      </c>
      <c r="K903" t="b">
        <v>0</v>
      </c>
      <c r="L903" t="b">
        <v>0</v>
      </c>
      <c r="M903">
        <v>4</v>
      </c>
      <c r="N903" t="s">
        <v>1118</v>
      </c>
      <c r="O903" s="1">
        <v>46288.033333333333</v>
      </c>
      <c r="P903" t="b">
        <v>0</v>
      </c>
      <c r="Q903" t="s">
        <v>1169</v>
      </c>
      <c r="R903" t="s">
        <v>1131</v>
      </c>
      <c r="S903" t="s">
        <v>1157</v>
      </c>
      <c r="T903" t="s">
        <v>1122</v>
      </c>
      <c r="U903" t="s">
        <v>1247</v>
      </c>
      <c r="V903" t="s">
        <v>1284</v>
      </c>
      <c r="W903" t="s">
        <v>1131</v>
      </c>
      <c r="X903">
        <v>0</v>
      </c>
      <c r="Y903" t="s">
        <v>1161</v>
      </c>
      <c r="Z903" t="s">
        <v>1147</v>
      </c>
      <c r="AA903">
        <v>4</v>
      </c>
    </row>
    <row r="904" spans="1:27" x14ac:dyDescent="0.3">
      <c r="A904" t="s">
        <v>440</v>
      </c>
      <c r="B904" t="s">
        <v>1455</v>
      </c>
      <c r="C904" t="s">
        <v>1066</v>
      </c>
      <c r="D904" t="s">
        <v>1255</v>
      </c>
      <c r="E904" t="s">
        <v>1213</v>
      </c>
      <c r="F904" s="1">
        <v>46293.136805555558</v>
      </c>
      <c r="G904" s="1">
        <v>46293.13958333333</v>
      </c>
      <c r="H904">
        <v>4</v>
      </c>
      <c r="I904">
        <v>4</v>
      </c>
      <c r="J904" t="b">
        <v>0</v>
      </c>
      <c r="K904" t="b">
        <v>0</v>
      </c>
      <c r="L904" t="b">
        <v>0</v>
      </c>
      <c r="M904">
        <v>6</v>
      </c>
      <c r="N904" t="s">
        <v>1130</v>
      </c>
      <c r="O904" s="1">
        <v>46293.119444444441</v>
      </c>
      <c r="P904" t="b">
        <v>0</v>
      </c>
      <c r="Q904" t="s">
        <v>1151</v>
      </c>
      <c r="R904" t="s">
        <v>1131</v>
      </c>
      <c r="S904" t="s">
        <v>1152</v>
      </c>
      <c r="T904" t="s">
        <v>1122</v>
      </c>
      <c r="U904" t="s">
        <v>1247</v>
      </c>
      <c r="V904" t="s">
        <v>1141</v>
      </c>
      <c r="W904" t="s">
        <v>1257</v>
      </c>
      <c r="X904">
        <v>2</v>
      </c>
      <c r="Y904" t="s">
        <v>1185</v>
      </c>
      <c r="Z904" t="s">
        <v>1134</v>
      </c>
      <c r="AA904">
        <v>1</v>
      </c>
    </row>
    <row r="905" spans="1:27" x14ac:dyDescent="0.3">
      <c r="A905" t="s">
        <v>77</v>
      </c>
      <c r="B905" t="s">
        <v>1293</v>
      </c>
      <c r="C905" t="s">
        <v>1078</v>
      </c>
      <c r="D905" t="s">
        <v>1283</v>
      </c>
      <c r="E905" t="s">
        <v>1274</v>
      </c>
      <c r="F905" s="1">
        <v>46276.883333333331</v>
      </c>
      <c r="G905" s="1">
        <v>46276.886111111111</v>
      </c>
      <c r="H905">
        <v>4</v>
      </c>
      <c r="I905">
        <v>4</v>
      </c>
      <c r="J905" t="b">
        <v>0</v>
      </c>
      <c r="K905" t="b">
        <v>0</v>
      </c>
      <c r="L905" t="b">
        <v>0</v>
      </c>
      <c r="M905">
        <v>4</v>
      </c>
      <c r="N905" t="s">
        <v>1130</v>
      </c>
      <c r="O905" s="1">
        <v>46276.865972222222</v>
      </c>
      <c r="P905" t="b">
        <v>0</v>
      </c>
      <c r="Q905" t="s">
        <v>1138</v>
      </c>
      <c r="R905" t="s">
        <v>1120</v>
      </c>
      <c r="S905" t="s">
        <v>1157</v>
      </c>
      <c r="T905" t="s">
        <v>1145</v>
      </c>
      <c r="U905" t="s">
        <v>1172</v>
      </c>
      <c r="V905" t="s">
        <v>1284</v>
      </c>
      <c r="W905" t="s">
        <v>1131</v>
      </c>
      <c r="X905">
        <v>20</v>
      </c>
      <c r="Y905" t="s">
        <v>1142</v>
      </c>
      <c r="Z905" t="s">
        <v>1147</v>
      </c>
      <c r="AA905">
        <v>1</v>
      </c>
    </row>
    <row r="906" spans="1:27" x14ac:dyDescent="0.3">
      <c r="A906" t="s">
        <v>62</v>
      </c>
      <c r="B906" t="s">
        <v>1471</v>
      </c>
      <c r="C906" t="s">
        <v>1061</v>
      </c>
      <c r="D906" t="s">
        <v>1339</v>
      </c>
      <c r="E906" t="s">
        <v>1246</v>
      </c>
      <c r="F906" s="1">
        <v>46294.070138888892</v>
      </c>
      <c r="G906" s="1">
        <v>46294.072916666657</v>
      </c>
      <c r="H906">
        <v>5</v>
      </c>
      <c r="I906">
        <v>4</v>
      </c>
      <c r="J906" t="b">
        <v>0</v>
      </c>
      <c r="K906" t="b">
        <v>0</v>
      </c>
      <c r="L906" t="b">
        <v>0</v>
      </c>
      <c r="M906">
        <v>15</v>
      </c>
      <c r="N906" t="s">
        <v>1118</v>
      </c>
      <c r="O906" s="1">
        <v>46293.995138888888</v>
      </c>
      <c r="P906" t="b">
        <v>0</v>
      </c>
      <c r="Q906" t="s">
        <v>1145</v>
      </c>
      <c r="R906" t="s">
        <v>1120</v>
      </c>
      <c r="S906" t="s">
        <v>1157</v>
      </c>
      <c r="T906" t="s">
        <v>1145</v>
      </c>
      <c r="U906" t="s">
        <v>1172</v>
      </c>
      <c r="V906" t="s">
        <v>1284</v>
      </c>
      <c r="W906" t="s">
        <v>1257</v>
      </c>
      <c r="X906">
        <v>23</v>
      </c>
      <c r="Y906" t="s">
        <v>1185</v>
      </c>
      <c r="Z906" t="s">
        <v>1127</v>
      </c>
      <c r="AA906">
        <v>0.8</v>
      </c>
    </row>
    <row r="907" spans="1:27" x14ac:dyDescent="0.3">
      <c r="A907" t="s">
        <v>235</v>
      </c>
      <c r="B907" t="s">
        <v>1160</v>
      </c>
      <c r="C907" t="s">
        <v>1083</v>
      </c>
      <c r="D907" t="s">
        <v>1339</v>
      </c>
      <c r="E907" t="s">
        <v>1418</v>
      </c>
      <c r="F907" s="1">
        <v>46274.584027777782</v>
      </c>
      <c r="G907" s="1">
        <v>46274.586805555547</v>
      </c>
      <c r="H907">
        <v>4</v>
      </c>
      <c r="I907">
        <v>4</v>
      </c>
      <c r="J907" t="b">
        <v>0</v>
      </c>
      <c r="K907" t="b">
        <v>0</v>
      </c>
      <c r="L907" t="b">
        <v>0</v>
      </c>
      <c r="M907">
        <v>10</v>
      </c>
      <c r="N907" t="s">
        <v>1155</v>
      </c>
      <c r="O907" s="1">
        <v>46274.531944444447</v>
      </c>
      <c r="P907" t="b">
        <v>0</v>
      </c>
      <c r="Q907" t="s">
        <v>1179</v>
      </c>
      <c r="R907" t="s">
        <v>1120</v>
      </c>
      <c r="S907" t="s">
        <v>1157</v>
      </c>
      <c r="T907" t="s">
        <v>1180</v>
      </c>
      <c r="U907" t="s">
        <v>1123</v>
      </c>
      <c r="V907" t="s">
        <v>1284</v>
      </c>
      <c r="W907" t="s">
        <v>1257</v>
      </c>
      <c r="X907">
        <v>12</v>
      </c>
      <c r="Y907" t="s">
        <v>1161</v>
      </c>
      <c r="Z907" t="s">
        <v>1134</v>
      </c>
      <c r="AA907">
        <v>1</v>
      </c>
    </row>
    <row r="908" spans="1:27" x14ac:dyDescent="0.3">
      <c r="A908" t="s">
        <v>793</v>
      </c>
      <c r="B908" t="s">
        <v>1404</v>
      </c>
      <c r="C908" t="s">
        <v>1065</v>
      </c>
      <c r="D908" t="s">
        <v>1339</v>
      </c>
      <c r="E908" t="s">
        <v>1189</v>
      </c>
      <c r="F908" s="1">
        <v>46279.001388888893</v>
      </c>
      <c r="G908" s="1">
        <v>46279.004166666673</v>
      </c>
      <c r="H908">
        <v>3</v>
      </c>
      <c r="I908">
        <v>4</v>
      </c>
      <c r="J908" t="b">
        <v>0</v>
      </c>
      <c r="K908" t="b">
        <v>0</v>
      </c>
      <c r="L908" t="b">
        <v>0</v>
      </c>
      <c r="M908">
        <v>8</v>
      </c>
      <c r="N908" t="s">
        <v>1155</v>
      </c>
      <c r="O908" s="1">
        <v>46278.95</v>
      </c>
      <c r="P908" t="b">
        <v>0</v>
      </c>
      <c r="Q908" t="s">
        <v>1138</v>
      </c>
      <c r="R908" t="s">
        <v>1131</v>
      </c>
      <c r="S908" t="s">
        <v>1152</v>
      </c>
      <c r="T908" t="s">
        <v>1180</v>
      </c>
      <c r="U908" t="s">
        <v>1247</v>
      </c>
      <c r="V908" t="s">
        <v>1284</v>
      </c>
      <c r="W908" t="s">
        <v>1257</v>
      </c>
      <c r="X908">
        <v>22</v>
      </c>
      <c r="Y908" t="s">
        <v>1133</v>
      </c>
      <c r="Z908" t="s">
        <v>1134</v>
      </c>
      <c r="AA908">
        <v>1.333333333333333</v>
      </c>
    </row>
    <row r="909" spans="1:27" x14ac:dyDescent="0.3">
      <c r="A909" t="s">
        <v>53</v>
      </c>
      <c r="B909" t="s">
        <v>1296</v>
      </c>
      <c r="C909" t="s">
        <v>1076</v>
      </c>
      <c r="D909" t="s">
        <v>1283</v>
      </c>
      <c r="E909" t="s">
        <v>1187</v>
      </c>
      <c r="F909" s="1">
        <v>46272.427083333343</v>
      </c>
      <c r="G909" s="1">
        <v>46272.429861111108</v>
      </c>
      <c r="H909">
        <v>4</v>
      </c>
      <c r="I909">
        <v>4</v>
      </c>
      <c r="J909" t="b">
        <v>0</v>
      </c>
      <c r="K909" t="b">
        <v>0</v>
      </c>
      <c r="L909" t="b">
        <v>0</v>
      </c>
      <c r="M909">
        <v>5</v>
      </c>
      <c r="N909" t="s">
        <v>1118</v>
      </c>
      <c r="O909" s="1">
        <v>46272.338888888888</v>
      </c>
      <c r="P909" t="b">
        <v>0</v>
      </c>
      <c r="Q909" t="s">
        <v>1156</v>
      </c>
      <c r="R909" t="s">
        <v>1131</v>
      </c>
      <c r="S909" t="s">
        <v>1132</v>
      </c>
      <c r="T909" t="s">
        <v>1122</v>
      </c>
      <c r="U909" t="s">
        <v>1172</v>
      </c>
      <c r="V909" t="s">
        <v>1284</v>
      </c>
      <c r="W909" t="s">
        <v>1131</v>
      </c>
      <c r="X909">
        <v>8</v>
      </c>
      <c r="Y909" t="s">
        <v>1185</v>
      </c>
      <c r="Z909" t="s">
        <v>1147</v>
      </c>
      <c r="AA909">
        <v>1</v>
      </c>
    </row>
    <row r="910" spans="1:27" x14ac:dyDescent="0.3">
      <c r="A910" t="s">
        <v>433</v>
      </c>
      <c r="B910" t="s">
        <v>1115</v>
      </c>
      <c r="C910" t="s">
        <v>1077</v>
      </c>
      <c r="D910" t="s">
        <v>1339</v>
      </c>
      <c r="E910" t="s">
        <v>1150</v>
      </c>
      <c r="F910" s="1">
        <v>46294.32916666667</v>
      </c>
      <c r="G910" s="1">
        <v>46294.331944444442</v>
      </c>
      <c r="H910">
        <v>6</v>
      </c>
      <c r="I910">
        <v>4</v>
      </c>
      <c r="J910" t="b">
        <v>0</v>
      </c>
      <c r="K910" t="b">
        <v>0</v>
      </c>
      <c r="L910" t="b">
        <v>0</v>
      </c>
      <c r="M910">
        <v>15</v>
      </c>
      <c r="N910" t="s">
        <v>1118</v>
      </c>
      <c r="O910" s="1">
        <v>46294.216666666667</v>
      </c>
      <c r="P910" t="b">
        <v>0</v>
      </c>
      <c r="Q910" t="s">
        <v>1151</v>
      </c>
      <c r="R910" t="s">
        <v>1131</v>
      </c>
      <c r="S910" t="s">
        <v>1121</v>
      </c>
      <c r="T910" t="s">
        <v>1122</v>
      </c>
      <c r="U910" t="s">
        <v>1172</v>
      </c>
      <c r="V910" t="s">
        <v>1284</v>
      </c>
      <c r="W910" t="s">
        <v>1257</v>
      </c>
      <c r="X910">
        <v>5</v>
      </c>
      <c r="Y910" t="s">
        <v>1126</v>
      </c>
      <c r="Z910" t="s">
        <v>1127</v>
      </c>
      <c r="AA910">
        <v>0.66666666666666663</v>
      </c>
    </row>
    <row r="911" spans="1:27" x14ac:dyDescent="0.3">
      <c r="A911" t="s">
        <v>1006</v>
      </c>
      <c r="B911" t="s">
        <v>1331</v>
      </c>
      <c r="C911" t="s">
        <v>1067</v>
      </c>
      <c r="D911" t="s">
        <v>1238</v>
      </c>
      <c r="E911" t="s">
        <v>1240</v>
      </c>
      <c r="F911" s="1">
        <v>46272.586111111108</v>
      </c>
      <c r="G911" s="1">
        <v>46272.588888888888</v>
      </c>
      <c r="H911">
        <v>4</v>
      </c>
      <c r="I911">
        <v>4</v>
      </c>
      <c r="J911" t="b">
        <v>0</v>
      </c>
      <c r="K911" t="b">
        <v>0</v>
      </c>
      <c r="L911" t="b">
        <v>0</v>
      </c>
      <c r="M911">
        <v>10</v>
      </c>
      <c r="N911" t="s">
        <v>1168</v>
      </c>
      <c r="O911" s="1">
        <v>46272.580555555563</v>
      </c>
      <c r="P911" t="b">
        <v>0</v>
      </c>
      <c r="Q911" t="s">
        <v>1156</v>
      </c>
      <c r="R911" t="s">
        <v>1120</v>
      </c>
      <c r="S911" t="s">
        <v>1145</v>
      </c>
      <c r="T911" t="s">
        <v>1180</v>
      </c>
      <c r="U911" t="s">
        <v>1247</v>
      </c>
      <c r="V911" t="s">
        <v>1151</v>
      </c>
      <c r="W911" t="s">
        <v>1131</v>
      </c>
      <c r="X911">
        <v>13</v>
      </c>
      <c r="Y911" t="s">
        <v>1185</v>
      </c>
      <c r="Z911" t="s">
        <v>1134</v>
      </c>
      <c r="AA911">
        <v>1</v>
      </c>
    </row>
    <row r="912" spans="1:27" x14ac:dyDescent="0.3">
      <c r="A912" t="s">
        <v>1001</v>
      </c>
      <c r="B912" t="s">
        <v>1365</v>
      </c>
      <c r="C912" t="s">
        <v>1057</v>
      </c>
      <c r="D912" t="s">
        <v>1339</v>
      </c>
      <c r="E912" t="s">
        <v>1228</v>
      </c>
      <c r="F912" s="1">
        <v>46276.918055555558</v>
      </c>
      <c r="G912" s="1">
        <v>46276.92083333333</v>
      </c>
      <c r="H912">
        <v>3</v>
      </c>
      <c r="I912">
        <v>4</v>
      </c>
      <c r="J912" t="b">
        <v>0</v>
      </c>
      <c r="K912" t="b">
        <v>0</v>
      </c>
      <c r="L912" t="b">
        <v>0</v>
      </c>
      <c r="M912">
        <v>12</v>
      </c>
      <c r="N912" t="s">
        <v>1118</v>
      </c>
      <c r="O912" s="1">
        <v>46276.809027777781</v>
      </c>
      <c r="P912" t="b">
        <v>0</v>
      </c>
      <c r="Q912" t="s">
        <v>1179</v>
      </c>
      <c r="R912" t="s">
        <v>1145</v>
      </c>
      <c r="S912" t="s">
        <v>1157</v>
      </c>
      <c r="T912" t="s">
        <v>1122</v>
      </c>
      <c r="U912" t="s">
        <v>1172</v>
      </c>
      <c r="V912" t="s">
        <v>1284</v>
      </c>
      <c r="W912" t="s">
        <v>1257</v>
      </c>
      <c r="X912">
        <v>19</v>
      </c>
      <c r="Y912" t="s">
        <v>1142</v>
      </c>
      <c r="Z912" t="s">
        <v>1127</v>
      </c>
      <c r="AA912">
        <v>1.333333333333333</v>
      </c>
    </row>
    <row r="913" spans="1:27" x14ac:dyDescent="0.3">
      <c r="A913" t="s">
        <v>998</v>
      </c>
      <c r="B913" t="s">
        <v>1365</v>
      </c>
      <c r="C913" t="s">
        <v>1081</v>
      </c>
      <c r="D913" t="s">
        <v>1339</v>
      </c>
      <c r="E913" t="s">
        <v>1154</v>
      </c>
      <c r="F913" s="1">
        <v>46276.90625</v>
      </c>
      <c r="G913" s="1">
        <v>46276.90902777778</v>
      </c>
      <c r="H913">
        <v>1</v>
      </c>
      <c r="I913">
        <v>4</v>
      </c>
      <c r="J913" t="b">
        <v>0</v>
      </c>
      <c r="K913" t="b">
        <v>0</v>
      </c>
      <c r="L913" t="b">
        <v>0</v>
      </c>
      <c r="M913">
        <v>12</v>
      </c>
      <c r="N913" t="s">
        <v>1118</v>
      </c>
      <c r="O913" s="1">
        <v>46276.809027777781</v>
      </c>
      <c r="P913" t="b">
        <v>0</v>
      </c>
      <c r="Q913" t="s">
        <v>1156</v>
      </c>
      <c r="R913" t="s">
        <v>1131</v>
      </c>
      <c r="S913" t="s">
        <v>1157</v>
      </c>
      <c r="T913" t="s">
        <v>1180</v>
      </c>
      <c r="U913" t="s">
        <v>1247</v>
      </c>
      <c r="V913" t="s">
        <v>1284</v>
      </c>
      <c r="W913" t="s">
        <v>1257</v>
      </c>
      <c r="X913">
        <v>19</v>
      </c>
      <c r="Y913" t="s">
        <v>1142</v>
      </c>
      <c r="Z913" t="s">
        <v>1127</v>
      </c>
      <c r="AA913">
        <v>4</v>
      </c>
    </row>
    <row r="914" spans="1:27" x14ac:dyDescent="0.3">
      <c r="A914" t="s">
        <v>724</v>
      </c>
      <c r="B914" t="s">
        <v>1370</v>
      </c>
      <c r="C914" t="s">
        <v>1080</v>
      </c>
      <c r="D914" t="s">
        <v>1339</v>
      </c>
      <c r="E914" t="s">
        <v>1346</v>
      </c>
      <c r="F914" s="1">
        <v>46280.161111111112</v>
      </c>
      <c r="G914" s="1">
        <v>46280.163888888892</v>
      </c>
      <c r="H914">
        <v>7</v>
      </c>
      <c r="I914">
        <v>4</v>
      </c>
      <c r="J914" t="b">
        <v>0</v>
      </c>
      <c r="K914" t="b">
        <v>0</v>
      </c>
      <c r="L914" t="b">
        <v>0</v>
      </c>
      <c r="M914">
        <v>6</v>
      </c>
      <c r="N914" t="s">
        <v>1168</v>
      </c>
      <c r="O914" s="1">
        <v>46280.078472222223</v>
      </c>
      <c r="P914" t="b">
        <v>0</v>
      </c>
      <c r="Q914" t="s">
        <v>1179</v>
      </c>
      <c r="R914" t="s">
        <v>1120</v>
      </c>
      <c r="S914" t="s">
        <v>1121</v>
      </c>
      <c r="T914" t="s">
        <v>1122</v>
      </c>
      <c r="U914" t="s">
        <v>1247</v>
      </c>
      <c r="V914" t="s">
        <v>1284</v>
      </c>
      <c r="W914" t="s">
        <v>1257</v>
      </c>
      <c r="X914">
        <v>1</v>
      </c>
      <c r="Y914" t="s">
        <v>1126</v>
      </c>
      <c r="Z914" t="s">
        <v>1134</v>
      </c>
      <c r="AA914">
        <v>0.5714285714285714</v>
      </c>
    </row>
    <row r="915" spans="1:27" x14ac:dyDescent="0.3">
      <c r="A915" t="s">
        <v>708</v>
      </c>
      <c r="B915" t="s">
        <v>1220</v>
      </c>
      <c r="C915" t="s">
        <v>1074</v>
      </c>
      <c r="D915" t="s">
        <v>1283</v>
      </c>
      <c r="E915" t="s">
        <v>1225</v>
      </c>
      <c r="F915" s="1">
        <v>46273.463194444441</v>
      </c>
      <c r="G915" s="1">
        <v>46273.46597222222</v>
      </c>
      <c r="H915">
        <v>2</v>
      </c>
      <c r="I915">
        <v>4</v>
      </c>
      <c r="J915" t="b">
        <v>0</v>
      </c>
      <c r="K915" t="b">
        <v>0</v>
      </c>
      <c r="L915" t="b">
        <v>0</v>
      </c>
      <c r="M915">
        <v>8</v>
      </c>
      <c r="N915" t="s">
        <v>1118</v>
      </c>
      <c r="O915" s="1">
        <v>46273.438194444447</v>
      </c>
      <c r="P915" t="b">
        <v>0</v>
      </c>
      <c r="Q915" t="s">
        <v>1151</v>
      </c>
      <c r="R915" t="s">
        <v>1120</v>
      </c>
      <c r="S915" t="s">
        <v>1152</v>
      </c>
      <c r="T915" t="s">
        <v>1145</v>
      </c>
      <c r="U915" t="s">
        <v>1145</v>
      </c>
      <c r="V915" t="s">
        <v>1284</v>
      </c>
      <c r="W915" t="s">
        <v>1131</v>
      </c>
      <c r="X915">
        <v>10</v>
      </c>
      <c r="Y915" t="s">
        <v>1126</v>
      </c>
      <c r="Z915" t="s">
        <v>1134</v>
      </c>
      <c r="AA915">
        <v>2</v>
      </c>
    </row>
    <row r="916" spans="1:27" x14ac:dyDescent="0.3">
      <c r="A916" t="s">
        <v>89</v>
      </c>
      <c r="B916" t="s">
        <v>1385</v>
      </c>
      <c r="C916" t="s">
        <v>1058</v>
      </c>
      <c r="D916" t="s">
        <v>1283</v>
      </c>
      <c r="E916" t="s">
        <v>1240</v>
      </c>
      <c r="F916" s="1">
        <v>46287.513194444437</v>
      </c>
      <c r="G916" s="1">
        <v>46287.515972222223</v>
      </c>
      <c r="H916">
        <v>4</v>
      </c>
      <c r="I916">
        <v>4</v>
      </c>
      <c r="J916" t="b">
        <v>0</v>
      </c>
      <c r="K916" t="b">
        <v>0</v>
      </c>
      <c r="L916" t="b">
        <v>0</v>
      </c>
      <c r="M916">
        <v>12</v>
      </c>
      <c r="N916" t="s">
        <v>1118</v>
      </c>
      <c r="O916" s="1">
        <v>46287.443749999999</v>
      </c>
      <c r="P916" t="b">
        <v>0</v>
      </c>
      <c r="Q916" t="s">
        <v>1156</v>
      </c>
      <c r="R916" t="s">
        <v>1120</v>
      </c>
      <c r="S916" t="s">
        <v>1145</v>
      </c>
      <c r="T916" t="s">
        <v>1122</v>
      </c>
      <c r="U916" t="s">
        <v>1145</v>
      </c>
      <c r="V916" t="s">
        <v>1284</v>
      </c>
      <c r="W916" t="s">
        <v>1131</v>
      </c>
      <c r="X916">
        <v>10</v>
      </c>
      <c r="Y916" t="s">
        <v>1126</v>
      </c>
      <c r="Z916" t="s">
        <v>1127</v>
      </c>
      <c r="AA916">
        <v>1</v>
      </c>
    </row>
    <row r="917" spans="1:27" x14ac:dyDescent="0.3">
      <c r="A917" t="s">
        <v>695</v>
      </c>
      <c r="B917" t="s">
        <v>1348</v>
      </c>
      <c r="C917" t="s">
        <v>1057</v>
      </c>
      <c r="D917" t="s">
        <v>1339</v>
      </c>
      <c r="E917" t="s">
        <v>1287</v>
      </c>
      <c r="F917" s="1">
        <v>46277.442361111112</v>
      </c>
      <c r="G917" s="1">
        <v>46277.445138888892</v>
      </c>
      <c r="H917">
        <v>4</v>
      </c>
      <c r="I917">
        <v>4</v>
      </c>
      <c r="J917" t="b">
        <v>0</v>
      </c>
      <c r="K917" t="b">
        <v>0</v>
      </c>
      <c r="L917" t="b">
        <v>0</v>
      </c>
      <c r="M917">
        <v>6</v>
      </c>
      <c r="N917" t="s">
        <v>1118</v>
      </c>
      <c r="O917" s="1">
        <v>46277.361111111109</v>
      </c>
      <c r="P917" t="b">
        <v>0</v>
      </c>
      <c r="Q917" t="s">
        <v>1179</v>
      </c>
      <c r="R917" t="s">
        <v>1120</v>
      </c>
      <c r="S917" t="s">
        <v>1145</v>
      </c>
      <c r="T917" t="s">
        <v>1122</v>
      </c>
      <c r="U917" t="s">
        <v>1172</v>
      </c>
      <c r="V917" t="s">
        <v>1284</v>
      </c>
      <c r="W917" t="s">
        <v>1257</v>
      </c>
      <c r="X917">
        <v>8</v>
      </c>
      <c r="Y917" t="s">
        <v>1173</v>
      </c>
      <c r="Z917" t="s">
        <v>1134</v>
      </c>
      <c r="AA917">
        <v>1</v>
      </c>
    </row>
    <row r="918" spans="1:27" x14ac:dyDescent="0.3">
      <c r="A918" t="s">
        <v>971</v>
      </c>
      <c r="B918" t="s">
        <v>1388</v>
      </c>
      <c r="C918" t="s">
        <v>1065</v>
      </c>
      <c r="D918" t="s">
        <v>1339</v>
      </c>
      <c r="E918" t="s">
        <v>1294</v>
      </c>
      <c r="F918" s="1">
        <v>46282.269444444442</v>
      </c>
      <c r="G918" s="1">
        <v>46282.272222222222</v>
      </c>
      <c r="H918">
        <v>5</v>
      </c>
      <c r="I918">
        <v>4</v>
      </c>
      <c r="J918" t="b">
        <v>0</v>
      </c>
      <c r="K918" t="b">
        <v>0</v>
      </c>
      <c r="L918" t="b">
        <v>0</v>
      </c>
      <c r="M918">
        <v>6</v>
      </c>
      <c r="N918" t="s">
        <v>1130</v>
      </c>
      <c r="O918" s="1">
        <v>46282.188194444447</v>
      </c>
      <c r="P918" t="b">
        <v>0</v>
      </c>
      <c r="Q918" t="s">
        <v>1119</v>
      </c>
      <c r="R918" t="s">
        <v>1145</v>
      </c>
      <c r="S918" t="s">
        <v>1132</v>
      </c>
      <c r="T918" t="s">
        <v>1180</v>
      </c>
      <c r="U918" t="s">
        <v>1247</v>
      </c>
      <c r="V918" t="s">
        <v>1284</v>
      </c>
      <c r="W918" t="s">
        <v>1257</v>
      </c>
      <c r="X918">
        <v>4</v>
      </c>
      <c r="Y918" t="s">
        <v>1146</v>
      </c>
      <c r="Z918" t="s">
        <v>1134</v>
      </c>
      <c r="AA918">
        <v>0.8</v>
      </c>
    </row>
    <row r="919" spans="1:27" x14ac:dyDescent="0.3">
      <c r="A919" t="s">
        <v>490</v>
      </c>
      <c r="B919" t="s">
        <v>1380</v>
      </c>
      <c r="C919" t="s">
        <v>1070</v>
      </c>
      <c r="D919" t="s">
        <v>1339</v>
      </c>
      <c r="E919" t="s">
        <v>1213</v>
      </c>
      <c r="F919" s="1">
        <v>46273.461111111108</v>
      </c>
      <c r="G919" s="1">
        <v>46273.463888888888</v>
      </c>
      <c r="H919">
        <v>1</v>
      </c>
      <c r="I919">
        <v>4</v>
      </c>
      <c r="J919" t="b">
        <v>0</v>
      </c>
      <c r="K919" t="b">
        <v>0</v>
      </c>
      <c r="L919" t="b">
        <v>0</v>
      </c>
      <c r="M919">
        <v>4</v>
      </c>
      <c r="N919" t="s">
        <v>1130</v>
      </c>
      <c r="O919" s="1">
        <v>46273.345833333333</v>
      </c>
      <c r="P919" t="b">
        <v>0</v>
      </c>
      <c r="Q919" t="s">
        <v>1151</v>
      </c>
      <c r="R919" t="s">
        <v>1131</v>
      </c>
      <c r="S919" t="s">
        <v>1152</v>
      </c>
      <c r="T919" t="s">
        <v>1180</v>
      </c>
      <c r="U919" t="s">
        <v>1145</v>
      </c>
      <c r="V919" t="s">
        <v>1284</v>
      </c>
      <c r="W919" t="s">
        <v>1257</v>
      </c>
      <c r="X919">
        <v>8</v>
      </c>
      <c r="Y919" t="s">
        <v>1126</v>
      </c>
      <c r="Z919" t="s">
        <v>1147</v>
      </c>
      <c r="AA919">
        <v>4</v>
      </c>
    </row>
    <row r="920" spans="1:27" x14ac:dyDescent="0.3">
      <c r="A920" t="s">
        <v>984</v>
      </c>
      <c r="B920" t="s">
        <v>1329</v>
      </c>
      <c r="C920" t="s">
        <v>1070</v>
      </c>
      <c r="D920" t="s">
        <v>1283</v>
      </c>
      <c r="E920" t="s">
        <v>1265</v>
      </c>
      <c r="F920" s="1">
        <v>46284.950694444437</v>
      </c>
      <c r="G920" s="1">
        <v>46284.953472222223</v>
      </c>
      <c r="H920">
        <v>1</v>
      </c>
      <c r="I920">
        <v>4</v>
      </c>
      <c r="J920" t="b">
        <v>0</v>
      </c>
      <c r="K920" t="b">
        <v>0</v>
      </c>
      <c r="L920" t="b">
        <v>0</v>
      </c>
      <c r="M920">
        <v>10</v>
      </c>
      <c r="N920" t="s">
        <v>1118</v>
      </c>
      <c r="O920" s="1">
        <v>46284.945833333331</v>
      </c>
      <c r="P920" t="b">
        <v>0</v>
      </c>
      <c r="Q920" t="s">
        <v>1179</v>
      </c>
      <c r="R920" t="s">
        <v>1139</v>
      </c>
      <c r="S920" t="s">
        <v>1157</v>
      </c>
      <c r="T920" t="s">
        <v>1180</v>
      </c>
      <c r="U920" t="s">
        <v>1145</v>
      </c>
      <c r="V920" t="s">
        <v>1284</v>
      </c>
      <c r="W920" t="s">
        <v>1131</v>
      </c>
      <c r="X920">
        <v>22</v>
      </c>
      <c r="Y920" t="s">
        <v>1173</v>
      </c>
      <c r="Z920" t="s">
        <v>1134</v>
      </c>
      <c r="AA920">
        <v>4</v>
      </c>
    </row>
    <row r="921" spans="1:27" x14ac:dyDescent="0.3">
      <c r="A921" t="s">
        <v>966</v>
      </c>
      <c r="B921" t="s">
        <v>1421</v>
      </c>
      <c r="C921" t="s">
        <v>1061</v>
      </c>
      <c r="D921" t="s">
        <v>1136</v>
      </c>
      <c r="E921" t="s">
        <v>1453</v>
      </c>
      <c r="F921" s="1">
        <v>46270.422222222223</v>
      </c>
      <c r="G921" s="1">
        <v>46270.425000000003</v>
      </c>
      <c r="H921">
        <v>1</v>
      </c>
      <c r="I921">
        <v>4</v>
      </c>
      <c r="J921" t="b">
        <v>0</v>
      </c>
      <c r="K921" t="b">
        <v>0</v>
      </c>
      <c r="L921" t="b">
        <v>0</v>
      </c>
      <c r="M921">
        <v>10</v>
      </c>
      <c r="N921" t="s">
        <v>1118</v>
      </c>
      <c r="O921" s="1">
        <v>46270.323611111111</v>
      </c>
      <c r="P921" t="b">
        <v>0</v>
      </c>
      <c r="Q921" t="s">
        <v>1156</v>
      </c>
      <c r="R921" t="s">
        <v>1131</v>
      </c>
      <c r="S921" t="s">
        <v>1121</v>
      </c>
      <c r="T921" t="s">
        <v>1145</v>
      </c>
      <c r="U921" t="s">
        <v>1172</v>
      </c>
      <c r="V921" t="s">
        <v>1141</v>
      </c>
      <c r="W921" t="s">
        <v>1125</v>
      </c>
      <c r="X921">
        <v>7</v>
      </c>
      <c r="Y921" t="s">
        <v>1173</v>
      </c>
      <c r="Z921" t="s">
        <v>1134</v>
      </c>
      <c r="AA921">
        <v>4</v>
      </c>
    </row>
    <row r="922" spans="1:27" x14ac:dyDescent="0.3">
      <c r="A922" t="s">
        <v>965</v>
      </c>
      <c r="B922" t="s">
        <v>1421</v>
      </c>
      <c r="C922" t="s">
        <v>1070</v>
      </c>
      <c r="D922" t="s">
        <v>1283</v>
      </c>
      <c r="E922" t="s">
        <v>1237</v>
      </c>
      <c r="F922" s="1">
        <v>46270.38958333333</v>
      </c>
      <c r="G922" s="1">
        <v>46270.392361111109</v>
      </c>
      <c r="H922">
        <v>1</v>
      </c>
      <c r="I922">
        <v>4</v>
      </c>
      <c r="J922" t="b">
        <v>0</v>
      </c>
      <c r="K922" t="b">
        <v>0</v>
      </c>
      <c r="L922" t="b">
        <v>0</v>
      </c>
      <c r="M922">
        <v>10</v>
      </c>
      <c r="N922" t="s">
        <v>1118</v>
      </c>
      <c r="O922" s="1">
        <v>46270.323611111111</v>
      </c>
      <c r="P922" t="b">
        <v>0</v>
      </c>
      <c r="Q922" t="s">
        <v>1151</v>
      </c>
      <c r="R922" t="s">
        <v>1120</v>
      </c>
      <c r="S922" t="s">
        <v>1152</v>
      </c>
      <c r="T922" t="s">
        <v>1180</v>
      </c>
      <c r="U922" t="s">
        <v>1145</v>
      </c>
      <c r="V922" t="s">
        <v>1284</v>
      </c>
      <c r="W922" t="s">
        <v>1131</v>
      </c>
      <c r="X922">
        <v>7</v>
      </c>
      <c r="Y922" t="s">
        <v>1173</v>
      </c>
      <c r="Z922" t="s">
        <v>1134</v>
      </c>
      <c r="AA922">
        <v>4</v>
      </c>
    </row>
    <row r="923" spans="1:27" x14ac:dyDescent="0.3">
      <c r="A923" t="s">
        <v>678</v>
      </c>
      <c r="B923" t="s">
        <v>1245</v>
      </c>
      <c r="C923" t="s">
        <v>1066</v>
      </c>
      <c r="D923" t="s">
        <v>1280</v>
      </c>
      <c r="E923" t="s">
        <v>1358</v>
      </c>
      <c r="F923" s="1">
        <v>46285.561805555553</v>
      </c>
      <c r="G923" s="1">
        <v>46285.564583333333</v>
      </c>
      <c r="H923">
        <v>1</v>
      </c>
      <c r="I923">
        <v>4</v>
      </c>
      <c r="J923" t="b">
        <v>0</v>
      </c>
      <c r="K923" t="b">
        <v>0</v>
      </c>
      <c r="L923" t="b">
        <v>0</v>
      </c>
      <c r="M923">
        <v>3</v>
      </c>
      <c r="N923" t="s">
        <v>1168</v>
      </c>
      <c r="O923" s="1">
        <v>46285.45208333333</v>
      </c>
      <c r="P923" t="b">
        <v>0</v>
      </c>
      <c r="Q923" t="s">
        <v>1145</v>
      </c>
      <c r="R923" t="s">
        <v>1131</v>
      </c>
      <c r="S923" t="s">
        <v>1152</v>
      </c>
      <c r="T923" t="s">
        <v>1122</v>
      </c>
      <c r="U923" t="s">
        <v>1247</v>
      </c>
      <c r="V923" t="s">
        <v>1151</v>
      </c>
      <c r="W923" t="s">
        <v>1257</v>
      </c>
      <c r="X923">
        <v>10</v>
      </c>
      <c r="Y923" t="s">
        <v>1133</v>
      </c>
      <c r="Z923" t="s">
        <v>1147</v>
      </c>
      <c r="AA923">
        <v>4</v>
      </c>
    </row>
    <row r="924" spans="1:27" x14ac:dyDescent="0.3">
      <c r="A924" t="s">
        <v>245</v>
      </c>
      <c r="B924" t="s">
        <v>1428</v>
      </c>
      <c r="C924" t="s">
        <v>1057</v>
      </c>
      <c r="D924" t="s">
        <v>1280</v>
      </c>
      <c r="E924" t="s">
        <v>1129</v>
      </c>
      <c r="F924" s="1">
        <v>46283.396527777782</v>
      </c>
      <c r="G924" s="1">
        <v>46283.399305555547</v>
      </c>
      <c r="H924">
        <v>1</v>
      </c>
      <c r="I924">
        <v>4</v>
      </c>
      <c r="J924" t="b">
        <v>0</v>
      </c>
      <c r="K924" t="b">
        <v>0</v>
      </c>
      <c r="L924" t="b">
        <v>0</v>
      </c>
      <c r="M924">
        <v>20</v>
      </c>
      <c r="N924" t="s">
        <v>1130</v>
      </c>
      <c r="O924" s="1">
        <v>46283.30972222222</v>
      </c>
      <c r="P924" t="b">
        <v>0</v>
      </c>
      <c r="Q924" t="s">
        <v>1119</v>
      </c>
      <c r="R924" t="s">
        <v>1131</v>
      </c>
      <c r="S924" t="s">
        <v>1132</v>
      </c>
      <c r="T924" t="s">
        <v>1122</v>
      </c>
      <c r="U924" t="s">
        <v>1172</v>
      </c>
      <c r="V924" t="s">
        <v>1151</v>
      </c>
      <c r="W924" t="s">
        <v>1257</v>
      </c>
      <c r="X924">
        <v>7</v>
      </c>
      <c r="Y924" t="s">
        <v>1142</v>
      </c>
      <c r="Z924" t="s">
        <v>1127</v>
      </c>
      <c r="AA924">
        <v>4</v>
      </c>
    </row>
    <row r="925" spans="1:27" x14ac:dyDescent="0.3">
      <c r="A925" t="s">
        <v>495</v>
      </c>
      <c r="B925" t="s">
        <v>1438</v>
      </c>
      <c r="C925" t="s">
        <v>1060</v>
      </c>
      <c r="D925" t="s">
        <v>1339</v>
      </c>
      <c r="E925" t="s">
        <v>1150</v>
      </c>
      <c r="F925" s="1">
        <v>46289.552083333343</v>
      </c>
      <c r="G925" s="1">
        <v>46289.554861111108</v>
      </c>
      <c r="H925">
        <v>3</v>
      </c>
      <c r="I925">
        <v>4</v>
      </c>
      <c r="J925" t="b">
        <v>0</v>
      </c>
      <c r="K925" t="b">
        <v>0</v>
      </c>
      <c r="L925" t="b">
        <v>0</v>
      </c>
      <c r="M925">
        <v>3</v>
      </c>
      <c r="N925" t="s">
        <v>1118</v>
      </c>
      <c r="O925" s="1">
        <v>46289.506944444453</v>
      </c>
      <c r="P925" t="b">
        <v>0</v>
      </c>
      <c r="Q925" t="s">
        <v>1151</v>
      </c>
      <c r="R925" t="s">
        <v>1131</v>
      </c>
      <c r="S925" t="s">
        <v>1121</v>
      </c>
      <c r="T925" t="s">
        <v>1140</v>
      </c>
      <c r="U925" t="s">
        <v>1145</v>
      </c>
      <c r="V925" t="s">
        <v>1284</v>
      </c>
      <c r="W925" t="s">
        <v>1257</v>
      </c>
      <c r="X925">
        <v>12</v>
      </c>
      <c r="Y925" t="s">
        <v>1146</v>
      </c>
      <c r="Z925" t="s">
        <v>1147</v>
      </c>
      <c r="AA925">
        <v>1.333333333333333</v>
      </c>
    </row>
    <row r="926" spans="1:27" x14ac:dyDescent="0.3">
      <c r="A926" t="s">
        <v>506</v>
      </c>
      <c r="B926" t="s">
        <v>1273</v>
      </c>
      <c r="C926" t="s">
        <v>1087</v>
      </c>
      <c r="D926" t="s">
        <v>1280</v>
      </c>
      <c r="E926" t="s">
        <v>1265</v>
      </c>
      <c r="F926" s="1">
        <v>46284.624305555553</v>
      </c>
      <c r="G926" s="1">
        <v>46284.627083333333</v>
      </c>
      <c r="H926">
        <v>3</v>
      </c>
      <c r="I926">
        <v>4</v>
      </c>
      <c r="J926" t="b">
        <v>0</v>
      </c>
      <c r="K926" t="b">
        <v>0</v>
      </c>
      <c r="L926" t="b">
        <v>0</v>
      </c>
      <c r="M926">
        <v>20</v>
      </c>
      <c r="N926" t="s">
        <v>1168</v>
      </c>
      <c r="O926" s="1">
        <v>46284.599305555559</v>
      </c>
      <c r="P926" t="b">
        <v>0</v>
      </c>
      <c r="Q926" t="s">
        <v>1179</v>
      </c>
      <c r="R926" t="s">
        <v>1139</v>
      </c>
      <c r="S926" t="s">
        <v>1157</v>
      </c>
      <c r="T926" t="s">
        <v>1145</v>
      </c>
      <c r="U926" t="s">
        <v>1247</v>
      </c>
      <c r="V926" t="s">
        <v>1151</v>
      </c>
      <c r="W926" t="s">
        <v>1257</v>
      </c>
      <c r="X926">
        <v>14</v>
      </c>
      <c r="Y926" t="s">
        <v>1173</v>
      </c>
      <c r="Z926" t="s">
        <v>1127</v>
      </c>
      <c r="AA926">
        <v>1.333333333333333</v>
      </c>
    </row>
    <row r="927" spans="1:27" x14ac:dyDescent="0.3">
      <c r="A927" t="s">
        <v>255</v>
      </c>
      <c r="B927" t="s">
        <v>1431</v>
      </c>
      <c r="C927" t="s">
        <v>1067</v>
      </c>
      <c r="D927" t="s">
        <v>1280</v>
      </c>
      <c r="E927" t="s">
        <v>1235</v>
      </c>
      <c r="F927" s="1">
        <v>46276.798611111109</v>
      </c>
      <c r="G927" s="1">
        <v>46276.801388888889</v>
      </c>
      <c r="H927">
        <v>3</v>
      </c>
      <c r="I927">
        <v>4</v>
      </c>
      <c r="J927" t="b">
        <v>0</v>
      </c>
      <c r="K927" t="b">
        <v>0</v>
      </c>
      <c r="L927" t="b">
        <v>0</v>
      </c>
      <c r="M927">
        <v>6</v>
      </c>
      <c r="N927" t="s">
        <v>1118</v>
      </c>
      <c r="O927" s="1">
        <v>46276.694444444453</v>
      </c>
      <c r="P927" t="b">
        <v>0</v>
      </c>
      <c r="Q927" t="s">
        <v>1151</v>
      </c>
      <c r="R927" t="s">
        <v>1131</v>
      </c>
      <c r="S927" t="s">
        <v>1152</v>
      </c>
      <c r="T927" t="s">
        <v>1180</v>
      </c>
      <c r="U927" t="s">
        <v>1247</v>
      </c>
      <c r="V927" t="s">
        <v>1151</v>
      </c>
      <c r="W927" t="s">
        <v>1257</v>
      </c>
      <c r="X927">
        <v>16</v>
      </c>
      <c r="Y927" t="s">
        <v>1142</v>
      </c>
      <c r="Z927" t="s">
        <v>1134</v>
      </c>
      <c r="AA927">
        <v>1.333333333333333</v>
      </c>
    </row>
    <row r="928" spans="1:27" x14ac:dyDescent="0.3">
      <c r="A928" t="s">
        <v>654</v>
      </c>
      <c r="B928" t="s">
        <v>1158</v>
      </c>
      <c r="C928" t="s">
        <v>1082</v>
      </c>
      <c r="D928" t="s">
        <v>1283</v>
      </c>
      <c r="E928" t="s">
        <v>1309</v>
      </c>
      <c r="F928" s="1">
        <v>46282.885416666657</v>
      </c>
      <c r="G928" s="1">
        <v>46282.888194444437</v>
      </c>
      <c r="H928">
        <v>3</v>
      </c>
      <c r="I928">
        <v>4</v>
      </c>
      <c r="J928" t="b">
        <v>0</v>
      </c>
      <c r="K928" t="b">
        <v>0</v>
      </c>
      <c r="L928" t="b">
        <v>0</v>
      </c>
      <c r="M928">
        <v>5</v>
      </c>
      <c r="N928" t="s">
        <v>1118</v>
      </c>
      <c r="O928" s="1">
        <v>46282.870833333327</v>
      </c>
      <c r="P928" t="b">
        <v>0</v>
      </c>
      <c r="Q928" t="s">
        <v>1119</v>
      </c>
      <c r="R928" t="s">
        <v>1120</v>
      </c>
      <c r="S928" t="s">
        <v>1157</v>
      </c>
      <c r="T928" t="s">
        <v>1122</v>
      </c>
      <c r="U928" t="s">
        <v>1145</v>
      </c>
      <c r="V928" t="s">
        <v>1284</v>
      </c>
      <c r="W928" t="s">
        <v>1131</v>
      </c>
      <c r="X928">
        <v>20</v>
      </c>
      <c r="Y928" t="s">
        <v>1146</v>
      </c>
      <c r="Z928" t="s">
        <v>1147</v>
      </c>
      <c r="AA928">
        <v>1.333333333333333</v>
      </c>
    </row>
    <row r="929" spans="1:27" x14ac:dyDescent="0.3">
      <c r="A929" t="s">
        <v>381</v>
      </c>
      <c r="B929" t="s">
        <v>1334</v>
      </c>
      <c r="C929" t="s">
        <v>1063</v>
      </c>
      <c r="D929" t="s">
        <v>1283</v>
      </c>
      <c r="E929" t="s">
        <v>1259</v>
      </c>
      <c r="F929" s="1">
        <v>46288.336805555547</v>
      </c>
      <c r="G929" s="1">
        <v>46288.339583333327</v>
      </c>
      <c r="H929">
        <v>4</v>
      </c>
      <c r="I929">
        <v>4</v>
      </c>
      <c r="J929" t="b">
        <v>0</v>
      </c>
      <c r="K929" t="b">
        <v>0</v>
      </c>
      <c r="L929" t="b">
        <v>0</v>
      </c>
      <c r="M929">
        <v>5</v>
      </c>
      <c r="N929" t="s">
        <v>1118</v>
      </c>
      <c r="O929" s="1">
        <v>46288.262499999997</v>
      </c>
      <c r="P929" t="b">
        <v>0</v>
      </c>
      <c r="Q929" t="s">
        <v>1179</v>
      </c>
      <c r="R929" t="s">
        <v>1120</v>
      </c>
      <c r="S929" t="s">
        <v>1132</v>
      </c>
      <c r="T929" t="s">
        <v>1122</v>
      </c>
      <c r="U929" t="s">
        <v>1172</v>
      </c>
      <c r="V929" t="s">
        <v>1284</v>
      </c>
      <c r="W929" t="s">
        <v>1131</v>
      </c>
      <c r="X929">
        <v>6</v>
      </c>
      <c r="Y929" t="s">
        <v>1161</v>
      </c>
      <c r="Z929" t="s">
        <v>1147</v>
      </c>
      <c r="AA929">
        <v>1</v>
      </c>
    </row>
    <row r="930" spans="1:27" x14ac:dyDescent="0.3">
      <c r="A930" t="s">
        <v>386</v>
      </c>
      <c r="B930" t="s">
        <v>1459</v>
      </c>
      <c r="C930" t="s">
        <v>1084</v>
      </c>
      <c r="D930" t="s">
        <v>1339</v>
      </c>
      <c r="E930" t="s">
        <v>1356</v>
      </c>
      <c r="F930" s="1">
        <v>46287.609027777777</v>
      </c>
      <c r="G930" s="1">
        <v>46287.611805555563</v>
      </c>
      <c r="H930">
        <v>2</v>
      </c>
      <c r="I930">
        <v>4</v>
      </c>
      <c r="J930" t="b">
        <v>0</v>
      </c>
      <c r="K930" t="b">
        <v>0</v>
      </c>
      <c r="L930" t="b">
        <v>0</v>
      </c>
      <c r="M930">
        <v>5</v>
      </c>
      <c r="N930" t="s">
        <v>1118</v>
      </c>
      <c r="O930" s="1">
        <v>46287.510416666657</v>
      </c>
      <c r="P930" t="b">
        <v>0</v>
      </c>
      <c r="Q930" t="s">
        <v>1145</v>
      </c>
      <c r="R930" t="s">
        <v>1120</v>
      </c>
      <c r="S930" t="s">
        <v>1132</v>
      </c>
      <c r="T930" t="s">
        <v>1122</v>
      </c>
      <c r="U930" t="s">
        <v>1247</v>
      </c>
      <c r="V930" t="s">
        <v>1284</v>
      </c>
      <c r="W930" t="s">
        <v>1257</v>
      </c>
      <c r="X930">
        <v>12</v>
      </c>
      <c r="Y930" t="s">
        <v>1126</v>
      </c>
      <c r="Z930" t="s">
        <v>1147</v>
      </c>
      <c r="AA930">
        <v>2</v>
      </c>
    </row>
    <row r="931" spans="1:27" x14ac:dyDescent="0.3">
      <c r="A931" t="s">
        <v>264</v>
      </c>
      <c r="B931" t="s">
        <v>1335</v>
      </c>
      <c r="C931" t="s">
        <v>1059</v>
      </c>
      <c r="D931" t="s">
        <v>1339</v>
      </c>
      <c r="E931" t="s">
        <v>1167</v>
      </c>
      <c r="F931" s="1">
        <v>46270.132638888892</v>
      </c>
      <c r="G931" s="1">
        <v>46270.135416666657</v>
      </c>
      <c r="H931">
        <v>3</v>
      </c>
      <c r="I931">
        <v>4</v>
      </c>
      <c r="J931" t="b">
        <v>0</v>
      </c>
      <c r="K931" t="b">
        <v>0</v>
      </c>
      <c r="L931" t="b">
        <v>0</v>
      </c>
      <c r="N931" t="s">
        <v>1118</v>
      </c>
      <c r="O931" s="1">
        <v>46270.036111111112</v>
      </c>
      <c r="P931" t="b">
        <v>1</v>
      </c>
      <c r="Q931" t="s">
        <v>1169</v>
      </c>
      <c r="R931" t="s">
        <v>1131</v>
      </c>
      <c r="S931" t="s">
        <v>1157</v>
      </c>
      <c r="T931" t="s">
        <v>1122</v>
      </c>
      <c r="U931" t="s">
        <v>1172</v>
      </c>
      <c r="V931" t="s">
        <v>1284</v>
      </c>
      <c r="W931" t="s">
        <v>1257</v>
      </c>
      <c r="X931">
        <v>0</v>
      </c>
      <c r="Y931" t="s">
        <v>1173</v>
      </c>
      <c r="AA931">
        <v>1.333333333333333</v>
      </c>
    </row>
    <row r="932" spans="1:27" x14ac:dyDescent="0.3">
      <c r="A932" t="s">
        <v>271</v>
      </c>
      <c r="B932" t="s">
        <v>1201</v>
      </c>
      <c r="C932" t="s">
        <v>1059</v>
      </c>
      <c r="D932" t="s">
        <v>1339</v>
      </c>
      <c r="E932" t="s">
        <v>1272</v>
      </c>
      <c r="F932" s="1">
        <v>46286.873611111107</v>
      </c>
      <c r="G932" s="1">
        <v>46286.876388888893</v>
      </c>
      <c r="H932">
        <v>2</v>
      </c>
      <c r="I932">
        <v>4</v>
      </c>
      <c r="J932" t="b">
        <v>0</v>
      </c>
      <c r="K932" t="b">
        <v>0</v>
      </c>
      <c r="L932" t="b">
        <v>0</v>
      </c>
      <c r="M932">
        <v>10</v>
      </c>
      <c r="N932" t="s">
        <v>1130</v>
      </c>
      <c r="O932" s="1">
        <v>46286.793055555558</v>
      </c>
      <c r="P932" t="b">
        <v>0</v>
      </c>
      <c r="Q932" t="s">
        <v>1179</v>
      </c>
      <c r="R932" t="s">
        <v>1120</v>
      </c>
      <c r="S932" t="s">
        <v>1157</v>
      </c>
      <c r="T932" t="s">
        <v>1122</v>
      </c>
      <c r="U932" t="s">
        <v>1172</v>
      </c>
      <c r="V932" t="s">
        <v>1284</v>
      </c>
      <c r="W932" t="s">
        <v>1257</v>
      </c>
      <c r="X932">
        <v>19</v>
      </c>
      <c r="Y932" t="s">
        <v>1185</v>
      </c>
      <c r="Z932" t="s">
        <v>1134</v>
      </c>
      <c r="AA932">
        <v>2</v>
      </c>
    </row>
    <row r="933" spans="1:27" x14ac:dyDescent="0.3">
      <c r="A933" t="s">
        <v>729</v>
      </c>
      <c r="B933" t="s">
        <v>1343</v>
      </c>
      <c r="C933" t="s">
        <v>1086</v>
      </c>
      <c r="D933" t="s">
        <v>1280</v>
      </c>
      <c r="E933" t="s">
        <v>1317</v>
      </c>
      <c r="F933" s="1">
        <v>46274.602083333331</v>
      </c>
      <c r="G933" s="1">
        <v>46274.604861111111</v>
      </c>
      <c r="H933">
        <v>1</v>
      </c>
      <c r="I933">
        <v>4</v>
      </c>
      <c r="J933" t="b">
        <v>0</v>
      </c>
      <c r="K933" t="b">
        <v>0</v>
      </c>
      <c r="L933" t="b">
        <v>0</v>
      </c>
      <c r="M933">
        <v>12</v>
      </c>
      <c r="N933" t="s">
        <v>1168</v>
      </c>
      <c r="O933" s="1">
        <v>46274.51666666667</v>
      </c>
      <c r="P933" t="b">
        <v>0</v>
      </c>
      <c r="Q933" t="s">
        <v>1156</v>
      </c>
      <c r="R933" t="s">
        <v>1120</v>
      </c>
      <c r="S933" t="s">
        <v>1152</v>
      </c>
      <c r="T933" t="s">
        <v>1122</v>
      </c>
      <c r="U933" t="s">
        <v>1145</v>
      </c>
      <c r="V933" t="s">
        <v>1151</v>
      </c>
      <c r="W933" t="s">
        <v>1257</v>
      </c>
      <c r="X933">
        <v>12</v>
      </c>
      <c r="Y933" t="s">
        <v>1161</v>
      </c>
      <c r="Z933" t="s">
        <v>1127</v>
      </c>
      <c r="AA933">
        <v>4</v>
      </c>
    </row>
    <row r="934" spans="1:27" x14ac:dyDescent="0.3">
      <c r="A934" t="s">
        <v>951</v>
      </c>
      <c r="B934" t="s">
        <v>1263</v>
      </c>
      <c r="C934" t="s">
        <v>1065</v>
      </c>
      <c r="D934" t="s">
        <v>1339</v>
      </c>
      <c r="E934" t="s">
        <v>1129</v>
      </c>
      <c r="F934" s="1">
        <v>46269.20416666667</v>
      </c>
      <c r="G934" s="1">
        <v>46269.206944444442</v>
      </c>
      <c r="H934">
        <v>2</v>
      </c>
      <c r="I934">
        <v>4</v>
      </c>
      <c r="J934" t="b">
        <v>0</v>
      </c>
      <c r="K934" t="b">
        <v>0</v>
      </c>
      <c r="L934" t="b">
        <v>0</v>
      </c>
      <c r="M934">
        <v>8</v>
      </c>
      <c r="N934" t="s">
        <v>1118</v>
      </c>
      <c r="O934" s="1">
        <v>46269.193055555559</v>
      </c>
      <c r="P934" t="b">
        <v>0</v>
      </c>
      <c r="Q934" t="s">
        <v>1119</v>
      </c>
      <c r="R934" t="s">
        <v>1131</v>
      </c>
      <c r="S934" t="s">
        <v>1132</v>
      </c>
      <c r="T934" t="s">
        <v>1180</v>
      </c>
      <c r="U934" t="s">
        <v>1247</v>
      </c>
      <c r="V934" t="s">
        <v>1284</v>
      </c>
      <c r="W934" t="s">
        <v>1257</v>
      </c>
      <c r="X934">
        <v>4</v>
      </c>
      <c r="Y934" t="s">
        <v>1142</v>
      </c>
      <c r="Z934" t="s">
        <v>1134</v>
      </c>
      <c r="AA934">
        <v>2</v>
      </c>
    </row>
    <row r="935" spans="1:27" x14ac:dyDescent="0.3">
      <c r="A935" t="s">
        <v>466</v>
      </c>
      <c r="B935" t="s">
        <v>1382</v>
      </c>
      <c r="C935" t="s">
        <v>1077</v>
      </c>
      <c r="D935" t="s">
        <v>1238</v>
      </c>
      <c r="E935" t="s">
        <v>1246</v>
      </c>
      <c r="F935" s="1">
        <v>46270.85833333333</v>
      </c>
      <c r="G935" s="1">
        <v>46270.861111111109</v>
      </c>
      <c r="H935">
        <v>3</v>
      </c>
      <c r="I935">
        <v>4</v>
      </c>
      <c r="J935" t="b">
        <v>0</v>
      </c>
      <c r="K935" t="b">
        <v>0</v>
      </c>
      <c r="L935" t="b">
        <v>0</v>
      </c>
      <c r="M935">
        <v>8</v>
      </c>
      <c r="N935" t="s">
        <v>1118</v>
      </c>
      <c r="O935" s="1">
        <v>46270.801388888889</v>
      </c>
      <c r="P935" t="b">
        <v>0</v>
      </c>
      <c r="Q935" t="s">
        <v>1145</v>
      </c>
      <c r="R935" t="s">
        <v>1120</v>
      </c>
      <c r="S935" t="s">
        <v>1157</v>
      </c>
      <c r="T935" t="s">
        <v>1122</v>
      </c>
      <c r="U935" t="s">
        <v>1172</v>
      </c>
      <c r="V935" t="s">
        <v>1151</v>
      </c>
      <c r="W935" t="s">
        <v>1131</v>
      </c>
      <c r="X935">
        <v>19</v>
      </c>
      <c r="Y935" t="s">
        <v>1173</v>
      </c>
      <c r="Z935" t="s">
        <v>1134</v>
      </c>
      <c r="AA935">
        <v>1.333333333333333</v>
      </c>
    </row>
    <row r="936" spans="1:27" x14ac:dyDescent="0.3">
      <c r="A936" t="s">
        <v>686</v>
      </c>
      <c r="B936" t="s">
        <v>1489</v>
      </c>
      <c r="C936" t="s">
        <v>1061</v>
      </c>
      <c r="D936" t="s">
        <v>1283</v>
      </c>
      <c r="E936" t="s">
        <v>1207</v>
      </c>
      <c r="F936" s="1">
        <v>46283.770833333343</v>
      </c>
      <c r="G936" s="1">
        <v>46283.773611111108</v>
      </c>
      <c r="H936">
        <v>2</v>
      </c>
      <c r="I936">
        <v>4</v>
      </c>
      <c r="J936" t="b">
        <v>0</v>
      </c>
      <c r="K936" t="b">
        <v>0</v>
      </c>
      <c r="L936" t="b">
        <v>0</v>
      </c>
      <c r="M936">
        <v>4</v>
      </c>
      <c r="N936" t="s">
        <v>1118</v>
      </c>
      <c r="O936" s="1">
        <v>46283.657638888893</v>
      </c>
      <c r="P936" t="b">
        <v>0</v>
      </c>
      <c r="Q936" t="s">
        <v>1179</v>
      </c>
      <c r="R936" t="s">
        <v>1131</v>
      </c>
      <c r="S936" t="s">
        <v>1157</v>
      </c>
      <c r="T936" t="s">
        <v>1145</v>
      </c>
      <c r="U936" t="s">
        <v>1172</v>
      </c>
      <c r="V936" t="s">
        <v>1284</v>
      </c>
      <c r="W936" t="s">
        <v>1131</v>
      </c>
      <c r="X936">
        <v>15</v>
      </c>
      <c r="Y936" t="s">
        <v>1142</v>
      </c>
      <c r="Z936" t="s">
        <v>1147</v>
      </c>
      <c r="AA936">
        <v>2</v>
      </c>
    </row>
    <row r="937" spans="1:27" x14ac:dyDescent="0.3">
      <c r="A937" t="s">
        <v>393</v>
      </c>
      <c r="B937" t="s">
        <v>1285</v>
      </c>
      <c r="C937" t="s">
        <v>1074</v>
      </c>
      <c r="D937" t="s">
        <v>1255</v>
      </c>
      <c r="E937" t="s">
        <v>1305</v>
      </c>
      <c r="F937" s="1">
        <v>46282.563888888893</v>
      </c>
      <c r="G937" s="1">
        <v>46282.566666666673</v>
      </c>
      <c r="H937">
        <v>3</v>
      </c>
      <c r="I937">
        <v>4</v>
      </c>
      <c r="J937" t="b">
        <v>0</v>
      </c>
      <c r="K937" t="b">
        <v>0</v>
      </c>
      <c r="L937" t="b">
        <v>0</v>
      </c>
      <c r="M937">
        <v>20</v>
      </c>
      <c r="N937" t="s">
        <v>1130</v>
      </c>
      <c r="O937" s="1">
        <v>46282.532638888893</v>
      </c>
      <c r="P937" t="b">
        <v>0</v>
      </c>
      <c r="Q937" t="s">
        <v>1156</v>
      </c>
      <c r="R937" t="s">
        <v>1131</v>
      </c>
      <c r="S937" t="s">
        <v>1157</v>
      </c>
      <c r="T937" t="s">
        <v>1145</v>
      </c>
      <c r="U937" t="s">
        <v>1145</v>
      </c>
      <c r="V937" t="s">
        <v>1141</v>
      </c>
      <c r="W937" t="s">
        <v>1257</v>
      </c>
      <c r="X937">
        <v>12</v>
      </c>
      <c r="Y937" t="s">
        <v>1146</v>
      </c>
      <c r="Z937" t="s">
        <v>1127</v>
      </c>
      <c r="AA937">
        <v>1.333333333333333</v>
      </c>
    </row>
    <row r="938" spans="1:27" x14ac:dyDescent="0.3">
      <c r="A938" t="s">
        <v>138</v>
      </c>
      <c r="B938" t="s">
        <v>1239</v>
      </c>
      <c r="C938" t="s">
        <v>1082</v>
      </c>
      <c r="D938" t="s">
        <v>1339</v>
      </c>
      <c r="E938" t="s">
        <v>1344</v>
      </c>
      <c r="F938" s="1">
        <v>46292.95416666667</v>
      </c>
      <c r="G938" s="1">
        <v>46292.956944444442</v>
      </c>
      <c r="H938">
        <v>4</v>
      </c>
      <c r="I938">
        <v>4</v>
      </c>
      <c r="J938" t="b">
        <v>0</v>
      </c>
      <c r="K938" t="b">
        <v>0</v>
      </c>
      <c r="L938" t="b">
        <v>0</v>
      </c>
      <c r="M938">
        <v>12</v>
      </c>
      <c r="N938" t="s">
        <v>1130</v>
      </c>
      <c r="O938" s="1">
        <v>46292.831250000003</v>
      </c>
      <c r="P938" t="b">
        <v>0</v>
      </c>
      <c r="Q938" t="s">
        <v>1156</v>
      </c>
      <c r="R938" t="s">
        <v>1131</v>
      </c>
      <c r="S938" t="s">
        <v>1132</v>
      </c>
      <c r="T938" t="s">
        <v>1122</v>
      </c>
      <c r="U938" t="s">
        <v>1145</v>
      </c>
      <c r="V938" t="s">
        <v>1284</v>
      </c>
      <c r="W938" t="s">
        <v>1257</v>
      </c>
      <c r="X938">
        <v>19</v>
      </c>
      <c r="Y938" t="s">
        <v>1133</v>
      </c>
      <c r="Z938" t="s">
        <v>1127</v>
      </c>
      <c r="AA938">
        <v>1</v>
      </c>
    </row>
    <row r="939" spans="1:27" x14ac:dyDescent="0.3">
      <c r="A939" t="s">
        <v>154</v>
      </c>
      <c r="B939" t="s">
        <v>1286</v>
      </c>
      <c r="C939" t="s">
        <v>1073</v>
      </c>
      <c r="D939" t="s">
        <v>1283</v>
      </c>
      <c r="E939" t="s">
        <v>1159</v>
      </c>
      <c r="F939" s="1">
        <v>46290.344444444447</v>
      </c>
      <c r="G939" s="1">
        <v>46290.347222222219</v>
      </c>
      <c r="H939">
        <v>3</v>
      </c>
      <c r="I939">
        <v>4</v>
      </c>
      <c r="J939" t="b">
        <v>0</v>
      </c>
      <c r="K939" t="b">
        <v>0</v>
      </c>
      <c r="L939" t="b">
        <v>0</v>
      </c>
      <c r="M939">
        <v>15</v>
      </c>
      <c r="N939" t="s">
        <v>1118</v>
      </c>
      <c r="O939" s="1">
        <v>46290.302777777782</v>
      </c>
      <c r="P939" t="b">
        <v>0</v>
      </c>
      <c r="Q939" t="s">
        <v>1138</v>
      </c>
      <c r="R939" t="s">
        <v>1120</v>
      </c>
      <c r="S939" t="s">
        <v>1132</v>
      </c>
      <c r="T939" t="s">
        <v>1122</v>
      </c>
      <c r="U939" t="s">
        <v>1247</v>
      </c>
      <c r="V939" t="s">
        <v>1284</v>
      </c>
      <c r="W939" t="s">
        <v>1131</v>
      </c>
      <c r="X939">
        <v>7</v>
      </c>
      <c r="Y939" t="s">
        <v>1142</v>
      </c>
      <c r="Z939" t="s">
        <v>1127</v>
      </c>
      <c r="AA939">
        <v>1.333333333333333</v>
      </c>
    </row>
    <row r="940" spans="1:27" x14ac:dyDescent="0.3">
      <c r="A940" t="s">
        <v>160</v>
      </c>
      <c r="B940" t="s">
        <v>1412</v>
      </c>
      <c r="C940" t="s">
        <v>1080</v>
      </c>
      <c r="D940" t="s">
        <v>1280</v>
      </c>
      <c r="E940" t="s">
        <v>1265</v>
      </c>
      <c r="F940" s="1">
        <v>46283.84375</v>
      </c>
      <c r="G940" s="1">
        <v>46283.84652777778</v>
      </c>
      <c r="H940">
        <v>2</v>
      </c>
      <c r="I940">
        <v>4</v>
      </c>
      <c r="J940" t="b">
        <v>0</v>
      </c>
      <c r="K940" t="b">
        <v>0</v>
      </c>
      <c r="L940" t="b">
        <v>0</v>
      </c>
      <c r="M940">
        <v>6</v>
      </c>
      <c r="N940" t="s">
        <v>1130</v>
      </c>
      <c r="O940" s="1">
        <v>46283.841666666667</v>
      </c>
      <c r="P940" t="b">
        <v>0</v>
      </c>
      <c r="Q940" t="s">
        <v>1179</v>
      </c>
      <c r="R940" t="s">
        <v>1139</v>
      </c>
      <c r="S940" t="s">
        <v>1157</v>
      </c>
      <c r="T940" t="s">
        <v>1122</v>
      </c>
      <c r="U940" t="s">
        <v>1247</v>
      </c>
      <c r="V940" t="s">
        <v>1151</v>
      </c>
      <c r="W940" t="s">
        <v>1257</v>
      </c>
      <c r="X940">
        <v>20</v>
      </c>
      <c r="Y940" t="s">
        <v>1142</v>
      </c>
      <c r="Z940" t="s">
        <v>1134</v>
      </c>
      <c r="AA940">
        <v>2</v>
      </c>
    </row>
    <row r="941" spans="1:27" x14ac:dyDescent="0.3">
      <c r="A941" t="s">
        <v>674</v>
      </c>
      <c r="B941" t="s">
        <v>1242</v>
      </c>
      <c r="C941" t="s">
        <v>1058</v>
      </c>
      <c r="D941" t="s">
        <v>1280</v>
      </c>
      <c r="E941" t="s">
        <v>1453</v>
      </c>
      <c r="F941" s="1">
        <v>46273.162499999999</v>
      </c>
      <c r="G941" s="1">
        <v>46273.165277777778</v>
      </c>
      <c r="H941">
        <v>2</v>
      </c>
      <c r="I941">
        <v>4</v>
      </c>
      <c r="J941" t="b">
        <v>0</v>
      </c>
      <c r="K941" t="b">
        <v>0</v>
      </c>
      <c r="L941" t="b">
        <v>0</v>
      </c>
      <c r="M941">
        <v>10</v>
      </c>
      <c r="N941" t="s">
        <v>1168</v>
      </c>
      <c r="O941" s="1">
        <v>46273.044444444437</v>
      </c>
      <c r="P941" t="b">
        <v>0</v>
      </c>
      <c r="Q941" t="s">
        <v>1156</v>
      </c>
      <c r="R941" t="s">
        <v>1131</v>
      </c>
      <c r="S941" t="s">
        <v>1121</v>
      </c>
      <c r="T941" t="s">
        <v>1122</v>
      </c>
      <c r="U941" t="s">
        <v>1145</v>
      </c>
      <c r="V941" t="s">
        <v>1151</v>
      </c>
      <c r="W941" t="s">
        <v>1257</v>
      </c>
      <c r="X941">
        <v>1</v>
      </c>
      <c r="Y941" t="s">
        <v>1126</v>
      </c>
      <c r="Z941" t="s">
        <v>1134</v>
      </c>
      <c r="AA941">
        <v>2</v>
      </c>
    </row>
    <row r="942" spans="1:27" x14ac:dyDescent="0.3">
      <c r="A942" t="s">
        <v>746</v>
      </c>
      <c r="B942" t="s">
        <v>1373</v>
      </c>
      <c r="C942" t="s">
        <v>1065</v>
      </c>
      <c r="D942" t="s">
        <v>1280</v>
      </c>
      <c r="E942" t="s">
        <v>1244</v>
      </c>
      <c r="F942" s="1">
        <v>46285.497916666667</v>
      </c>
      <c r="G942" s="1">
        <v>46285.500694444447</v>
      </c>
      <c r="H942">
        <v>2</v>
      </c>
      <c r="I942">
        <v>4</v>
      </c>
      <c r="J942" t="b">
        <v>0</v>
      </c>
      <c r="K942" t="b">
        <v>0</v>
      </c>
      <c r="L942" t="b">
        <v>0</v>
      </c>
      <c r="M942">
        <v>8</v>
      </c>
      <c r="N942" t="s">
        <v>1118</v>
      </c>
      <c r="O942" s="1">
        <v>46285.378472222219</v>
      </c>
      <c r="P942" t="b">
        <v>0</v>
      </c>
      <c r="Q942" t="s">
        <v>1119</v>
      </c>
      <c r="R942" t="s">
        <v>1120</v>
      </c>
      <c r="S942" t="s">
        <v>1121</v>
      </c>
      <c r="T942" t="s">
        <v>1180</v>
      </c>
      <c r="U942" t="s">
        <v>1247</v>
      </c>
      <c r="V942" t="s">
        <v>1151</v>
      </c>
      <c r="W942" t="s">
        <v>1257</v>
      </c>
      <c r="X942">
        <v>9</v>
      </c>
      <c r="Y942" t="s">
        <v>1133</v>
      </c>
      <c r="Z942" t="s">
        <v>1134</v>
      </c>
      <c r="AA942">
        <v>2</v>
      </c>
    </row>
    <row r="943" spans="1:27" x14ac:dyDescent="0.3">
      <c r="A943" t="s">
        <v>246</v>
      </c>
      <c r="B943" t="s">
        <v>1428</v>
      </c>
      <c r="C943" t="s">
        <v>1068</v>
      </c>
      <c r="D943" t="s">
        <v>1339</v>
      </c>
      <c r="E943" t="s">
        <v>1221</v>
      </c>
      <c r="F943" s="1">
        <v>46283.384722222218</v>
      </c>
      <c r="G943" s="1">
        <v>46283.387499999997</v>
      </c>
      <c r="H943">
        <v>2</v>
      </c>
      <c r="I943">
        <v>4</v>
      </c>
      <c r="J943" t="b">
        <v>0</v>
      </c>
      <c r="K943" t="b">
        <v>0</v>
      </c>
      <c r="L943" t="b">
        <v>0</v>
      </c>
      <c r="M943">
        <v>20</v>
      </c>
      <c r="N943" t="s">
        <v>1130</v>
      </c>
      <c r="O943" s="1">
        <v>46283.30972222222</v>
      </c>
      <c r="P943" t="b">
        <v>0</v>
      </c>
      <c r="Q943" t="s">
        <v>1151</v>
      </c>
      <c r="R943" t="s">
        <v>1131</v>
      </c>
      <c r="S943" t="s">
        <v>1121</v>
      </c>
      <c r="T943" t="s">
        <v>1122</v>
      </c>
      <c r="U943" t="s">
        <v>1123</v>
      </c>
      <c r="V943" t="s">
        <v>1284</v>
      </c>
      <c r="W943" t="s">
        <v>1257</v>
      </c>
      <c r="X943">
        <v>7</v>
      </c>
      <c r="Y943" t="s">
        <v>1142</v>
      </c>
      <c r="Z943" t="s">
        <v>1127</v>
      </c>
      <c r="AA943">
        <v>2</v>
      </c>
    </row>
    <row r="944" spans="1:27" x14ac:dyDescent="0.3">
      <c r="A944" t="s">
        <v>515</v>
      </c>
      <c r="B944" t="s">
        <v>1367</v>
      </c>
      <c r="C944" t="s">
        <v>1081</v>
      </c>
      <c r="D944" t="s">
        <v>1238</v>
      </c>
      <c r="E944" t="s">
        <v>1379</v>
      </c>
      <c r="F944" s="1">
        <v>46278.501388888893</v>
      </c>
      <c r="G944" s="1">
        <v>46278.504166666673</v>
      </c>
      <c r="H944">
        <v>3</v>
      </c>
      <c r="I944">
        <v>4</v>
      </c>
      <c r="J944" t="b">
        <v>0</v>
      </c>
      <c r="K944" t="b">
        <v>0</v>
      </c>
      <c r="L944" t="b">
        <v>0</v>
      </c>
      <c r="M944">
        <v>15</v>
      </c>
      <c r="N944" t="s">
        <v>1155</v>
      </c>
      <c r="O944" s="1">
        <v>46278.393055555563</v>
      </c>
      <c r="P944" t="b">
        <v>0</v>
      </c>
      <c r="Q944" t="s">
        <v>1179</v>
      </c>
      <c r="R944" t="s">
        <v>1120</v>
      </c>
      <c r="S944" t="s">
        <v>1145</v>
      </c>
      <c r="T944" t="s">
        <v>1180</v>
      </c>
      <c r="U944" t="s">
        <v>1247</v>
      </c>
      <c r="V944" t="s">
        <v>1151</v>
      </c>
      <c r="W944" t="s">
        <v>1131</v>
      </c>
      <c r="X944">
        <v>9</v>
      </c>
      <c r="Y944" t="s">
        <v>1133</v>
      </c>
      <c r="Z944" t="s">
        <v>1127</v>
      </c>
      <c r="AA944">
        <v>1.333333333333333</v>
      </c>
    </row>
    <row r="945" spans="1:27" x14ac:dyDescent="0.3">
      <c r="A945" t="s">
        <v>625</v>
      </c>
      <c r="B945" t="s">
        <v>1402</v>
      </c>
      <c r="C945" t="s">
        <v>1073</v>
      </c>
      <c r="D945" t="s">
        <v>1280</v>
      </c>
      <c r="E945" t="s">
        <v>1150</v>
      </c>
      <c r="F945" s="1">
        <v>46289.087500000001</v>
      </c>
      <c r="G945" s="1">
        <v>46289.090277777781</v>
      </c>
      <c r="H945">
        <v>2</v>
      </c>
      <c r="I945">
        <v>4</v>
      </c>
      <c r="J945" t="b">
        <v>0</v>
      </c>
      <c r="K945" t="b">
        <v>0</v>
      </c>
      <c r="L945" t="b">
        <v>0</v>
      </c>
      <c r="M945">
        <v>12</v>
      </c>
      <c r="N945" t="s">
        <v>1118</v>
      </c>
      <c r="O945" s="1">
        <v>46289.047222222223</v>
      </c>
      <c r="P945" t="b">
        <v>0</v>
      </c>
      <c r="Q945" t="s">
        <v>1151</v>
      </c>
      <c r="R945" t="s">
        <v>1131</v>
      </c>
      <c r="S945" t="s">
        <v>1121</v>
      </c>
      <c r="T945" t="s">
        <v>1122</v>
      </c>
      <c r="U945" t="s">
        <v>1247</v>
      </c>
      <c r="V945" t="s">
        <v>1151</v>
      </c>
      <c r="W945" t="s">
        <v>1257</v>
      </c>
      <c r="X945">
        <v>1</v>
      </c>
      <c r="Y945" t="s">
        <v>1146</v>
      </c>
      <c r="Z945" t="s">
        <v>1127</v>
      </c>
      <c r="AA945">
        <v>2</v>
      </c>
    </row>
    <row r="946" spans="1:27" x14ac:dyDescent="0.3">
      <c r="A946" t="s">
        <v>328</v>
      </c>
      <c r="B946" t="s">
        <v>1403</v>
      </c>
      <c r="C946" t="s">
        <v>1083</v>
      </c>
      <c r="D946" t="s">
        <v>1339</v>
      </c>
      <c r="E946" t="s">
        <v>1453</v>
      </c>
      <c r="F946" s="1">
        <v>46287.882638888892</v>
      </c>
      <c r="G946" s="1">
        <v>46287.885416666657</v>
      </c>
      <c r="H946">
        <v>1</v>
      </c>
      <c r="I946">
        <v>4</v>
      </c>
      <c r="J946" t="b">
        <v>0</v>
      </c>
      <c r="K946" t="b">
        <v>0</v>
      </c>
      <c r="L946" t="b">
        <v>0</v>
      </c>
      <c r="M946">
        <v>2</v>
      </c>
      <c r="N946" t="s">
        <v>1118</v>
      </c>
      <c r="O946" s="1">
        <v>46287.818749999999</v>
      </c>
      <c r="P946" t="b">
        <v>0</v>
      </c>
      <c r="Q946" t="s">
        <v>1156</v>
      </c>
      <c r="R946" t="s">
        <v>1131</v>
      </c>
      <c r="S946" t="s">
        <v>1121</v>
      </c>
      <c r="T946" t="s">
        <v>1180</v>
      </c>
      <c r="U946" t="s">
        <v>1123</v>
      </c>
      <c r="V946" t="s">
        <v>1284</v>
      </c>
      <c r="W946" t="s">
        <v>1257</v>
      </c>
      <c r="X946">
        <v>19</v>
      </c>
      <c r="Y946" t="s">
        <v>1126</v>
      </c>
      <c r="Z946" t="s">
        <v>1147</v>
      </c>
      <c r="AA946">
        <v>4</v>
      </c>
    </row>
    <row r="947" spans="1:27" x14ac:dyDescent="0.3">
      <c r="A947" t="s">
        <v>207</v>
      </c>
      <c r="B947" t="s">
        <v>1457</v>
      </c>
      <c r="C947" t="s">
        <v>1081</v>
      </c>
      <c r="D947" t="s">
        <v>1255</v>
      </c>
      <c r="E947" t="s">
        <v>1192</v>
      </c>
      <c r="F947" s="1">
        <v>46287.455555555563</v>
      </c>
      <c r="G947" s="1">
        <v>46287.458333333343</v>
      </c>
      <c r="H947">
        <v>4</v>
      </c>
      <c r="I947">
        <v>4</v>
      </c>
      <c r="J947" t="b">
        <v>0</v>
      </c>
      <c r="K947" t="b">
        <v>0</v>
      </c>
      <c r="L947" t="b">
        <v>0</v>
      </c>
      <c r="M947">
        <v>4</v>
      </c>
      <c r="N947" t="s">
        <v>1130</v>
      </c>
      <c r="O947" s="1">
        <v>46287.429861111108</v>
      </c>
      <c r="P947" t="b">
        <v>0</v>
      </c>
      <c r="Q947" t="s">
        <v>1151</v>
      </c>
      <c r="R947" t="s">
        <v>1139</v>
      </c>
      <c r="S947" t="s">
        <v>1132</v>
      </c>
      <c r="T947" t="s">
        <v>1180</v>
      </c>
      <c r="U947" t="s">
        <v>1247</v>
      </c>
      <c r="V947" t="s">
        <v>1141</v>
      </c>
      <c r="W947" t="s">
        <v>1257</v>
      </c>
      <c r="X947">
        <v>10</v>
      </c>
      <c r="Y947" t="s">
        <v>1126</v>
      </c>
      <c r="Z947" t="s">
        <v>1147</v>
      </c>
      <c r="AA947">
        <v>1</v>
      </c>
    </row>
    <row r="948" spans="1:27" x14ac:dyDescent="0.3">
      <c r="A948" t="s">
        <v>238</v>
      </c>
      <c r="B948" t="s">
        <v>1491</v>
      </c>
      <c r="C948" t="s">
        <v>1080</v>
      </c>
      <c r="D948" t="s">
        <v>1339</v>
      </c>
      <c r="E948" t="s">
        <v>1178</v>
      </c>
      <c r="F948" s="1">
        <v>46293.580555555563</v>
      </c>
      <c r="G948" s="1">
        <v>46293.583333333343</v>
      </c>
      <c r="H948">
        <v>1</v>
      </c>
      <c r="I948">
        <v>4</v>
      </c>
      <c r="J948" t="b">
        <v>0</v>
      </c>
      <c r="K948" t="b">
        <v>0</v>
      </c>
      <c r="L948" t="b">
        <v>0</v>
      </c>
      <c r="M948">
        <v>2</v>
      </c>
      <c r="N948" t="s">
        <v>1130</v>
      </c>
      <c r="P948" t="b">
        <v>0</v>
      </c>
      <c r="Q948" t="s">
        <v>1179</v>
      </c>
      <c r="R948" t="s">
        <v>1139</v>
      </c>
      <c r="S948" t="s">
        <v>1157</v>
      </c>
      <c r="T948" t="s">
        <v>1122</v>
      </c>
      <c r="U948" t="s">
        <v>1247</v>
      </c>
      <c r="V948" t="s">
        <v>1284</v>
      </c>
      <c r="W948" t="s">
        <v>1257</v>
      </c>
      <c r="Z948" t="s">
        <v>1147</v>
      </c>
      <c r="AA948">
        <v>4</v>
      </c>
    </row>
    <row r="949" spans="1:27" x14ac:dyDescent="0.3">
      <c r="A949" t="s">
        <v>319</v>
      </c>
      <c r="B949" t="s">
        <v>1441</v>
      </c>
      <c r="C949" t="s">
        <v>1073</v>
      </c>
      <c r="D949" t="s">
        <v>1283</v>
      </c>
      <c r="E949" t="s">
        <v>1317</v>
      </c>
      <c r="F949" s="1">
        <v>46278.593055555553</v>
      </c>
      <c r="G949" s="1">
        <v>46278.595833333333</v>
      </c>
      <c r="H949">
        <v>3</v>
      </c>
      <c r="I949">
        <v>4</v>
      </c>
      <c r="J949" t="b">
        <v>0</v>
      </c>
      <c r="K949" t="b">
        <v>0</v>
      </c>
      <c r="L949" t="b">
        <v>0</v>
      </c>
      <c r="M949">
        <v>4</v>
      </c>
      <c r="N949" t="s">
        <v>1118</v>
      </c>
      <c r="O949" s="1">
        <v>46278.489583333343</v>
      </c>
      <c r="P949" t="b">
        <v>0</v>
      </c>
      <c r="Q949" t="s">
        <v>1156</v>
      </c>
      <c r="R949" t="s">
        <v>1120</v>
      </c>
      <c r="S949" t="s">
        <v>1152</v>
      </c>
      <c r="T949" t="s">
        <v>1122</v>
      </c>
      <c r="U949" t="s">
        <v>1247</v>
      </c>
      <c r="V949" t="s">
        <v>1284</v>
      </c>
      <c r="W949" t="s">
        <v>1131</v>
      </c>
      <c r="X949">
        <v>11</v>
      </c>
      <c r="Y949" t="s">
        <v>1133</v>
      </c>
      <c r="Z949" t="s">
        <v>1147</v>
      </c>
      <c r="AA949">
        <v>1.333333333333333</v>
      </c>
    </row>
    <row r="950" spans="1:27" x14ac:dyDescent="0.3">
      <c r="A950" t="s">
        <v>218</v>
      </c>
      <c r="B950" t="s">
        <v>1270</v>
      </c>
      <c r="C950" t="s">
        <v>1081</v>
      </c>
      <c r="D950" t="s">
        <v>1339</v>
      </c>
      <c r="E950" t="s">
        <v>1165</v>
      </c>
      <c r="F950" s="1">
        <v>46270.061111111107</v>
      </c>
      <c r="G950" s="1">
        <v>46270.063888888893</v>
      </c>
      <c r="H950">
        <v>4</v>
      </c>
      <c r="I950">
        <v>4</v>
      </c>
      <c r="J950" t="b">
        <v>0</v>
      </c>
      <c r="K950" t="b">
        <v>0</v>
      </c>
      <c r="L950" t="b">
        <v>0</v>
      </c>
      <c r="M950">
        <v>5</v>
      </c>
      <c r="N950" t="s">
        <v>1130</v>
      </c>
      <c r="P950" t="b">
        <v>0</v>
      </c>
      <c r="Q950" t="s">
        <v>1138</v>
      </c>
      <c r="R950" t="s">
        <v>1120</v>
      </c>
      <c r="S950" t="s">
        <v>1152</v>
      </c>
      <c r="T950" t="s">
        <v>1180</v>
      </c>
      <c r="U950" t="s">
        <v>1247</v>
      </c>
      <c r="V950" t="s">
        <v>1284</v>
      </c>
      <c r="W950" t="s">
        <v>1257</v>
      </c>
      <c r="Z950" t="s">
        <v>1147</v>
      </c>
      <c r="AA950">
        <v>1</v>
      </c>
    </row>
    <row r="951" spans="1:27" x14ac:dyDescent="0.3">
      <c r="A951" t="s">
        <v>318</v>
      </c>
      <c r="B951" t="s">
        <v>1441</v>
      </c>
      <c r="C951" t="s">
        <v>1085</v>
      </c>
      <c r="D951" t="s">
        <v>1280</v>
      </c>
      <c r="E951" t="s">
        <v>1154</v>
      </c>
      <c r="F951" s="1">
        <v>46278.592361111107</v>
      </c>
      <c r="G951" s="1">
        <v>46278.595138888893</v>
      </c>
      <c r="H951">
        <v>2</v>
      </c>
      <c r="I951">
        <v>4</v>
      </c>
      <c r="J951" t="b">
        <v>0</v>
      </c>
      <c r="K951" t="b">
        <v>0</v>
      </c>
      <c r="L951" t="b">
        <v>0</v>
      </c>
      <c r="M951">
        <v>4</v>
      </c>
      <c r="N951" t="s">
        <v>1118</v>
      </c>
      <c r="O951" s="1">
        <v>46278.489583333343</v>
      </c>
      <c r="P951" t="b">
        <v>0</v>
      </c>
      <c r="Q951" t="s">
        <v>1156</v>
      </c>
      <c r="R951" t="s">
        <v>1131</v>
      </c>
      <c r="S951" t="s">
        <v>1157</v>
      </c>
      <c r="T951" t="s">
        <v>1122</v>
      </c>
      <c r="U951" t="s">
        <v>1247</v>
      </c>
      <c r="V951" t="s">
        <v>1151</v>
      </c>
      <c r="W951" t="s">
        <v>1257</v>
      </c>
      <c r="X951">
        <v>11</v>
      </c>
      <c r="Y951" t="s">
        <v>1133</v>
      </c>
      <c r="Z951" t="s">
        <v>1147</v>
      </c>
      <c r="AA951">
        <v>2</v>
      </c>
    </row>
    <row r="952" spans="1:27" x14ac:dyDescent="0.3">
      <c r="A952" t="s">
        <v>228</v>
      </c>
      <c r="B952" t="s">
        <v>1160</v>
      </c>
      <c r="C952" t="s">
        <v>1074</v>
      </c>
      <c r="D952" t="s">
        <v>1339</v>
      </c>
      <c r="E952" t="s">
        <v>1117</v>
      </c>
      <c r="F952" s="1">
        <v>46274.643055555563</v>
      </c>
      <c r="G952" s="1">
        <v>46274.645833333343</v>
      </c>
      <c r="H952">
        <v>2</v>
      </c>
      <c r="I952">
        <v>4</v>
      </c>
      <c r="J952" t="b">
        <v>0</v>
      </c>
      <c r="K952" t="b">
        <v>0</v>
      </c>
      <c r="L952" t="b">
        <v>0</v>
      </c>
      <c r="M952">
        <v>10</v>
      </c>
      <c r="N952" t="s">
        <v>1155</v>
      </c>
      <c r="O952" s="1">
        <v>46274.531944444447</v>
      </c>
      <c r="P952" t="b">
        <v>0</v>
      </c>
      <c r="Q952" t="s">
        <v>1119</v>
      </c>
      <c r="R952" t="s">
        <v>1120</v>
      </c>
      <c r="S952" t="s">
        <v>1121</v>
      </c>
      <c r="T952" t="s">
        <v>1145</v>
      </c>
      <c r="U952" t="s">
        <v>1145</v>
      </c>
      <c r="V952" t="s">
        <v>1284</v>
      </c>
      <c r="W952" t="s">
        <v>1257</v>
      </c>
      <c r="X952">
        <v>12</v>
      </c>
      <c r="Y952" t="s">
        <v>1161</v>
      </c>
      <c r="Z952" t="s">
        <v>1134</v>
      </c>
      <c r="AA952">
        <v>2</v>
      </c>
    </row>
    <row r="953" spans="1:27" x14ac:dyDescent="0.3">
      <c r="A953" t="s">
        <v>595</v>
      </c>
      <c r="B953" t="s">
        <v>1492</v>
      </c>
      <c r="C953" t="s">
        <v>1066</v>
      </c>
      <c r="D953" t="s">
        <v>1339</v>
      </c>
      <c r="E953" t="s">
        <v>1356</v>
      </c>
      <c r="F953" s="1">
        <v>46284.711805555547</v>
      </c>
      <c r="G953" s="1">
        <v>46284.714583333327</v>
      </c>
      <c r="H953">
        <v>6</v>
      </c>
      <c r="I953">
        <v>4</v>
      </c>
      <c r="J953" t="b">
        <v>0</v>
      </c>
      <c r="K953" t="b">
        <v>0</v>
      </c>
      <c r="L953" t="b">
        <v>0</v>
      </c>
      <c r="M953">
        <v>2</v>
      </c>
      <c r="N953" t="s">
        <v>1155</v>
      </c>
      <c r="O953" s="1">
        <v>46284.612500000003</v>
      </c>
      <c r="P953" t="b">
        <v>0</v>
      </c>
      <c r="Q953" t="s">
        <v>1145</v>
      </c>
      <c r="R953" t="s">
        <v>1120</v>
      </c>
      <c r="S953" t="s">
        <v>1132</v>
      </c>
      <c r="T953" t="s">
        <v>1122</v>
      </c>
      <c r="U953" t="s">
        <v>1247</v>
      </c>
      <c r="V953" t="s">
        <v>1284</v>
      </c>
      <c r="W953" t="s">
        <v>1257</v>
      </c>
      <c r="X953">
        <v>14</v>
      </c>
      <c r="Y953" t="s">
        <v>1173</v>
      </c>
      <c r="Z953" t="s">
        <v>1147</v>
      </c>
      <c r="AA953">
        <v>0.66666666666666663</v>
      </c>
    </row>
    <row r="954" spans="1:27" x14ac:dyDescent="0.3">
      <c r="A954" t="s">
        <v>585</v>
      </c>
      <c r="B954" t="s">
        <v>1446</v>
      </c>
      <c r="C954" t="s">
        <v>1087</v>
      </c>
      <c r="D954" t="s">
        <v>1238</v>
      </c>
      <c r="E954" t="s">
        <v>1259</v>
      </c>
      <c r="F954" s="1">
        <v>46278.440972222219</v>
      </c>
      <c r="G954" s="1">
        <v>46278.443749999999</v>
      </c>
      <c r="H954">
        <v>1</v>
      </c>
      <c r="I954">
        <v>4</v>
      </c>
      <c r="J954" t="b">
        <v>0</v>
      </c>
      <c r="K954" t="b">
        <v>0</v>
      </c>
      <c r="L954" t="b">
        <v>0</v>
      </c>
      <c r="M954">
        <v>4</v>
      </c>
      <c r="N954" t="s">
        <v>1130</v>
      </c>
      <c r="O954" s="1">
        <v>46278.368055555547</v>
      </c>
      <c r="P954" t="b">
        <v>0</v>
      </c>
      <c r="Q954" t="s">
        <v>1179</v>
      </c>
      <c r="R954" t="s">
        <v>1120</v>
      </c>
      <c r="S954" t="s">
        <v>1132</v>
      </c>
      <c r="T954" t="s">
        <v>1145</v>
      </c>
      <c r="U954" t="s">
        <v>1247</v>
      </c>
      <c r="V954" t="s">
        <v>1151</v>
      </c>
      <c r="W954" t="s">
        <v>1131</v>
      </c>
      <c r="X954">
        <v>8</v>
      </c>
      <c r="Y954" t="s">
        <v>1133</v>
      </c>
      <c r="Z954" t="s">
        <v>1147</v>
      </c>
      <c r="AA954">
        <v>4</v>
      </c>
    </row>
    <row r="955" spans="1:27" x14ac:dyDescent="0.3">
      <c r="A955" t="s">
        <v>819</v>
      </c>
      <c r="B955" t="s">
        <v>1148</v>
      </c>
      <c r="C955" t="s">
        <v>1070</v>
      </c>
      <c r="D955" t="s">
        <v>1283</v>
      </c>
      <c r="E955" t="s">
        <v>1418</v>
      </c>
      <c r="F955" s="1">
        <v>46275.131944444453</v>
      </c>
      <c r="G955" s="1">
        <v>46275.134722222218</v>
      </c>
      <c r="H955">
        <v>2</v>
      </c>
      <c r="I955">
        <v>4</v>
      </c>
      <c r="J955" t="b">
        <v>0</v>
      </c>
      <c r="K955" t="b">
        <v>0</v>
      </c>
      <c r="L955" t="b">
        <v>0</v>
      </c>
      <c r="M955">
        <v>10</v>
      </c>
      <c r="N955" t="s">
        <v>1118</v>
      </c>
      <c r="O955" s="1">
        <v>46275.054861111108</v>
      </c>
      <c r="P955" t="b">
        <v>0</v>
      </c>
      <c r="Q955" t="s">
        <v>1179</v>
      </c>
      <c r="R955" t="s">
        <v>1120</v>
      </c>
      <c r="S955" t="s">
        <v>1157</v>
      </c>
      <c r="T955" t="s">
        <v>1180</v>
      </c>
      <c r="U955" t="s">
        <v>1145</v>
      </c>
      <c r="V955" t="s">
        <v>1284</v>
      </c>
      <c r="W955" t="s">
        <v>1131</v>
      </c>
      <c r="X955">
        <v>1</v>
      </c>
      <c r="Y955" t="s">
        <v>1146</v>
      </c>
      <c r="Z955" t="s">
        <v>1134</v>
      </c>
      <c r="AA955">
        <v>2</v>
      </c>
    </row>
    <row r="956" spans="1:27" x14ac:dyDescent="0.3">
      <c r="A956" t="s">
        <v>803</v>
      </c>
      <c r="B956" t="s">
        <v>1378</v>
      </c>
      <c r="C956" t="s">
        <v>1079</v>
      </c>
      <c r="D956" t="s">
        <v>1280</v>
      </c>
      <c r="E956" t="s">
        <v>1340</v>
      </c>
      <c r="F956" s="1">
        <v>46293.245833333327</v>
      </c>
      <c r="G956" s="1">
        <v>46293.248611111107</v>
      </c>
      <c r="H956">
        <v>1</v>
      </c>
      <c r="I956">
        <v>4</v>
      </c>
      <c r="J956" t="b">
        <v>0</v>
      </c>
      <c r="K956" t="b">
        <v>0</v>
      </c>
      <c r="L956" t="b">
        <v>0</v>
      </c>
      <c r="M956">
        <v>5</v>
      </c>
      <c r="N956" t="s">
        <v>1118</v>
      </c>
      <c r="O956" s="1">
        <v>46293.17083333333</v>
      </c>
      <c r="P956" t="b">
        <v>0</v>
      </c>
      <c r="Q956" t="s">
        <v>1145</v>
      </c>
      <c r="R956" t="s">
        <v>1131</v>
      </c>
      <c r="S956" t="s">
        <v>1121</v>
      </c>
      <c r="T956" t="s">
        <v>1145</v>
      </c>
      <c r="U956" t="s">
        <v>1123</v>
      </c>
      <c r="V956" t="s">
        <v>1151</v>
      </c>
      <c r="W956" t="s">
        <v>1257</v>
      </c>
      <c r="X956">
        <v>4</v>
      </c>
      <c r="Y956" t="s">
        <v>1185</v>
      </c>
      <c r="Z956" t="s">
        <v>1147</v>
      </c>
      <c r="AA956">
        <v>4</v>
      </c>
    </row>
    <row r="957" spans="1:27" x14ac:dyDescent="0.3">
      <c r="A957" t="s">
        <v>683</v>
      </c>
      <c r="B957" t="s">
        <v>1470</v>
      </c>
      <c r="C957" t="s">
        <v>1063</v>
      </c>
      <c r="D957" t="s">
        <v>1339</v>
      </c>
      <c r="E957" t="s">
        <v>1219</v>
      </c>
      <c r="F957" s="1">
        <v>46279.578472222223</v>
      </c>
      <c r="G957" s="1">
        <v>46279.581250000003</v>
      </c>
      <c r="H957">
        <v>1</v>
      </c>
      <c r="I957">
        <v>4</v>
      </c>
      <c r="J957" t="b">
        <v>0</v>
      </c>
      <c r="K957" t="b">
        <v>0</v>
      </c>
      <c r="L957" t="b">
        <v>0</v>
      </c>
      <c r="M957">
        <v>4</v>
      </c>
      <c r="N957" t="s">
        <v>1118</v>
      </c>
      <c r="O957" s="1">
        <v>46279.511111111111</v>
      </c>
      <c r="P957" t="b">
        <v>0</v>
      </c>
      <c r="Q957" t="s">
        <v>1145</v>
      </c>
      <c r="R957" t="s">
        <v>1120</v>
      </c>
      <c r="S957" t="s">
        <v>1121</v>
      </c>
      <c r="T957" t="s">
        <v>1122</v>
      </c>
      <c r="U957" t="s">
        <v>1172</v>
      </c>
      <c r="V957" t="s">
        <v>1284</v>
      </c>
      <c r="W957" t="s">
        <v>1257</v>
      </c>
      <c r="X957">
        <v>12</v>
      </c>
      <c r="Y957" t="s">
        <v>1185</v>
      </c>
      <c r="Z957" t="s">
        <v>1147</v>
      </c>
      <c r="AA957">
        <v>4</v>
      </c>
    </row>
    <row r="958" spans="1:27" x14ac:dyDescent="0.3">
      <c r="A958" t="s">
        <v>250</v>
      </c>
      <c r="B958" t="s">
        <v>1432</v>
      </c>
      <c r="C958" t="s">
        <v>1071</v>
      </c>
      <c r="D958" t="s">
        <v>1280</v>
      </c>
      <c r="E958" t="s">
        <v>1346</v>
      </c>
      <c r="F958" s="1">
        <v>46276.006249999999</v>
      </c>
      <c r="G958" s="1">
        <v>46276.009027777778</v>
      </c>
      <c r="H958">
        <v>4</v>
      </c>
      <c r="I958">
        <v>4</v>
      </c>
      <c r="J958" t="b">
        <v>0</v>
      </c>
      <c r="K958" t="b">
        <v>0</v>
      </c>
      <c r="L958" t="b">
        <v>0</v>
      </c>
      <c r="M958">
        <v>10</v>
      </c>
      <c r="N958" t="s">
        <v>1118</v>
      </c>
      <c r="O958" s="1">
        <v>46276.001388888893</v>
      </c>
      <c r="P958" t="b">
        <v>0</v>
      </c>
      <c r="Q958" t="s">
        <v>1179</v>
      </c>
      <c r="R958" t="s">
        <v>1120</v>
      </c>
      <c r="S958" t="s">
        <v>1121</v>
      </c>
      <c r="T958" t="s">
        <v>1122</v>
      </c>
      <c r="U958" t="s">
        <v>1145</v>
      </c>
      <c r="V958" t="s">
        <v>1151</v>
      </c>
      <c r="W958" t="s">
        <v>1257</v>
      </c>
      <c r="X958">
        <v>0</v>
      </c>
      <c r="Y958" t="s">
        <v>1142</v>
      </c>
      <c r="Z958" t="s">
        <v>1134</v>
      </c>
      <c r="AA958">
        <v>1</v>
      </c>
    </row>
    <row r="959" spans="1:27" x14ac:dyDescent="0.3">
      <c r="A959" t="s">
        <v>256</v>
      </c>
      <c r="B959" t="s">
        <v>1431</v>
      </c>
      <c r="C959" t="s">
        <v>1066</v>
      </c>
      <c r="D959" t="s">
        <v>1238</v>
      </c>
      <c r="E959" t="s">
        <v>1253</v>
      </c>
      <c r="F959" s="1">
        <v>46276.74722222222</v>
      </c>
      <c r="G959" s="1">
        <v>46276.75</v>
      </c>
      <c r="H959">
        <v>5</v>
      </c>
      <c r="I959">
        <v>4</v>
      </c>
      <c r="J959" t="b">
        <v>0</v>
      </c>
      <c r="K959" t="b">
        <v>0</v>
      </c>
      <c r="L959" t="b">
        <v>0</v>
      </c>
      <c r="M959">
        <v>6</v>
      </c>
      <c r="N959" t="s">
        <v>1118</v>
      </c>
      <c r="O959" s="1">
        <v>46276.694444444453</v>
      </c>
      <c r="P959" t="b">
        <v>0</v>
      </c>
      <c r="Q959" t="s">
        <v>1156</v>
      </c>
      <c r="R959" t="s">
        <v>1139</v>
      </c>
      <c r="S959" t="s">
        <v>1121</v>
      </c>
      <c r="T959" t="s">
        <v>1122</v>
      </c>
      <c r="U959" t="s">
        <v>1247</v>
      </c>
      <c r="V959" t="s">
        <v>1151</v>
      </c>
      <c r="W959" t="s">
        <v>1131</v>
      </c>
      <c r="X959">
        <v>16</v>
      </c>
      <c r="Y959" t="s">
        <v>1142</v>
      </c>
      <c r="Z959" t="s">
        <v>1134</v>
      </c>
      <c r="AA959">
        <v>0.8</v>
      </c>
    </row>
    <row r="960" spans="1:27" x14ac:dyDescent="0.3">
      <c r="A960" t="s">
        <v>253</v>
      </c>
      <c r="B960" t="s">
        <v>1432</v>
      </c>
      <c r="C960" t="s">
        <v>1076</v>
      </c>
      <c r="D960" t="s">
        <v>1238</v>
      </c>
      <c r="E960" t="s">
        <v>1210</v>
      </c>
      <c r="F960" s="1">
        <v>46276.104166666657</v>
      </c>
      <c r="G960" s="1">
        <v>46276.106944444437</v>
      </c>
      <c r="H960">
        <v>3</v>
      </c>
      <c r="I960">
        <v>4</v>
      </c>
      <c r="J960" t="b">
        <v>0</v>
      </c>
      <c r="K960" t="b">
        <v>0</v>
      </c>
      <c r="L960" t="b">
        <v>0</v>
      </c>
      <c r="M960">
        <v>10</v>
      </c>
      <c r="N960" t="s">
        <v>1118</v>
      </c>
      <c r="O960" s="1">
        <v>46276.001388888893</v>
      </c>
      <c r="P960" t="b">
        <v>0</v>
      </c>
      <c r="Q960" t="s">
        <v>1151</v>
      </c>
      <c r="R960" t="s">
        <v>1131</v>
      </c>
      <c r="S960" t="s">
        <v>1157</v>
      </c>
      <c r="T960" t="s">
        <v>1122</v>
      </c>
      <c r="U960" t="s">
        <v>1172</v>
      </c>
      <c r="V960" t="s">
        <v>1151</v>
      </c>
      <c r="W960" t="s">
        <v>1131</v>
      </c>
      <c r="X960">
        <v>0</v>
      </c>
      <c r="Y960" t="s">
        <v>1142</v>
      </c>
      <c r="Z960" t="s">
        <v>1134</v>
      </c>
      <c r="AA960">
        <v>1.333333333333333</v>
      </c>
    </row>
    <row r="961" spans="1:27" x14ac:dyDescent="0.3">
      <c r="A961" t="s">
        <v>931</v>
      </c>
      <c r="B961" t="s">
        <v>1417</v>
      </c>
      <c r="C961" t="s">
        <v>1086</v>
      </c>
      <c r="D961" t="s">
        <v>1283</v>
      </c>
      <c r="E961" t="s">
        <v>1287</v>
      </c>
      <c r="F961" s="1">
        <v>46289.984722222223</v>
      </c>
      <c r="G961" s="1">
        <v>46289.987500000003</v>
      </c>
      <c r="H961">
        <v>2</v>
      </c>
      <c r="I961">
        <v>4</v>
      </c>
      <c r="J961" t="b">
        <v>0</v>
      </c>
      <c r="K961" t="b">
        <v>0</v>
      </c>
      <c r="L961" t="b">
        <v>0</v>
      </c>
      <c r="M961">
        <v>20</v>
      </c>
      <c r="N961" t="s">
        <v>1118</v>
      </c>
      <c r="O961" s="1">
        <v>46289.963888888888</v>
      </c>
      <c r="P961" t="b">
        <v>0</v>
      </c>
      <c r="Q961" t="s">
        <v>1179</v>
      </c>
      <c r="R961" t="s">
        <v>1120</v>
      </c>
      <c r="S961" t="s">
        <v>1145</v>
      </c>
      <c r="T961" t="s">
        <v>1122</v>
      </c>
      <c r="U961" t="s">
        <v>1145</v>
      </c>
      <c r="V961" t="s">
        <v>1284</v>
      </c>
      <c r="W961" t="s">
        <v>1131</v>
      </c>
      <c r="X961">
        <v>23</v>
      </c>
      <c r="Y961" t="s">
        <v>1146</v>
      </c>
      <c r="Z961" t="s">
        <v>1127</v>
      </c>
      <c r="AA961">
        <v>2</v>
      </c>
    </row>
    <row r="962" spans="1:27" x14ac:dyDescent="0.3">
      <c r="A962" t="s">
        <v>752</v>
      </c>
      <c r="B962" t="s">
        <v>1373</v>
      </c>
      <c r="C962" t="s">
        <v>1073</v>
      </c>
      <c r="D962" t="s">
        <v>1283</v>
      </c>
      <c r="E962" t="s">
        <v>1358</v>
      </c>
      <c r="F962" s="1">
        <v>46285.42291666667</v>
      </c>
      <c r="G962" s="1">
        <v>46285.425694444442</v>
      </c>
      <c r="H962">
        <v>5</v>
      </c>
      <c r="I962">
        <v>4</v>
      </c>
      <c r="J962" t="b">
        <v>0</v>
      </c>
      <c r="K962" t="b">
        <v>0</v>
      </c>
      <c r="L962" t="b">
        <v>0</v>
      </c>
      <c r="M962">
        <v>8</v>
      </c>
      <c r="N962" t="s">
        <v>1118</v>
      </c>
      <c r="O962" s="1">
        <v>46285.378472222219</v>
      </c>
      <c r="P962" t="b">
        <v>0</v>
      </c>
      <c r="Q962" t="s">
        <v>1145</v>
      </c>
      <c r="R962" t="s">
        <v>1131</v>
      </c>
      <c r="S962" t="s">
        <v>1152</v>
      </c>
      <c r="T962" t="s">
        <v>1122</v>
      </c>
      <c r="U962" t="s">
        <v>1247</v>
      </c>
      <c r="V962" t="s">
        <v>1284</v>
      </c>
      <c r="W962" t="s">
        <v>1131</v>
      </c>
      <c r="X962">
        <v>9</v>
      </c>
      <c r="Y962" t="s">
        <v>1133</v>
      </c>
      <c r="Z962" t="s">
        <v>1134</v>
      </c>
      <c r="AA962">
        <v>0.8</v>
      </c>
    </row>
    <row r="963" spans="1:27" x14ac:dyDescent="0.3">
      <c r="A963" t="s">
        <v>744</v>
      </c>
      <c r="B963" t="s">
        <v>1248</v>
      </c>
      <c r="C963" t="s">
        <v>1082</v>
      </c>
      <c r="D963" t="s">
        <v>1238</v>
      </c>
      <c r="E963" t="s">
        <v>1240</v>
      </c>
      <c r="F963" s="1">
        <v>46293.179861111108</v>
      </c>
      <c r="G963" s="1">
        <v>46293.182638888888</v>
      </c>
      <c r="H963">
        <v>1</v>
      </c>
      <c r="I963">
        <v>4</v>
      </c>
      <c r="J963" t="b">
        <v>0</v>
      </c>
      <c r="K963" t="b">
        <v>0</v>
      </c>
      <c r="L963" t="b">
        <v>0</v>
      </c>
      <c r="M963">
        <v>3</v>
      </c>
      <c r="N963" t="s">
        <v>1168</v>
      </c>
      <c r="O963" s="1">
        <v>46293.162499999999</v>
      </c>
      <c r="P963" t="b">
        <v>0</v>
      </c>
      <c r="Q963" t="s">
        <v>1156</v>
      </c>
      <c r="R963" t="s">
        <v>1120</v>
      </c>
      <c r="S963" t="s">
        <v>1145</v>
      </c>
      <c r="T963" t="s">
        <v>1122</v>
      </c>
      <c r="U963" t="s">
        <v>1145</v>
      </c>
      <c r="V963" t="s">
        <v>1151</v>
      </c>
      <c r="W963" t="s">
        <v>1131</v>
      </c>
      <c r="X963">
        <v>3</v>
      </c>
      <c r="Y963" t="s">
        <v>1185</v>
      </c>
      <c r="Z963" t="s">
        <v>1147</v>
      </c>
      <c r="AA963">
        <v>4</v>
      </c>
    </row>
    <row r="964" spans="1:27" x14ac:dyDescent="0.3">
      <c r="A964" t="s">
        <v>487</v>
      </c>
      <c r="B964" t="s">
        <v>1304</v>
      </c>
      <c r="C964" t="s">
        <v>1073</v>
      </c>
      <c r="D964" t="s">
        <v>1255</v>
      </c>
      <c r="E964" t="s">
        <v>1182</v>
      </c>
      <c r="F964" s="1">
        <v>46268.136111111111</v>
      </c>
      <c r="G964" s="1">
        <v>46268.138888888891</v>
      </c>
      <c r="H964">
        <v>1</v>
      </c>
      <c r="I964">
        <v>4</v>
      </c>
      <c r="J964" t="b">
        <v>0</v>
      </c>
      <c r="K964" t="b">
        <v>0</v>
      </c>
      <c r="L964" t="b">
        <v>0</v>
      </c>
      <c r="M964">
        <v>15</v>
      </c>
      <c r="N964" t="s">
        <v>1118</v>
      </c>
      <c r="O964" s="1">
        <v>46268.107638888891</v>
      </c>
      <c r="P964" t="b">
        <v>0</v>
      </c>
      <c r="Q964" t="s">
        <v>1119</v>
      </c>
      <c r="R964" t="s">
        <v>1131</v>
      </c>
      <c r="S964" t="s">
        <v>1121</v>
      </c>
      <c r="T964" t="s">
        <v>1122</v>
      </c>
      <c r="U964" t="s">
        <v>1247</v>
      </c>
      <c r="V964" t="s">
        <v>1141</v>
      </c>
      <c r="W964" t="s">
        <v>1257</v>
      </c>
      <c r="X964">
        <v>2</v>
      </c>
      <c r="Y964" t="s">
        <v>1146</v>
      </c>
      <c r="Z964" t="s">
        <v>1127</v>
      </c>
      <c r="AA964">
        <v>4</v>
      </c>
    </row>
    <row r="965" spans="1:27" x14ac:dyDescent="0.3">
      <c r="A965" t="s">
        <v>612</v>
      </c>
      <c r="B965" t="s">
        <v>1258</v>
      </c>
      <c r="C965" t="s">
        <v>1065</v>
      </c>
      <c r="D965" t="s">
        <v>1339</v>
      </c>
      <c r="E965" t="s">
        <v>1200</v>
      </c>
      <c r="F965" s="1">
        <v>46277.589583333327</v>
      </c>
      <c r="G965" s="1">
        <v>46277.591666666667</v>
      </c>
      <c r="H965">
        <v>3</v>
      </c>
      <c r="I965">
        <v>3</v>
      </c>
      <c r="J965" t="b">
        <v>0</v>
      </c>
      <c r="K965" t="b">
        <v>0</v>
      </c>
      <c r="L965" t="b">
        <v>0</v>
      </c>
      <c r="N965" t="s">
        <v>1130</v>
      </c>
      <c r="O965" s="1">
        <v>46277.556250000001</v>
      </c>
      <c r="P965" t="b">
        <v>1</v>
      </c>
      <c r="Q965" t="s">
        <v>1156</v>
      </c>
      <c r="R965" t="s">
        <v>1139</v>
      </c>
      <c r="S965" t="s">
        <v>1132</v>
      </c>
      <c r="T965" t="s">
        <v>1180</v>
      </c>
      <c r="U965" t="s">
        <v>1247</v>
      </c>
      <c r="V965" t="s">
        <v>1284</v>
      </c>
      <c r="W965" t="s">
        <v>1257</v>
      </c>
      <c r="X965">
        <v>13</v>
      </c>
      <c r="Y965" t="s">
        <v>1173</v>
      </c>
      <c r="AA965">
        <v>1</v>
      </c>
    </row>
    <row r="966" spans="1:27" x14ac:dyDescent="0.3">
      <c r="A966" t="s">
        <v>1046</v>
      </c>
      <c r="B966" t="s">
        <v>1426</v>
      </c>
      <c r="C966" t="s">
        <v>1087</v>
      </c>
      <c r="D966" t="s">
        <v>1283</v>
      </c>
      <c r="E966" t="s">
        <v>1213</v>
      </c>
      <c r="F966" s="1">
        <v>46281.51458333333</v>
      </c>
      <c r="G966" s="1">
        <v>46281.51666666667</v>
      </c>
      <c r="H966">
        <v>3</v>
      </c>
      <c r="I966">
        <v>3</v>
      </c>
      <c r="J966" t="b">
        <v>0</v>
      </c>
      <c r="K966" t="b">
        <v>0</v>
      </c>
      <c r="L966" t="b">
        <v>0</v>
      </c>
      <c r="M966">
        <v>6</v>
      </c>
      <c r="N966" t="s">
        <v>1130</v>
      </c>
      <c r="P966" t="b">
        <v>0</v>
      </c>
      <c r="Q966" t="s">
        <v>1151</v>
      </c>
      <c r="R966" t="s">
        <v>1131</v>
      </c>
      <c r="S966" t="s">
        <v>1152</v>
      </c>
      <c r="T966" t="s">
        <v>1145</v>
      </c>
      <c r="U966" t="s">
        <v>1247</v>
      </c>
      <c r="V966" t="s">
        <v>1284</v>
      </c>
      <c r="W966" t="s">
        <v>1131</v>
      </c>
      <c r="Z966" t="s">
        <v>1134</v>
      </c>
      <c r="AA966">
        <v>1</v>
      </c>
    </row>
    <row r="967" spans="1:27" x14ac:dyDescent="0.3">
      <c r="A967" t="s">
        <v>64</v>
      </c>
      <c r="B967" t="s">
        <v>1471</v>
      </c>
      <c r="C967" t="s">
        <v>1059</v>
      </c>
      <c r="D967" t="s">
        <v>1339</v>
      </c>
      <c r="E967" t="s">
        <v>1219</v>
      </c>
      <c r="F967" s="1">
        <v>46294.044444444437</v>
      </c>
      <c r="G967" s="1">
        <v>46294.046527777777</v>
      </c>
      <c r="H967">
        <v>2</v>
      </c>
      <c r="I967">
        <v>3</v>
      </c>
      <c r="J967" t="b">
        <v>0</v>
      </c>
      <c r="K967" t="b">
        <v>0</v>
      </c>
      <c r="L967" t="b">
        <v>0</v>
      </c>
      <c r="M967">
        <v>15</v>
      </c>
      <c r="N967" t="s">
        <v>1118</v>
      </c>
      <c r="O967" s="1">
        <v>46293.995138888888</v>
      </c>
      <c r="P967" t="b">
        <v>0</v>
      </c>
      <c r="Q967" t="s">
        <v>1145</v>
      </c>
      <c r="R967" t="s">
        <v>1120</v>
      </c>
      <c r="S967" t="s">
        <v>1121</v>
      </c>
      <c r="T967" t="s">
        <v>1122</v>
      </c>
      <c r="U967" t="s">
        <v>1172</v>
      </c>
      <c r="V967" t="s">
        <v>1284</v>
      </c>
      <c r="W967" t="s">
        <v>1257</v>
      </c>
      <c r="X967">
        <v>23</v>
      </c>
      <c r="Y967" t="s">
        <v>1185</v>
      </c>
      <c r="Z967" t="s">
        <v>1127</v>
      </c>
      <c r="AA967">
        <v>1.5</v>
      </c>
    </row>
    <row r="968" spans="1:27" x14ac:dyDescent="0.3">
      <c r="A968" t="s">
        <v>63</v>
      </c>
      <c r="B968" t="s">
        <v>1471</v>
      </c>
      <c r="C968" t="s">
        <v>1063</v>
      </c>
      <c r="D968" t="s">
        <v>1283</v>
      </c>
      <c r="E968" t="s">
        <v>1418</v>
      </c>
      <c r="F968" s="1">
        <v>46294.029861111107</v>
      </c>
      <c r="G968" s="1">
        <v>46294.031944444447</v>
      </c>
      <c r="H968">
        <v>1</v>
      </c>
      <c r="I968">
        <v>3</v>
      </c>
      <c r="J968" t="b">
        <v>0</v>
      </c>
      <c r="K968" t="b">
        <v>0</v>
      </c>
      <c r="L968" t="b">
        <v>0</v>
      </c>
      <c r="M968">
        <v>15</v>
      </c>
      <c r="N968" t="s">
        <v>1118</v>
      </c>
      <c r="O968" s="1">
        <v>46293.995138888888</v>
      </c>
      <c r="P968" t="b">
        <v>0</v>
      </c>
      <c r="Q968" t="s">
        <v>1179</v>
      </c>
      <c r="R968" t="s">
        <v>1120</v>
      </c>
      <c r="S968" t="s">
        <v>1157</v>
      </c>
      <c r="T968" t="s">
        <v>1122</v>
      </c>
      <c r="U968" t="s">
        <v>1172</v>
      </c>
      <c r="V968" t="s">
        <v>1284</v>
      </c>
      <c r="W968" t="s">
        <v>1131</v>
      </c>
      <c r="X968">
        <v>23</v>
      </c>
      <c r="Y968" t="s">
        <v>1185</v>
      </c>
      <c r="Z968" t="s">
        <v>1127</v>
      </c>
      <c r="AA968">
        <v>3</v>
      </c>
    </row>
    <row r="969" spans="1:27" x14ac:dyDescent="0.3">
      <c r="A969" t="s">
        <v>531</v>
      </c>
      <c r="B969" t="s">
        <v>1493</v>
      </c>
      <c r="C969" t="s">
        <v>1071</v>
      </c>
      <c r="D969" t="s">
        <v>1283</v>
      </c>
      <c r="E969" t="s">
        <v>1294</v>
      </c>
      <c r="F969" s="1">
        <v>46291.011111111111</v>
      </c>
      <c r="G969" s="1">
        <v>46291.013194444437</v>
      </c>
      <c r="H969">
        <v>2</v>
      </c>
      <c r="I969">
        <v>3</v>
      </c>
      <c r="J969" t="b">
        <v>0</v>
      </c>
      <c r="K969" t="b">
        <v>0</v>
      </c>
      <c r="L969" t="b">
        <v>0</v>
      </c>
      <c r="M969">
        <v>1</v>
      </c>
      <c r="N969" t="s">
        <v>1118</v>
      </c>
      <c r="O969" s="1">
        <v>46290.990972222222</v>
      </c>
      <c r="P969" t="b">
        <v>0</v>
      </c>
      <c r="Q969" t="s">
        <v>1119</v>
      </c>
      <c r="R969" t="s">
        <v>1145</v>
      </c>
      <c r="S969" t="s">
        <v>1132</v>
      </c>
      <c r="T969" t="s">
        <v>1122</v>
      </c>
      <c r="U969" t="s">
        <v>1145</v>
      </c>
      <c r="V969" t="s">
        <v>1284</v>
      </c>
      <c r="W969" t="s">
        <v>1131</v>
      </c>
      <c r="X969">
        <v>23</v>
      </c>
      <c r="Y969" t="s">
        <v>1142</v>
      </c>
      <c r="Z969" t="s">
        <v>1147</v>
      </c>
      <c r="AA969">
        <v>1.5</v>
      </c>
    </row>
    <row r="970" spans="1:27" x14ac:dyDescent="0.3">
      <c r="A970" t="s">
        <v>536</v>
      </c>
      <c r="B970" t="s">
        <v>1190</v>
      </c>
      <c r="C970" t="s">
        <v>1065</v>
      </c>
      <c r="D970" t="s">
        <v>1339</v>
      </c>
      <c r="E970" t="s">
        <v>1221</v>
      </c>
      <c r="F970" s="1">
        <v>46284.14166666667</v>
      </c>
      <c r="G970" s="1">
        <v>46284.143750000003</v>
      </c>
      <c r="H970">
        <v>3</v>
      </c>
      <c r="I970">
        <v>3</v>
      </c>
      <c r="J970" t="b">
        <v>0</v>
      </c>
      <c r="K970" t="b">
        <v>0</v>
      </c>
      <c r="L970" t="b">
        <v>0</v>
      </c>
      <c r="M970">
        <v>12</v>
      </c>
      <c r="N970" t="s">
        <v>1130</v>
      </c>
      <c r="O970" s="1">
        <v>46284.070833333331</v>
      </c>
      <c r="P970" t="b">
        <v>0</v>
      </c>
      <c r="Q970" t="s">
        <v>1151</v>
      </c>
      <c r="R970" t="s">
        <v>1131</v>
      </c>
      <c r="S970" t="s">
        <v>1121</v>
      </c>
      <c r="T970" t="s">
        <v>1180</v>
      </c>
      <c r="U970" t="s">
        <v>1247</v>
      </c>
      <c r="V970" t="s">
        <v>1284</v>
      </c>
      <c r="W970" t="s">
        <v>1257</v>
      </c>
      <c r="X970">
        <v>1</v>
      </c>
      <c r="Y970" t="s">
        <v>1173</v>
      </c>
      <c r="Z970" t="s">
        <v>1127</v>
      </c>
      <c r="AA970">
        <v>1</v>
      </c>
    </row>
    <row r="971" spans="1:27" x14ac:dyDescent="0.3">
      <c r="A971" t="s">
        <v>862</v>
      </c>
      <c r="B971" t="s">
        <v>1278</v>
      </c>
      <c r="C971" t="s">
        <v>1084</v>
      </c>
      <c r="D971" t="s">
        <v>1136</v>
      </c>
      <c r="E971" t="s">
        <v>1144</v>
      </c>
      <c r="F971" s="1">
        <v>46276.38958333333</v>
      </c>
      <c r="G971" s="1">
        <v>46276.39166666667</v>
      </c>
      <c r="H971">
        <v>1</v>
      </c>
      <c r="I971">
        <v>3</v>
      </c>
      <c r="J971" t="b">
        <v>0</v>
      </c>
      <c r="K971" t="b">
        <v>0</v>
      </c>
      <c r="L971" t="b">
        <v>0</v>
      </c>
      <c r="M971">
        <v>10</v>
      </c>
      <c r="N971" t="s">
        <v>1118</v>
      </c>
      <c r="O971" s="1">
        <v>46276.388888888891</v>
      </c>
      <c r="P971" t="b">
        <v>0</v>
      </c>
      <c r="Q971" t="s">
        <v>1138</v>
      </c>
      <c r="R971" t="s">
        <v>1120</v>
      </c>
      <c r="S971" t="s">
        <v>1145</v>
      </c>
      <c r="T971" t="s">
        <v>1122</v>
      </c>
      <c r="U971" t="s">
        <v>1247</v>
      </c>
      <c r="V971" t="s">
        <v>1141</v>
      </c>
      <c r="W971" t="s">
        <v>1125</v>
      </c>
      <c r="X971">
        <v>9</v>
      </c>
      <c r="Y971" t="s">
        <v>1142</v>
      </c>
      <c r="Z971" t="s">
        <v>1134</v>
      </c>
      <c r="AA971">
        <v>3</v>
      </c>
    </row>
    <row r="972" spans="1:27" x14ac:dyDescent="0.3">
      <c r="A972" t="s">
        <v>889</v>
      </c>
      <c r="B972" t="s">
        <v>1306</v>
      </c>
      <c r="C972" t="s">
        <v>1087</v>
      </c>
      <c r="D972" t="s">
        <v>1283</v>
      </c>
      <c r="E972" t="s">
        <v>1274</v>
      </c>
      <c r="F972" s="1">
        <v>46288.704861111109</v>
      </c>
      <c r="G972" s="1">
        <v>46288.706944444442</v>
      </c>
      <c r="H972">
        <v>1</v>
      </c>
      <c r="I972">
        <v>3</v>
      </c>
      <c r="J972" t="b">
        <v>0</v>
      </c>
      <c r="K972" t="b">
        <v>0</v>
      </c>
      <c r="L972" t="b">
        <v>0</v>
      </c>
      <c r="M972">
        <v>5</v>
      </c>
      <c r="N972" t="s">
        <v>1118</v>
      </c>
      <c r="O972" s="1">
        <v>46288.68472222222</v>
      </c>
      <c r="P972" t="b">
        <v>0</v>
      </c>
      <c r="Q972" t="s">
        <v>1138</v>
      </c>
      <c r="R972" t="s">
        <v>1120</v>
      </c>
      <c r="S972" t="s">
        <v>1157</v>
      </c>
      <c r="T972" t="s">
        <v>1145</v>
      </c>
      <c r="U972" t="s">
        <v>1247</v>
      </c>
      <c r="V972" t="s">
        <v>1284</v>
      </c>
      <c r="W972" t="s">
        <v>1131</v>
      </c>
      <c r="X972">
        <v>16</v>
      </c>
      <c r="Y972" t="s">
        <v>1161</v>
      </c>
      <c r="Z972" t="s">
        <v>1147</v>
      </c>
      <c r="AA972">
        <v>3</v>
      </c>
    </row>
    <row r="973" spans="1:27" x14ac:dyDescent="0.3">
      <c r="A973" t="s">
        <v>1010</v>
      </c>
      <c r="B973" t="s">
        <v>1450</v>
      </c>
      <c r="C973" t="s">
        <v>1069</v>
      </c>
      <c r="D973" t="s">
        <v>1283</v>
      </c>
      <c r="E973" t="s">
        <v>1165</v>
      </c>
      <c r="F973" s="1">
        <v>46291.043055555558</v>
      </c>
      <c r="G973" s="1">
        <v>46291.045138888891</v>
      </c>
      <c r="H973">
        <v>1</v>
      </c>
      <c r="I973">
        <v>3</v>
      </c>
      <c r="J973" t="b">
        <v>0</v>
      </c>
      <c r="K973" t="b">
        <v>0</v>
      </c>
      <c r="L973" t="b">
        <v>0</v>
      </c>
      <c r="M973">
        <v>6</v>
      </c>
      <c r="N973" t="s">
        <v>1155</v>
      </c>
      <c r="O973" s="1">
        <v>46290.991666666669</v>
      </c>
      <c r="P973" t="b">
        <v>0</v>
      </c>
      <c r="Q973" t="s">
        <v>1138</v>
      </c>
      <c r="R973" t="s">
        <v>1120</v>
      </c>
      <c r="S973" t="s">
        <v>1152</v>
      </c>
      <c r="T973" t="s">
        <v>1140</v>
      </c>
      <c r="U973" t="s">
        <v>1172</v>
      </c>
      <c r="V973" t="s">
        <v>1284</v>
      </c>
      <c r="W973" t="s">
        <v>1131</v>
      </c>
      <c r="X973">
        <v>23</v>
      </c>
      <c r="Y973" t="s">
        <v>1142</v>
      </c>
      <c r="Z973" t="s">
        <v>1134</v>
      </c>
      <c r="AA973">
        <v>3</v>
      </c>
    </row>
    <row r="974" spans="1:27" x14ac:dyDescent="0.3">
      <c r="A974" t="s">
        <v>413</v>
      </c>
      <c r="B974" t="s">
        <v>1393</v>
      </c>
      <c r="C974" t="s">
        <v>1063</v>
      </c>
      <c r="D974" t="s">
        <v>1339</v>
      </c>
      <c r="E974" t="s">
        <v>1165</v>
      </c>
      <c r="F974" s="1">
        <v>46291.057638888888</v>
      </c>
      <c r="G974" s="1">
        <v>46291.05972222222</v>
      </c>
      <c r="H974">
        <v>3</v>
      </c>
      <c r="I974">
        <v>3</v>
      </c>
      <c r="J974" t="b">
        <v>0</v>
      </c>
      <c r="K974" t="b">
        <v>0</v>
      </c>
      <c r="L974" t="b">
        <v>0</v>
      </c>
      <c r="M974">
        <v>4</v>
      </c>
      <c r="N974" t="s">
        <v>1118</v>
      </c>
      <c r="O974" s="1">
        <v>46291.000694444447</v>
      </c>
      <c r="P974" t="b">
        <v>0</v>
      </c>
      <c r="Q974" t="s">
        <v>1138</v>
      </c>
      <c r="R974" t="s">
        <v>1120</v>
      </c>
      <c r="S974" t="s">
        <v>1152</v>
      </c>
      <c r="T974" t="s">
        <v>1122</v>
      </c>
      <c r="U974" t="s">
        <v>1172</v>
      </c>
      <c r="V974" t="s">
        <v>1284</v>
      </c>
      <c r="W974" t="s">
        <v>1257</v>
      </c>
      <c r="X974">
        <v>0</v>
      </c>
      <c r="Y974" t="s">
        <v>1173</v>
      </c>
      <c r="Z974" t="s">
        <v>1147</v>
      </c>
      <c r="AA974">
        <v>1</v>
      </c>
    </row>
    <row r="975" spans="1:27" x14ac:dyDescent="0.3">
      <c r="A975" t="s">
        <v>1002</v>
      </c>
      <c r="B975" t="s">
        <v>1365</v>
      </c>
      <c r="C975" t="s">
        <v>1072</v>
      </c>
      <c r="D975" t="s">
        <v>1339</v>
      </c>
      <c r="E975" t="s">
        <v>1154</v>
      </c>
      <c r="F975" s="1">
        <v>46276.881944444453</v>
      </c>
      <c r="G975" s="1">
        <v>46276.884027777778</v>
      </c>
      <c r="H975">
        <v>2</v>
      </c>
      <c r="I975">
        <v>3</v>
      </c>
      <c r="J975" t="b">
        <v>0</v>
      </c>
      <c r="K975" t="b">
        <v>0</v>
      </c>
      <c r="L975" t="b">
        <v>0</v>
      </c>
      <c r="M975">
        <v>12</v>
      </c>
      <c r="N975" t="s">
        <v>1118</v>
      </c>
      <c r="O975" s="1">
        <v>46276.809027777781</v>
      </c>
      <c r="P975" t="b">
        <v>0</v>
      </c>
      <c r="Q975" t="s">
        <v>1156</v>
      </c>
      <c r="R975" t="s">
        <v>1131</v>
      </c>
      <c r="S975" t="s">
        <v>1157</v>
      </c>
      <c r="T975" t="s">
        <v>1180</v>
      </c>
      <c r="U975" t="s">
        <v>1172</v>
      </c>
      <c r="V975" t="s">
        <v>1284</v>
      </c>
      <c r="W975" t="s">
        <v>1257</v>
      </c>
      <c r="X975">
        <v>19</v>
      </c>
      <c r="Y975" t="s">
        <v>1142</v>
      </c>
      <c r="Z975" t="s">
        <v>1127</v>
      </c>
      <c r="AA975">
        <v>1.5</v>
      </c>
    </row>
    <row r="976" spans="1:27" x14ac:dyDescent="0.3">
      <c r="A976" t="s">
        <v>976</v>
      </c>
      <c r="B976" t="s">
        <v>1422</v>
      </c>
      <c r="C976" t="s">
        <v>1057</v>
      </c>
      <c r="D976" t="s">
        <v>1339</v>
      </c>
      <c r="E976" t="s">
        <v>1371</v>
      </c>
      <c r="F976" s="1">
        <v>46277.654166666667</v>
      </c>
      <c r="G976" s="1">
        <v>46277.65625</v>
      </c>
      <c r="H976">
        <v>1</v>
      </c>
      <c r="I976">
        <v>3</v>
      </c>
      <c r="J976" t="b">
        <v>0</v>
      </c>
      <c r="K976" t="b">
        <v>0</v>
      </c>
      <c r="L976" t="b">
        <v>0</v>
      </c>
      <c r="M976">
        <v>6</v>
      </c>
      <c r="N976" t="s">
        <v>1168</v>
      </c>
      <c r="O976" s="1">
        <v>46277.585416666669</v>
      </c>
      <c r="P976" t="b">
        <v>0</v>
      </c>
      <c r="Q976" t="s">
        <v>1138</v>
      </c>
      <c r="R976" t="s">
        <v>1131</v>
      </c>
      <c r="S976" t="s">
        <v>1157</v>
      </c>
      <c r="T976" t="s">
        <v>1122</v>
      </c>
      <c r="U976" t="s">
        <v>1172</v>
      </c>
      <c r="V976" t="s">
        <v>1284</v>
      </c>
      <c r="W976" t="s">
        <v>1257</v>
      </c>
      <c r="X976">
        <v>14</v>
      </c>
      <c r="Y976" t="s">
        <v>1173</v>
      </c>
      <c r="Z976" t="s">
        <v>1134</v>
      </c>
      <c r="AA976">
        <v>3</v>
      </c>
    </row>
    <row r="977" spans="1:27" x14ac:dyDescent="0.3">
      <c r="A977" t="s">
        <v>717</v>
      </c>
      <c r="B977" t="s">
        <v>1399</v>
      </c>
      <c r="C977" t="s">
        <v>1060</v>
      </c>
      <c r="D977" t="s">
        <v>1339</v>
      </c>
      <c r="E977" t="s">
        <v>1198</v>
      </c>
      <c r="F977" s="1">
        <v>46291.321527777778</v>
      </c>
      <c r="G977" s="1">
        <v>46291.323611111111</v>
      </c>
      <c r="H977">
        <v>2</v>
      </c>
      <c r="I977">
        <v>3</v>
      </c>
      <c r="J977" t="b">
        <v>0</v>
      </c>
      <c r="K977" t="b">
        <v>0</v>
      </c>
      <c r="L977" t="b">
        <v>0</v>
      </c>
      <c r="M977">
        <v>10</v>
      </c>
      <c r="N977" t="s">
        <v>1118</v>
      </c>
      <c r="O977" s="1">
        <v>46291.222916666673</v>
      </c>
      <c r="P977" t="b">
        <v>0</v>
      </c>
      <c r="Q977" t="s">
        <v>1169</v>
      </c>
      <c r="R977" t="s">
        <v>1131</v>
      </c>
      <c r="S977" t="s">
        <v>1145</v>
      </c>
      <c r="T977" t="s">
        <v>1140</v>
      </c>
      <c r="U977" t="s">
        <v>1145</v>
      </c>
      <c r="V977" t="s">
        <v>1284</v>
      </c>
      <c r="W977" t="s">
        <v>1257</v>
      </c>
      <c r="X977">
        <v>5</v>
      </c>
      <c r="Y977" t="s">
        <v>1173</v>
      </c>
      <c r="Z977" t="s">
        <v>1134</v>
      </c>
      <c r="AA977">
        <v>1.5</v>
      </c>
    </row>
    <row r="978" spans="1:27" x14ac:dyDescent="0.3">
      <c r="A978" t="s">
        <v>698</v>
      </c>
      <c r="B978" t="s">
        <v>1349</v>
      </c>
      <c r="C978" t="s">
        <v>1085</v>
      </c>
      <c r="D978" t="s">
        <v>1283</v>
      </c>
      <c r="E978" t="s">
        <v>1253</v>
      </c>
      <c r="F978" s="1">
        <v>46293.109722222223</v>
      </c>
      <c r="G978" s="1">
        <v>46293.111805555563</v>
      </c>
      <c r="H978">
        <v>1</v>
      </c>
      <c r="I978">
        <v>3</v>
      </c>
      <c r="J978" t="b">
        <v>0</v>
      </c>
      <c r="K978" t="b">
        <v>0</v>
      </c>
      <c r="L978" t="b">
        <v>0</v>
      </c>
      <c r="M978">
        <v>2</v>
      </c>
      <c r="N978" t="s">
        <v>1130</v>
      </c>
      <c r="O978" s="1">
        <v>46293.04583333333</v>
      </c>
      <c r="P978" t="b">
        <v>0</v>
      </c>
      <c r="Q978" t="s">
        <v>1156</v>
      </c>
      <c r="R978" t="s">
        <v>1139</v>
      </c>
      <c r="S978" t="s">
        <v>1121</v>
      </c>
      <c r="T978" t="s">
        <v>1122</v>
      </c>
      <c r="U978" t="s">
        <v>1247</v>
      </c>
      <c r="V978" t="s">
        <v>1284</v>
      </c>
      <c r="W978" t="s">
        <v>1131</v>
      </c>
      <c r="X978">
        <v>1</v>
      </c>
      <c r="Y978" t="s">
        <v>1185</v>
      </c>
      <c r="Z978" t="s">
        <v>1147</v>
      </c>
      <c r="AA978">
        <v>3</v>
      </c>
    </row>
    <row r="979" spans="1:27" x14ac:dyDescent="0.3">
      <c r="A979" t="s">
        <v>268</v>
      </c>
      <c r="B979" t="s">
        <v>1201</v>
      </c>
      <c r="C979" t="s">
        <v>1084</v>
      </c>
      <c r="D979" t="s">
        <v>1280</v>
      </c>
      <c r="E979" t="s">
        <v>1249</v>
      </c>
      <c r="F979" s="1">
        <v>46286.795138888891</v>
      </c>
      <c r="G979" s="1">
        <v>46286.797222222223</v>
      </c>
      <c r="H979">
        <v>2</v>
      </c>
      <c r="I979">
        <v>3</v>
      </c>
      <c r="J979" t="b">
        <v>0</v>
      </c>
      <c r="K979" t="b">
        <v>0</v>
      </c>
      <c r="L979" t="b">
        <v>0</v>
      </c>
      <c r="M979">
        <v>10</v>
      </c>
      <c r="N979" t="s">
        <v>1130</v>
      </c>
      <c r="O979" s="1">
        <v>46286.793055555558</v>
      </c>
      <c r="P979" t="b">
        <v>0</v>
      </c>
      <c r="Q979" t="s">
        <v>1169</v>
      </c>
      <c r="R979" t="s">
        <v>1131</v>
      </c>
      <c r="S979" t="s">
        <v>1157</v>
      </c>
      <c r="T979" t="s">
        <v>1122</v>
      </c>
      <c r="U979" t="s">
        <v>1247</v>
      </c>
      <c r="V979" t="s">
        <v>1151</v>
      </c>
      <c r="W979" t="s">
        <v>1257</v>
      </c>
      <c r="X979">
        <v>19</v>
      </c>
      <c r="Y979" t="s">
        <v>1185</v>
      </c>
      <c r="Z979" t="s">
        <v>1134</v>
      </c>
      <c r="AA979">
        <v>1.5</v>
      </c>
    </row>
    <row r="980" spans="1:27" x14ac:dyDescent="0.3">
      <c r="A980" t="s">
        <v>663</v>
      </c>
      <c r="B980" t="s">
        <v>1341</v>
      </c>
      <c r="C980" t="s">
        <v>1059</v>
      </c>
      <c r="D980" t="s">
        <v>1339</v>
      </c>
      <c r="E980" t="s">
        <v>1267</v>
      </c>
      <c r="F980" s="1">
        <v>46294.040277777778</v>
      </c>
      <c r="G980" s="1">
        <v>46294.042361111111</v>
      </c>
      <c r="H980">
        <v>2</v>
      </c>
      <c r="I980">
        <v>3</v>
      </c>
      <c r="J980" t="b">
        <v>0</v>
      </c>
      <c r="K980" t="b">
        <v>0</v>
      </c>
      <c r="L980" t="b">
        <v>0</v>
      </c>
      <c r="M980">
        <v>4</v>
      </c>
      <c r="N980" t="s">
        <v>1130</v>
      </c>
      <c r="O980" s="1">
        <v>46293.981944444437</v>
      </c>
      <c r="P980" t="b">
        <v>0</v>
      </c>
      <c r="Q980" t="s">
        <v>1151</v>
      </c>
      <c r="R980" t="s">
        <v>1145</v>
      </c>
      <c r="S980" t="s">
        <v>1121</v>
      </c>
      <c r="T980" t="s">
        <v>1122</v>
      </c>
      <c r="U980" t="s">
        <v>1172</v>
      </c>
      <c r="V980" t="s">
        <v>1284</v>
      </c>
      <c r="W980" t="s">
        <v>1257</v>
      </c>
      <c r="X980">
        <v>23</v>
      </c>
      <c r="Y980" t="s">
        <v>1185</v>
      </c>
      <c r="Z980" t="s">
        <v>1147</v>
      </c>
      <c r="AA980">
        <v>1.5</v>
      </c>
    </row>
    <row r="981" spans="1:27" x14ac:dyDescent="0.3">
      <c r="A981" t="s">
        <v>926</v>
      </c>
      <c r="B981" t="s">
        <v>1417</v>
      </c>
      <c r="C981" t="s">
        <v>1071</v>
      </c>
      <c r="D981" t="s">
        <v>1280</v>
      </c>
      <c r="E981" t="s">
        <v>1212</v>
      </c>
      <c r="F981" s="1">
        <v>46289.970138888893</v>
      </c>
      <c r="G981" s="1">
        <v>46289.972222222219</v>
      </c>
      <c r="H981">
        <v>1</v>
      </c>
      <c r="I981">
        <v>3</v>
      </c>
      <c r="J981" t="b">
        <v>0</v>
      </c>
      <c r="K981" t="b">
        <v>0</v>
      </c>
      <c r="L981" t="b">
        <v>0</v>
      </c>
      <c r="M981">
        <v>20</v>
      </c>
      <c r="N981" t="s">
        <v>1118</v>
      </c>
      <c r="O981" s="1">
        <v>46289.963888888888</v>
      </c>
      <c r="P981" t="b">
        <v>0</v>
      </c>
      <c r="Q981" t="s">
        <v>1145</v>
      </c>
      <c r="R981" t="s">
        <v>1139</v>
      </c>
      <c r="S981" t="s">
        <v>1157</v>
      </c>
      <c r="T981" t="s">
        <v>1122</v>
      </c>
      <c r="U981" t="s">
        <v>1145</v>
      </c>
      <c r="V981" t="s">
        <v>1151</v>
      </c>
      <c r="W981" t="s">
        <v>1257</v>
      </c>
      <c r="X981">
        <v>23</v>
      </c>
      <c r="Y981" t="s">
        <v>1146</v>
      </c>
      <c r="Z981" t="s">
        <v>1127</v>
      </c>
      <c r="AA981">
        <v>3</v>
      </c>
    </row>
    <row r="982" spans="1:27" x14ac:dyDescent="0.3">
      <c r="A982" t="s">
        <v>460</v>
      </c>
      <c r="B982" t="s">
        <v>1338</v>
      </c>
      <c r="C982" t="s">
        <v>1087</v>
      </c>
      <c r="D982" t="s">
        <v>1339</v>
      </c>
      <c r="E982" t="s">
        <v>1253</v>
      </c>
      <c r="F982" s="1">
        <v>46289.45</v>
      </c>
      <c r="G982" s="1">
        <v>46289.45208333333</v>
      </c>
      <c r="H982">
        <v>5</v>
      </c>
      <c r="I982">
        <v>3</v>
      </c>
      <c r="J982" t="b">
        <v>0</v>
      </c>
      <c r="K982" t="b">
        <v>0</v>
      </c>
      <c r="L982" t="b">
        <v>0</v>
      </c>
      <c r="M982">
        <v>6</v>
      </c>
      <c r="N982" t="s">
        <v>1118</v>
      </c>
      <c r="O982" s="1">
        <v>46289.347222222219</v>
      </c>
      <c r="P982" t="b">
        <v>0</v>
      </c>
      <c r="Q982" t="s">
        <v>1156</v>
      </c>
      <c r="R982" t="s">
        <v>1139</v>
      </c>
      <c r="S982" t="s">
        <v>1121</v>
      </c>
      <c r="T982" t="s">
        <v>1145</v>
      </c>
      <c r="U982" t="s">
        <v>1247</v>
      </c>
      <c r="V982" t="s">
        <v>1284</v>
      </c>
      <c r="W982" t="s">
        <v>1257</v>
      </c>
      <c r="X982">
        <v>8</v>
      </c>
      <c r="Y982" t="s">
        <v>1146</v>
      </c>
      <c r="Z982" t="s">
        <v>1134</v>
      </c>
      <c r="AA982">
        <v>0.6</v>
      </c>
    </row>
    <row r="983" spans="1:27" x14ac:dyDescent="0.3">
      <c r="A983" t="s">
        <v>103</v>
      </c>
      <c r="B983" t="s">
        <v>1202</v>
      </c>
      <c r="C983" t="s">
        <v>1085</v>
      </c>
      <c r="D983" t="s">
        <v>1283</v>
      </c>
      <c r="E983" t="s">
        <v>1307</v>
      </c>
      <c r="F983" s="1">
        <v>46293.147222222222</v>
      </c>
      <c r="G983" s="1">
        <v>46293.149305555547</v>
      </c>
      <c r="H983">
        <v>2</v>
      </c>
      <c r="I983">
        <v>3</v>
      </c>
      <c r="J983" t="b">
        <v>0</v>
      </c>
      <c r="K983" t="b">
        <v>0</v>
      </c>
      <c r="L983" t="b">
        <v>0</v>
      </c>
      <c r="M983">
        <v>8</v>
      </c>
      <c r="N983" t="s">
        <v>1118</v>
      </c>
      <c r="O983" s="1">
        <v>46293.128472222219</v>
      </c>
      <c r="P983" t="b">
        <v>0</v>
      </c>
      <c r="Q983" t="s">
        <v>1151</v>
      </c>
      <c r="R983" t="s">
        <v>1139</v>
      </c>
      <c r="S983" t="s">
        <v>1121</v>
      </c>
      <c r="T983" t="s">
        <v>1122</v>
      </c>
      <c r="U983" t="s">
        <v>1247</v>
      </c>
      <c r="V983" t="s">
        <v>1284</v>
      </c>
      <c r="W983" t="s">
        <v>1131</v>
      </c>
      <c r="X983">
        <v>3</v>
      </c>
      <c r="Y983" t="s">
        <v>1185</v>
      </c>
      <c r="Z983" t="s">
        <v>1134</v>
      </c>
      <c r="AA983">
        <v>1.5</v>
      </c>
    </row>
    <row r="984" spans="1:27" x14ac:dyDescent="0.3">
      <c r="A984" t="s">
        <v>474</v>
      </c>
      <c r="B984" t="s">
        <v>1478</v>
      </c>
      <c r="C984" t="s">
        <v>1076</v>
      </c>
      <c r="D984" t="s">
        <v>1339</v>
      </c>
      <c r="E984" t="s">
        <v>1219</v>
      </c>
      <c r="F984" s="1">
        <v>46282.552777777782</v>
      </c>
      <c r="G984" s="1">
        <v>46282.554861111108</v>
      </c>
      <c r="H984">
        <v>5</v>
      </c>
      <c r="I984">
        <v>3</v>
      </c>
      <c r="J984" t="b">
        <v>0</v>
      </c>
      <c r="K984" t="b">
        <v>0</v>
      </c>
      <c r="L984" t="b">
        <v>0</v>
      </c>
      <c r="M984">
        <v>8</v>
      </c>
      <c r="N984" t="s">
        <v>1118</v>
      </c>
      <c r="O984" s="1">
        <v>46282.497916666667</v>
      </c>
      <c r="P984" t="b">
        <v>0</v>
      </c>
      <c r="Q984" t="s">
        <v>1145</v>
      </c>
      <c r="R984" t="s">
        <v>1120</v>
      </c>
      <c r="S984" t="s">
        <v>1121</v>
      </c>
      <c r="T984" t="s">
        <v>1122</v>
      </c>
      <c r="U984" t="s">
        <v>1172</v>
      </c>
      <c r="V984" t="s">
        <v>1284</v>
      </c>
      <c r="W984" t="s">
        <v>1257</v>
      </c>
      <c r="X984">
        <v>11</v>
      </c>
      <c r="Y984" t="s">
        <v>1146</v>
      </c>
      <c r="Z984" t="s">
        <v>1134</v>
      </c>
      <c r="AA984">
        <v>0.6</v>
      </c>
    </row>
    <row r="985" spans="1:27" x14ac:dyDescent="0.3">
      <c r="A985" t="s">
        <v>978</v>
      </c>
      <c r="B985" t="s">
        <v>1329</v>
      </c>
      <c r="C985" t="s">
        <v>1080</v>
      </c>
      <c r="D985" t="s">
        <v>1280</v>
      </c>
      <c r="E985" t="s">
        <v>1261</v>
      </c>
      <c r="F985" s="1">
        <v>46285.052777777782</v>
      </c>
      <c r="G985" s="1">
        <v>46285.054861111108</v>
      </c>
      <c r="H985">
        <v>1</v>
      </c>
      <c r="I985">
        <v>3</v>
      </c>
      <c r="J985" t="b">
        <v>0</v>
      </c>
      <c r="K985" t="b">
        <v>0</v>
      </c>
      <c r="L985" t="b">
        <v>0</v>
      </c>
      <c r="M985">
        <v>10</v>
      </c>
      <c r="N985" t="s">
        <v>1118</v>
      </c>
      <c r="O985" s="1">
        <v>46284.945833333331</v>
      </c>
      <c r="P985" t="b">
        <v>0</v>
      </c>
      <c r="Q985" t="s">
        <v>1151</v>
      </c>
      <c r="R985" t="s">
        <v>1120</v>
      </c>
      <c r="S985" t="s">
        <v>1157</v>
      </c>
      <c r="T985" t="s">
        <v>1122</v>
      </c>
      <c r="U985" t="s">
        <v>1247</v>
      </c>
      <c r="V985" t="s">
        <v>1151</v>
      </c>
      <c r="W985" t="s">
        <v>1257</v>
      </c>
      <c r="X985">
        <v>22</v>
      </c>
      <c r="Y985" t="s">
        <v>1173</v>
      </c>
      <c r="Z985" t="s">
        <v>1134</v>
      </c>
      <c r="AA985">
        <v>3</v>
      </c>
    </row>
    <row r="986" spans="1:27" x14ac:dyDescent="0.3">
      <c r="A986" t="s">
        <v>144</v>
      </c>
      <c r="B986" t="s">
        <v>1188</v>
      </c>
      <c r="C986" t="s">
        <v>1058</v>
      </c>
      <c r="D986" t="s">
        <v>1339</v>
      </c>
      <c r="E986" t="s">
        <v>1301</v>
      </c>
      <c r="F986" s="1">
        <v>46273.226388888892</v>
      </c>
      <c r="G986" s="1">
        <v>46273.228472222218</v>
      </c>
      <c r="H986">
        <v>3</v>
      </c>
      <c r="I986">
        <v>3</v>
      </c>
      <c r="J986" t="b">
        <v>0</v>
      </c>
      <c r="K986" t="b">
        <v>0</v>
      </c>
      <c r="L986" t="b">
        <v>0</v>
      </c>
      <c r="M986">
        <v>6</v>
      </c>
      <c r="N986" t="s">
        <v>1118</v>
      </c>
      <c r="O986" s="1">
        <v>46273.138194444437</v>
      </c>
      <c r="P986" t="b">
        <v>0</v>
      </c>
      <c r="Q986" t="s">
        <v>1169</v>
      </c>
      <c r="R986" t="s">
        <v>1131</v>
      </c>
      <c r="S986" t="s">
        <v>1145</v>
      </c>
      <c r="T986" t="s">
        <v>1122</v>
      </c>
      <c r="U986" t="s">
        <v>1145</v>
      </c>
      <c r="V986" t="s">
        <v>1284</v>
      </c>
      <c r="W986" t="s">
        <v>1257</v>
      </c>
      <c r="X986">
        <v>3</v>
      </c>
      <c r="Y986" t="s">
        <v>1126</v>
      </c>
      <c r="Z986" t="s">
        <v>1134</v>
      </c>
      <c r="AA986">
        <v>1</v>
      </c>
    </row>
    <row r="987" spans="1:27" x14ac:dyDescent="0.3">
      <c r="A987" t="s">
        <v>399</v>
      </c>
      <c r="B987" t="s">
        <v>1311</v>
      </c>
      <c r="C987" t="s">
        <v>1085</v>
      </c>
      <c r="D987" t="s">
        <v>1280</v>
      </c>
      <c r="E987" t="s">
        <v>1287</v>
      </c>
      <c r="F987" s="1">
        <v>46287.615277777782</v>
      </c>
      <c r="G987" s="1">
        <v>46287.617361111108</v>
      </c>
      <c r="H987">
        <v>1</v>
      </c>
      <c r="I987">
        <v>3</v>
      </c>
      <c r="J987" t="b">
        <v>0</v>
      </c>
      <c r="K987" t="b">
        <v>0</v>
      </c>
      <c r="L987" t="b">
        <v>0</v>
      </c>
      <c r="M987">
        <v>6</v>
      </c>
      <c r="N987" t="s">
        <v>1118</v>
      </c>
      <c r="O987" s="1">
        <v>46287.543749999997</v>
      </c>
      <c r="P987" t="b">
        <v>0</v>
      </c>
      <c r="Q987" t="s">
        <v>1179</v>
      </c>
      <c r="R987" t="s">
        <v>1120</v>
      </c>
      <c r="S987" t="s">
        <v>1145</v>
      </c>
      <c r="T987" t="s">
        <v>1122</v>
      </c>
      <c r="U987" t="s">
        <v>1247</v>
      </c>
      <c r="V987" t="s">
        <v>1151</v>
      </c>
      <c r="W987" t="s">
        <v>1257</v>
      </c>
      <c r="X987">
        <v>13</v>
      </c>
      <c r="Y987" t="s">
        <v>1126</v>
      </c>
      <c r="Z987" t="s">
        <v>1134</v>
      </c>
      <c r="AA987">
        <v>3</v>
      </c>
    </row>
    <row r="988" spans="1:27" x14ac:dyDescent="0.3">
      <c r="A988" t="s">
        <v>183</v>
      </c>
      <c r="B988" t="s">
        <v>1276</v>
      </c>
      <c r="C988" t="s">
        <v>1073</v>
      </c>
      <c r="D988" t="s">
        <v>1339</v>
      </c>
      <c r="E988" t="s">
        <v>1244</v>
      </c>
      <c r="F988" s="1">
        <v>46277.575694444437</v>
      </c>
      <c r="G988" s="1">
        <v>46277.577777777777</v>
      </c>
      <c r="H988">
        <v>2</v>
      </c>
      <c r="I988">
        <v>3</v>
      </c>
      <c r="J988" t="b">
        <v>0</v>
      </c>
      <c r="K988" t="b">
        <v>0</v>
      </c>
      <c r="L988" t="b">
        <v>0</v>
      </c>
      <c r="M988">
        <v>6</v>
      </c>
      <c r="N988" t="s">
        <v>1118</v>
      </c>
      <c r="O988" s="1">
        <v>46277.459027777782</v>
      </c>
      <c r="P988" t="b">
        <v>0</v>
      </c>
      <c r="Q988" t="s">
        <v>1119</v>
      </c>
      <c r="R988" t="s">
        <v>1120</v>
      </c>
      <c r="S988" t="s">
        <v>1121</v>
      </c>
      <c r="T988" t="s">
        <v>1122</v>
      </c>
      <c r="U988" t="s">
        <v>1247</v>
      </c>
      <c r="V988" t="s">
        <v>1284</v>
      </c>
      <c r="W988" t="s">
        <v>1257</v>
      </c>
      <c r="X988">
        <v>11</v>
      </c>
      <c r="Y988" t="s">
        <v>1173</v>
      </c>
      <c r="Z988" t="s">
        <v>1134</v>
      </c>
      <c r="AA988">
        <v>1.5</v>
      </c>
    </row>
    <row r="989" spans="1:27" x14ac:dyDescent="0.3">
      <c r="A989" t="s">
        <v>592</v>
      </c>
      <c r="B989" t="s">
        <v>1458</v>
      </c>
      <c r="C989" t="s">
        <v>1084</v>
      </c>
      <c r="D989" t="s">
        <v>1280</v>
      </c>
      <c r="E989" t="s">
        <v>1144</v>
      </c>
      <c r="F989" s="1">
        <v>46284.648611111108</v>
      </c>
      <c r="G989" s="1">
        <v>46284.650694444441</v>
      </c>
      <c r="H989">
        <v>3</v>
      </c>
      <c r="I989">
        <v>3</v>
      </c>
      <c r="J989" t="b">
        <v>0</v>
      </c>
      <c r="K989" t="b">
        <v>0</v>
      </c>
      <c r="L989" t="b">
        <v>0</v>
      </c>
      <c r="M989">
        <v>3</v>
      </c>
      <c r="N989" t="s">
        <v>1118</v>
      </c>
      <c r="O989" s="1">
        <v>46284.556250000001</v>
      </c>
      <c r="P989" t="b">
        <v>0</v>
      </c>
      <c r="Q989" t="s">
        <v>1138</v>
      </c>
      <c r="R989" t="s">
        <v>1120</v>
      </c>
      <c r="S989" t="s">
        <v>1145</v>
      </c>
      <c r="T989" t="s">
        <v>1122</v>
      </c>
      <c r="U989" t="s">
        <v>1247</v>
      </c>
      <c r="V989" t="s">
        <v>1151</v>
      </c>
      <c r="W989" t="s">
        <v>1257</v>
      </c>
      <c r="X989">
        <v>13</v>
      </c>
      <c r="Y989" t="s">
        <v>1173</v>
      </c>
      <c r="Z989" t="s">
        <v>1147</v>
      </c>
      <c r="AA989">
        <v>1</v>
      </c>
    </row>
    <row r="990" spans="1:27" x14ac:dyDescent="0.3">
      <c r="A990" t="s">
        <v>220</v>
      </c>
      <c r="B990" t="s">
        <v>1206</v>
      </c>
      <c r="C990" t="s">
        <v>1059</v>
      </c>
      <c r="D990" t="s">
        <v>1283</v>
      </c>
      <c r="E990" t="s">
        <v>1256</v>
      </c>
      <c r="F990" s="1">
        <v>46266.89166666667</v>
      </c>
      <c r="G990" s="1">
        <v>46266.893750000003</v>
      </c>
      <c r="H990">
        <v>3</v>
      </c>
      <c r="I990">
        <v>3</v>
      </c>
      <c r="J990" t="b">
        <v>0</v>
      </c>
      <c r="K990" t="b">
        <v>0</v>
      </c>
      <c r="L990" t="b">
        <v>0</v>
      </c>
      <c r="N990" t="s">
        <v>1130</v>
      </c>
      <c r="O990" s="1">
        <v>46266.843055555553</v>
      </c>
      <c r="P990" t="b">
        <v>1</v>
      </c>
      <c r="Q990" t="s">
        <v>1145</v>
      </c>
      <c r="R990" t="s">
        <v>1139</v>
      </c>
      <c r="S990" t="s">
        <v>1157</v>
      </c>
      <c r="T990" t="s">
        <v>1122</v>
      </c>
      <c r="U990" t="s">
        <v>1172</v>
      </c>
      <c r="V990" t="s">
        <v>1284</v>
      </c>
      <c r="W990" t="s">
        <v>1131</v>
      </c>
      <c r="X990">
        <v>20</v>
      </c>
      <c r="Y990" t="s">
        <v>1126</v>
      </c>
      <c r="AA990">
        <v>1</v>
      </c>
    </row>
    <row r="991" spans="1:27" x14ac:dyDescent="0.3">
      <c r="A991" t="s">
        <v>797</v>
      </c>
      <c r="B991" t="s">
        <v>1318</v>
      </c>
      <c r="C991" t="s">
        <v>1086</v>
      </c>
      <c r="D991" t="s">
        <v>1283</v>
      </c>
      <c r="E991" t="s">
        <v>1240</v>
      </c>
      <c r="F991" s="1">
        <v>46293.943055555559</v>
      </c>
      <c r="G991" s="1">
        <v>46293.945138888892</v>
      </c>
      <c r="H991">
        <v>2</v>
      </c>
      <c r="I991">
        <v>3</v>
      </c>
      <c r="J991" t="b">
        <v>0</v>
      </c>
      <c r="K991" t="b">
        <v>0</v>
      </c>
      <c r="L991" t="b">
        <v>0</v>
      </c>
      <c r="M991">
        <v>8</v>
      </c>
      <c r="N991" t="s">
        <v>1130</v>
      </c>
      <c r="O991" s="1">
        <v>46293.824999999997</v>
      </c>
      <c r="P991" t="b">
        <v>0</v>
      </c>
      <c r="Q991" t="s">
        <v>1156</v>
      </c>
      <c r="R991" t="s">
        <v>1120</v>
      </c>
      <c r="S991" t="s">
        <v>1145</v>
      </c>
      <c r="T991" t="s">
        <v>1122</v>
      </c>
      <c r="U991" t="s">
        <v>1145</v>
      </c>
      <c r="V991" t="s">
        <v>1284</v>
      </c>
      <c r="W991" t="s">
        <v>1131</v>
      </c>
      <c r="X991">
        <v>19</v>
      </c>
      <c r="Y991" t="s">
        <v>1185</v>
      </c>
      <c r="Z991" t="s">
        <v>1134</v>
      </c>
      <c r="AA991">
        <v>1.5</v>
      </c>
    </row>
    <row r="992" spans="1:27" x14ac:dyDescent="0.3">
      <c r="A992" t="s">
        <v>1018</v>
      </c>
      <c r="B992" t="s">
        <v>1300</v>
      </c>
      <c r="C992" t="s">
        <v>1063</v>
      </c>
      <c r="D992" t="s">
        <v>1238</v>
      </c>
      <c r="E992" t="s">
        <v>1144</v>
      </c>
      <c r="F992" s="1">
        <v>46269.820138888892</v>
      </c>
      <c r="G992" s="1">
        <v>46269.822222222218</v>
      </c>
      <c r="H992">
        <v>3</v>
      </c>
      <c r="I992">
        <v>3</v>
      </c>
      <c r="J992" t="b">
        <v>0</v>
      </c>
      <c r="K992" t="b">
        <v>0</v>
      </c>
      <c r="L992" t="b">
        <v>0</v>
      </c>
      <c r="M992">
        <v>8</v>
      </c>
      <c r="N992" t="s">
        <v>1155</v>
      </c>
      <c r="O992" s="1">
        <v>46269.727083333331</v>
      </c>
      <c r="P992" t="b">
        <v>0</v>
      </c>
      <c r="Q992" t="s">
        <v>1138</v>
      </c>
      <c r="R992" t="s">
        <v>1120</v>
      </c>
      <c r="S992" t="s">
        <v>1145</v>
      </c>
      <c r="T992" t="s">
        <v>1122</v>
      </c>
      <c r="U992" t="s">
        <v>1172</v>
      </c>
      <c r="V992" t="s">
        <v>1151</v>
      </c>
      <c r="W992" t="s">
        <v>1131</v>
      </c>
      <c r="X992">
        <v>17</v>
      </c>
      <c r="Y992" t="s">
        <v>1142</v>
      </c>
      <c r="Z992" t="s">
        <v>1134</v>
      </c>
      <c r="AA992">
        <v>1</v>
      </c>
    </row>
    <row r="993" spans="1:27" x14ac:dyDescent="0.3">
      <c r="A993" t="s">
        <v>1040</v>
      </c>
      <c r="B993" t="s">
        <v>1482</v>
      </c>
      <c r="C993" t="s">
        <v>1066</v>
      </c>
      <c r="D993" t="s">
        <v>1238</v>
      </c>
      <c r="E993" t="s">
        <v>1171</v>
      </c>
      <c r="F993" s="1">
        <v>46279.456250000003</v>
      </c>
      <c r="G993" s="1">
        <v>46279.458333333343</v>
      </c>
      <c r="H993">
        <v>1</v>
      </c>
      <c r="I993">
        <v>3</v>
      </c>
      <c r="J993" t="b">
        <v>0</v>
      </c>
      <c r="K993" t="b">
        <v>0</v>
      </c>
      <c r="L993" t="b">
        <v>0</v>
      </c>
      <c r="M993">
        <v>4</v>
      </c>
      <c r="N993" t="s">
        <v>1118</v>
      </c>
      <c r="O993" s="1">
        <v>46279.438888888893</v>
      </c>
      <c r="P993" t="b">
        <v>0</v>
      </c>
      <c r="Q993" t="s">
        <v>1119</v>
      </c>
      <c r="R993" t="s">
        <v>1131</v>
      </c>
      <c r="S993" t="s">
        <v>1121</v>
      </c>
      <c r="T993" t="s">
        <v>1122</v>
      </c>
      <c r="U993" t="s">
        <v>1247</v>
      </c>
      <c r="V993" t="s">
        <v>1151</v>
      </c>
      <c r="W993" t="s">
        <v>1131</v>
      </c>
      <c r="X993">
        <v>10</v>
      </c>
      <c r="Y993" t="s">
        <v>1185</v>
      </c>
      <c r="Z993" t="s">
        <v>1147</v>
      </c>
      <c r="AA993">
        <v>3</v>
      </c>
    </row>
    <row r="994" spans="1:27" x14ac:dyDescent="0.3">
      <c r="A994" t="s">
        <v>1033</v>
      </c>
      <c r="B994" t="s">
        <v>1224</v>
      </c>
      <c r="C994" t="s">
        <v>1058</v>
      </c>
      <c r="D994" t="s">
        <v>1280</v>
      </c>
      <c r="E994" t="s">
        <v>1267</v>
      </c>
      <c r="F994" s="1">
        <v>46274.75277777778</v>
      </c>
      <c r="G994" s="1">
        <v>46274.754861111112</v>
      </c>
      <c r="H994">
        <v>3</v>
      </c>
      <c r="I994">
        <v>3</v>
      </c>
      <c r="J994" t="b">
        <v>0</v>
      </c>
      <c r="K994" t="b">
        <v>0</v>
      </c>
      <c r="L994" t="b">
        <v>0</v>
      </c>
      <c r="M994">
        <v>10</v>
      </c>
      <c r="N994" t="s">
        <v>1130</v>
      </c>
      <c r="O994" s="1">
        <v>46274.694444444453</v>
      </c>
      <c r="P994" t="b">
        <v>0</v>
      </c>
      <c r="Q994" t="s">
        <v>1151</v>
      </c>
      <c r="R994" t="s">
        <v>1145</v>
      </c>
      <c r="S994" t="s">
        <v>1121</v>
      </c>
      <c r="T994" t="s">
        <v>1122</v>
      </c>
      <c r="U994" t="s">
        <v>1145</v>
      </c>
      <c r="V994" t="s">
        <v>1151</v>
      </c>
      <c r="W994" t="s">
        <v>1257</v>
      </c>
      <c r="X994">
        <v>16</v>
      </c>
      <c r="Y994" t="s">
        <v>1161</v>
      </c>
      <c r="Z994" t="s">
        <v>1134</v>
      </c>
      <c r="AA994">
        <v>1</v>
      </c>
    </row>
    <row r="995" spans="1:27" x14ac:dyDescent="0.3">
      <c r="A995" t="s">
        <v>204</v>
      </c>
      <c r="B995" t="s">
        <v>1186</v>
      </c>
      <c r="C995" t="s">
        <v>1069</v>
      </c>
      <c r="D995" t="s">
        <v>1283</v>
      </c>
      <c r="E995" t="s">
        <v>1265</v>
      </c>
      <c r="F995" s="1">
        <v>46274.772916666669</v>
      </c>
      <c r="G995" s="1">
        <v>46274.775000000001</v>
      </c>
      <c r="H995">
        <v>4</v>
      </c>
      <c r="I995">
        <v>3</v>
      </c>
      <c r="J995" t="b">
        <v>0</v>
      </c>
      <c r="K995" t="b">
        <v>0</v>
      </c>
      <c r="L995" t="b">
        <v>0</v>
      </c>
      <c r="M995">
        <v>10</v>
      </c>
      <c r="N995" t="s">
        <v>1118</v>
      </c>
      <c r="O995" s="1">
        <v>46274.652083333327</v>
      </c>
      <c r="P995" t="b">
        <v>0</v>
      </c>
      <c r="Q995" t="s">
        <v>1179</v>
      </c>
      <c r="R995" t="s">
        <v>1139</v>
      </c>
      <c r="S995" t="s">
        <v>1157</v>
      </c>
      <c r="T995" t="s">
        <v>1140</v>
      </c>
      <c r="U995" t="s">
        <v>1172</v>
      </c>
      <c r="V995" t="s">
        <v>1284</v>
      </c>
      <c r="W995" t="s">
        <v>1131</v>
      </c>
      <c r="X995">
        <v>15</v>
      </c>
      <c r="Y995" t="s">
        <v>1161</v>
      </c>
      <c r="Z995" t="s">
        <v>1134</v>
      </c>
      <c r="AA995">
        <v>0.75</v>
      </c>
    </row>
    <row r="996" spans="1:27" x14ac:dyDescent="0.3">
      <c r="A996" t="s">
        <v>799</v>
      </c>
      <c r="B996" t="s">
        <v>1318</v>
      </c>
      <c r="C996" t="s">
        <v>1074</v>
      </c>
      <c r="D996" t="s">
        <v>1339</v>
      </c>
      <c r="E996" t="s">
        <v>1171</v>
      </c>
      <c r="F996" s="1">
        <v>46293.942361111112</v>
      </c>
      <c r="G996" s="1">
        <v>46293.944444444453</v>
      </c>
      <c r="H996">
        <v>2</v>
      </c>
      <c r="I996">
        <v>3</v>
      </c>
      <c r="J996" t="b">
        <v>0</v>
      </c>
      <c r="K996" t="b">
        <v>0</v>
      </c>
      <c r="L996" t="b">
        <v>0</v>
      </c>
      <c r="M996">
        <v>8</v>
      </c>
      <c r="N996" t="s">
        <v>1130</v>
      </c>
      <c r="O996" s="1">
        <v>46293.824999999997</v>
      </c>
      <c r="P996" t="b">
        <v>0</v>
      </c>
      <c r="Q996" t="s">
        <v>1119</v>
      </c>
      <c r="R996" t="s">
        <v>1131</v>
      </c>
      <c r="S996" t="s">
        <v>1121</v>
      </c>
      <c r="T996" t="s">
        <v>1145</v>
      </c>
      <c r="U996" t="s">
        <v>1145</v>
      </c>
      <c r="V996" t="s">
        <v>1284</v>
      </c>
      <c r="W996" t="s">
        <v>1257</v>
      </c>
      <c r="X996">
        <v>19</v>
      </c>
      <c r="Y996" t="s">
        <v>1185</v>
      </c>
      <c r="Z996" t="s">
        <v>1134</v>
      </c>
      <c r="AA996">
        <v>1.5</v>
      </c>
    </row>
    <row r="997" spans="1:27" x14ac:dyDescent="0.3">
      <c r="A997" t="s">
        <v>573</v>
      </c>
      <c r="B997" t="s">
        <v>1266</v>
      </c>
      <c r="C997" t="s">
        <v>1074</v>
      </c>
      <c r="D997" t="s">
        <v>1280</v>
      </c>
      <c r="E997" t="s">
        <v>1312</v>
      </c>
      <c r="F997" s="1">
        <v>46287.560416666667</v>
      </c>
      <c r="G997" s="1">
        <v>46287.5625</v>
      </c>
      <c r="H997">
        <v>2</v>
      </c>
      <c r="I997">
        <v>3</v>
      </c>
      <c r="J997" t="b">
        <v>0</v>
      </c>
      <c r="K997" t="b">
        <v>0</v>
      </c>
      <c r="L997" t="b">
        <v>0</v>
      </c>
      <c r="M997">
        <v>10</v>
      </c>
      <c r="N997" t="s">
        <v>1118</v>
      </c>
      <c r="O997" s="1">
        <v>46287.481944444437</v>
      </c>
      <c r="P997" t="b">
        <v>0</v>
      </c>
      <c r="Q997" t="s">
        <v>1119</v>
      </c>
      <c r="R997" t="s">
        <v>1120</v>
      </c>
      <c r="S997" t="s">
        <v>1157</v>
      </c>
      <c r="T997" t="s">
        <v>1145</v>
      </c>
      <c r="U997" t="s">
        <v>1145</v>
      </c>
      <c r="V997" t="s">
        <v>1151</v>
      </c>
      <c r="W997" t="s">
        <v>1257</v>
      </c>
      <c r="X997">
        <v>11</v>
      </c>
      <c r="Y997" t="s">
        <v>1126</v>
      </c>
      <c r="Z997" t="s">
        <v>1134</v>
      </c>
      <c r="AA997">
        <v>1.5</v>
      </c>
    </row>
    <row r="998" spans="1:27" x14ac:dyDescent="0.3">
      <c r="A998" t="s">
        <v>556</v>
      </c>
      <c r="B998" t="s">
        <v>1456</v>
      </c>
      <c r="C998" t="s">
        <v>1074</v>
      </c>
      <c r="D998" t="s">
        <v>1280</v>
      </c>
      <c r="E998" t="s">
        <v>1227</v>
      </c>
      <c r="F998" s="1">
        <v>46272.357638888891</v>
      </c>
      <c r="G998" s="1">
        <v>46272.359722222223</v>
      </c>
      <c r="H998">
        <v>5</v>
      </c>
      <c r="I998">
        <v>3</v>
      </c>
      <c r="J998" t="b">
        <v>0</v>
      </c>
      <c r="K998" t="b">
        <v>0</v>
      </c>
      <c r="L998" t="b">
        <v>0</v>
      </c>
      <c r="M998">
        <v>4</v>
      </c>
      <c r="N998" t="s">
        <v>1118</v>
      </c>
      <c r="O998" s="1">
        <v>46272.234722222223</v>
      </c>
      <c r="P998" t="b">
        <v>0</v>
      </c>
      <c r="Q998" t="s">
        <v>1145</v>
      </c>
      <c r="R998" t="s">
        <v>1131</v>
      </c>
      <c r="S998" t="s">
        <v>1121</v>
      </c>
      <c r="T998" t="s">
        <v>1145</v>
      </c>
      <c r="U998" t="s">
        <v>1145</v>
      </c>
      <c r="V998" t="s">
        <v>1151</v>
      </c>
      <c r="W998" t="s">
        <v>1257</v>
      </c>
      <c r="X998">
        <v>5</v>
      </c>
      <c r="Y998" t="s">
        <v>1185</v>
      </c>
      <c r="Z998" t="s">
        <v>1147</v>
      </c>
      <c r="AA998">
        <v>0.6</v>
      </c>
    </row>
    <row r="999" spans="1:27" x14ac:dyDescent="0.3">
      <c r="A999" t="s">
        <v>938</v>
      </c>
      <c r="B999" t="s">
        <v>1162</v>
      </c>
      <c r="C999" t="s">
        <v>1085</v>
      </c>
      <c r="D999" t="s">
        <v>1283</v>
      </c>
      <c r="E999" t="s">
        <v>1332</v>
      </c>
      <c r="F999" s="1">
        <v>46267.918055555558</v>
      </c>
      <c r="G999" s="1">
        <v>46267.920138888891</v>
      </c>
      <c r="H999">
        <v>3</v>
      </c>
      <c r="I999">
        <v>3</v>
      </c>
      <c r="J999" t="b">
        <v>0</v>
      </c>
      <c r="K999" t="b">
        <v>0</v>
      </c>
      <c r="L999" t="b">
        <v>0</v>
      </c>
      <c r="M999">
        <v>15</v>
      </c>
      <c r="N999" t="s">
        <v>1130</v>
      </c>
      <c r="O999" s="1">
        <v>46267.895833333343</v>
      </c>
      <c r="P999" t="b">
        <v>0</v>
      </c>
      <c r="Q999" t="s">
        <v>1179</v>
      </c>
      <c r="R999" t="s">
        <v>1120</v>
      </c>
      <c r="S999" t="s">
        <v>1132</v>
      </c>
      <c r="T999" t="s">
        <v>1122</v>
      </c>
      <c r="U999" t="s">
        <v>1247</v>
      </c>
      <c r="V999" t="s">
        <v>1284</v>
      </c>
      <c r="W999" t="s">
        <v>1131</v>
      </c>
      <c r="X999">
        <v>21</v>
      </c>
      <c r="Y999" t="s">
        <v>1161</v>
      </c>
      <c r="Z999" t="s">
        <v>1127</v>
      </c>
      <c r="AA999">
        <v>1</v>
      </c>
    </row>
    <row r="1000" spans="1:27" x14ac:dyDescent="0.3">
      <c r="A1000" t="s">
        <v>159</v>
      </c>
      <c r="B1000" t="s">
        <v>1277</v>
      </c>
      <c r="C1000" t="s">
        <v>1065</v>
      </c>
      <c r="D1000" t="s">
        <v>1339</v>
      </c>
      <c r="E1000" t="s">
        <v>1299</v>
      </c>
      <c r="F1000" s="1">
        <v>46270.676388888889</v>
      </c>
      <c r="G1000" s="1">
        <v>46270.678472222222</v>
      </c>
      <c r="H1000">
        <v>5</v>
      </c>
      <c r="I1000">
        <v>3</v>
      </c>
      <c r="J1000" t="b">
        <v>0</v>
      </c>
      <c r="K1000" t="b">
        <v>0</v>
      </c>
      <c r="L1000" t="b">
        <v>0</v>
      </c>
      <c r="M1000">
        <v>6</v>
      </c>
      <c r="N1000" t="s">
        <v>1130</v>
      </c>
      <c r="P1000" t="b">
        <v>0</v>
      </c>
      <c r="Q1000" t="s">
        <v>1156</v>
      </c>
      <c r="R1000" t="s">
        <v>1120</v>
      </c>
      <c r="S1000" t="s">
        <v>1121</v>
      </c>
      <c r="T1000" t="s">
        <v>1180</v>
      </c>
      <c r="U1000" t="s">
        <v>1247</v>
      </c>
      <c r="V1000" t="s">
        <v>1284</v>
      </c>
      <c r="W1000" t="s">
        <v>1257</v>
      </c>
      <c r="Z1000" t="s">
        <v>1134</v>
      </c>
      <c r="AA1000">
        <v>0.6</v>
      </c>
    </row>
    <row r="1001" spans="1:27" x14ac:dyDescent="0.3">
      <c r="A1001" t="s">
        <v>68</v>
      </c>
      <c r="B1001" t="s">
        <v>1484</v>
      </c>
      <c r="C1001" t="s">
        <v>1076</v>
      </c>
      <c r="D1001" t="s">
        <v>1339</v>
      </c>
      <c r="E1001" t="s">
        <v>1196</v>
      </c>
      <c r="F1001" s="1">
        <v>46269.822222222218</v>
      </c>
      <c r="G1001" s="1">
        <v>46269.823611111111</v>
      </c>
      <c r="H1001">
        <v>4</v>
      </c>
      <c r="I1001">
        <v>2</v>
      </c>
      <c r="J1001" t="b">
        <v>0</v>
      </c>
      <c r="K1001" t="b">
        <v>0</v>
      </c>
      <c r="L1001" t="b">
        <v>0</v>
      </c>
      <c r="M1001">
        <v>4</v>
      </c>
      <c r="N1001" t="s">
        <v>1155</v>
      </c>
      <c r="O1001" s="1">
        <v>46269.8</v>
      </c>
      <c r="P1001" t="b">
        <v>0</v>
      </c>
      <c r="Q1001" t="s">
        <v>1138</v>
      </c>
      <c r="R1001" t="s">
        <v>1120</v>
      </c>
      <c r="S1001" t="s">
        <v>1121</v>
      </c>
      <c r="T1001" t="s">
        <v>1122</v>
      </c>
      <c r="U1001" t="s">
        <v>1172</v>
      </c>
      <c r="V1001" t="s">
        <v>1284</v>
      </c>
      <c r="W1001" t="s">
        <v>1257</v>
      </c>
      <c r="X1001">
        <v>19</v>
      </c>
      <c r="Y1001" t="s">
        <v>1142</v>
      </c>
      <c r="Z1001" t="s">
        <v>1147</v>
      </c>
      <c r="AA1001">
        <v>0.5</v>
      </c>
    </row>
    <row r="1002" spans="1:27" x14ac:dyDescent="0.3">
      <c r="A1002" t="s">
        <v>644</v>
      </c>
      <c r="B1002" t="s">
        <v>1214</v>
      </c>
      <c r="C1002" t="s">
        <v>1086</v>
      </c>
      <c r="D1002" t="s">
        <v>1339</v>
      </c>
      <c r="E1002" t="s">
        <v>1235</v>
      </c>
      <c r="F1002" s="1">
        <v>46292.583333333343</v>
      </c>
      <c r="G1002" s="1">
        <v>46292.584722222222</v>
      </c>
      <c r="H1002">
        <v>1</v>
      </c>
      <c r="I1002">
        <v>2</v>
      </c>
      <c r="J1002" t="b">
        <v>0</v>
      </c>
      <c r="K1002" t="b">
        <v>0</v>
      </c>
      <c r="L1002" t="b">
        <v>0</v>
      </c>
      <c r="M1002">
        <v>10</v>
      </c>
      <c r="N1002" t="s">
        <v>1130</v>
      </c>
      <c r="O1002" s="1">
        <v>46292.53125</v>
      </c>
      <c r="P1002" t="b">
        <v>0</v>
      </c>
      <c r="Q1002" t="s">
        <v>1151</v>
      </c>
      <c r="R1002" t="s">
        <v>1131</v>
      </c>
      <c r="S1002" t="s">
        <v>1152</v>
      </c>
      <c r="T1002" t="s">
        <v>1122</v>
      </c>
      <c r="U1002" t="s">
        <v>1145</v>
      </c>
      <c r="V1002" t="s">
        <v>1284</v>
      </c>
      <c r="W1002" t="s">
        <v>1257</v>
      </c>
      <c r="X1002">
        <v>12</v>
      </c>
      <c r="Y1002" t="s">
        <v>1133</v>
      </c>
      <c r="Z1002" t="s">
        <v>1134</v>
      </c>
      <c r="AA1002">
        <v>2</v>
      </c>
    </row>
    <row r="1003" spans="1:27" x14ac:dyDescent="0.3">
      <c r="A1003" t="s">
        <v>97</v>
      </c>
      <c r="B1003" t="s">
        <v>1419</v>
      </c>
      <c r="C1003" t="s">
        <v>1073</v>
      </c>
      <c r="D1003" t="s">
        <v>1280</v>
      </c>
      <c r="E1003" t="s">
        <v>1272</v>
      </c>
      <c r="F1003" s="1">
        <v>46280.73333333333</v>
      </c>
      <c r="G1003" s="1">
        <v>46280.734722222223</v>
      </c>
      <c r="H1003">
        <v>1</v>
      </c>
      <c r="I1003">
        <v>2</v>
      </c>
      <c r="J1003" t="b">
        <v>0</v>
      </c>
      <c r="K1003" t="b">
        <v>0</v>
      </c>
      <c r="L1003" t="b">
        <v>0</v>
      </c>
      <c r="N1003" t="s">
        <v>1118</v>
      </c>
      <c r="O1003" s="1">
        <v>46280.645138888889</v>
      </c>
      <c r="P1003" t="b">
        <v>1</v>
      </c>
      <c r="Q1003" t="s">
        <v>1179</v>
      </c>
      <c r="R1003" t="s">
        <v>1120</v>
      </c>
      <c r="S1003" t="s">
        <v>1157</v>
      </c>
      <c r="T1003" t="s">
        <v>1122</v>
      </c>
      <c r="U1003" t="s">
        <v>1247</v>
      </c>
      <c r="V1003" t="s">
        <v>1151</v>
      </c>
      <c r="W1003" t="s">
        <v>1257</v>
      </c>
      <c r="X1003">
        <v>15</v>
      </c>
      <c r="Y1003" t="s">
        <v>1126</v>
      </c>
      <c r="AA1003">
        <v>2</v>
      </c>
    </row>
    <row r="1004" spans="1:27" x14ac:dyDescent="0.3">
      <c r="A1004" t="s">
        <v>107</v>
      </c>
      <c r="B1004" t="s">
        <v>1490</v>
      </c>
      <c r="C1004" t="s">
        <v>1070</v>
      </c>
      <c r="D1004" t="s">
        <v>1283</v>
      </c>
      <c r="E1004" t="s">
        <v>1216</v>
      </c>
      <c r="F1004" s="1">
        <v>46285.902083333327</v>
      </c>
      <c r="G1004" s="1">
        <v>46285.90347222222</v>
      </c>
      <c r="H1004">
        <v>4</v>
      </c>
      <c r="I1004">
        <v>2</v>
      </c>
      <c r="J1004" t="b">
        <v>0</v>
      </c>
      <c r="K1004" t="b">
        <v>0</v>
      </c>
      <c r="L1004" t="b">
        <v>0</v>
      </c>
      <c r="M1004">
        <v>5</v>
      </c>
      <c r="N1004" t="s">
        <v>1118</v>
      </c>
      <c r="O1004" s="1">
        <v>46285.784722222219</v>
      </c>
      <c r="P1004" t="b">
        <v>0</v>
      </c>
      <c r="Q1004" t="s">
        <v>1119</v>
      </c>
      <c r="R1004" t="s">
        <v>1131</v>
      </c>
      <c r="S1004" t="s">
        <v>1157</v>
      </c>
      <c r="T1004" t="s">
        <v>1180</v>
      </c>
      <c r="U1004" t="s">
        <v>1145</v>
      </c>
      <c r="V1004" t="s">
        <v>1284</v>
      </c>
      <c r="W1004" t="s">
        <v>1131</v>
      </c>
      <c r="X1004">
        <v>18</v>
      </c>
      <c r="Y1004" t="s">
        <v>1133</v>
      </c>
      <c r="Z1004" t="s">
        <v>1147</v>
      </c>
      <c r="AA1004">
        <v>0.5</v>
      </c>
    </row>
    <row r="1005" spans="1:27" x14ac:dyDescent="0.3">
      <c r="A1005" t="s">
        <v>340</v>
      </c>
      <c r="B1005" t="s">
        <v>1448</v>
      </c>
      <c r="C1005" t="s">
        <v>1066</v>
      </c>
      <c r="D1005" t="s">
        <v>1339</v>
      </c>
      <c r="E1005" t="s">
        <v>1256</v>
      </c>
      <c r="F1005" s="1">
        <v>46285.497916666667</v>
      </c>
      <c r="G1005" s="1">
        <v>46285.499305555553</v>
      </c>
      <c r="H1005">
        <v>1</v>
      </c>
      <c r="I1005">
        <v>2</v>
      </c>
      <c r="J1005" t="b">
        <v>0</v>
      </c>
      <c r="K1005" t="b">
        <v>0</v>
      </c>
      <c r="L1005" t="b">
        <v>0</v>
      </c>
      <c r="M1005">
        <v>4</v>
      </c>
      <c r="N1005" t="s">
        <v>1130</v>
      </c>
      <c r="O1005" s="1">
        <v>46285.472916666673</v>
      </c>
      <c r="P1005" t="b">
        <v>0</v>
      </c>
      <c r="Q1005" t="s">
        <v>1145</v>
      </c>
      <c r="R1005" t="s">
        <v>1139</v>
      </c>
      <c r="S1005" t="s">
        <v>1157</v>
      </c>
      <c r="T1005" t="s">
        <v>1122</v>
      </c>
      <c r="U1005" t="s">
        <v>1247</v>
      </c>
      <c r="V1005" t="s">
        <v>1284</v>
      </c>
      <c r="W1005" t="s">
        <v>1257</v>
      </c>
      <c r="X1005">
        <v>11</v>
      </c>
      <c r="Y1005" t="s">
        <v>1133</v>
      </c>
      <c r="Z1005" t="s">
        <v>1147</v>
      </c>
      <c r="AA1005">
        <v>2</v>
      </c>
    </row>
    <row r="1006" spans="1:27" x14ac:dyDescent="0.3">
      <c r="A1006" t="s">
        <v>71</v>
      </c>
      <c r="B1006" t="s">
        <v>1211</v>
      </c>
      <c r="C1006" t="s">
        <v>1082</v>
      </c>
      <c r="D1006" t="s">
        <v>1339</v>
      </c>
      <c r="E1006" t="s">
        <v>1307</v>
      </c>
      <c r="F1006" s="1">
        <v>46284.548611111109</v>
      </c>
      <c r="G1006" s="1">
        <v>46284.55</v>
      </c>
      <c r="H1006">
        <v>2</v>
      </c>
      <c r="I1006">
        <v>2</v>
      </c>
      <c r="J1006" t="b">
        <v>0</v>
      </c>
      <c r="K1006" t="b">
        <v>0</v>
      </c>
      <c r="L1006" t="b">
        <v>0</v>
      </c>
      <c r="M1006">
        <v>15</v>
      </c>
      <c r="N1006" t="s">
        <v>1168</v>
      </c>
      <c r="O1006" s="1">
        <v>46284.525694444441</v>
      </c>
      <c r="P1006" t="b">
        <v>0</v>
      </c>
      <c r="Q1006" t="s">
        <v>1151</v>
      </c>
      <c r="R1006" t="s">
        <v>1139</v>
      </c>
      <c r="S1006" t="s">
        <v>1121</v>
      </c>
      <c r="T1006" t="s">
        <v>1122</v>
      </c>
      <c r="U1006" t="s">
        <v>1145</v>
      </c>
      <c r="V1006" t="s">
        <v>1284</v>
      </c>
      <c r="W1006" t="s">
        <v>1257</v>
      </c>
      <c r="X1006">
        <v>12</v>
      </c>
      <c r="Y1006" t="s">
        <v>1173</v>
      </c>
      <c r="Z1006" t="s">
        <v>1127</v>
      </c>
      <c r="AA1006">
        <v>1</v>
      </c>
    </row>
    <row r="1007" spans="1:27" x14ac:dyDescent="0.3">
      <c r="A1007" t="s">
        <v>223</v>
      </c>
      <c r="B1007" t="s">
        <v>1206</v>
      </c>
      <c r="C1007" t="s">
        <v>1086</v>
      </c>
      <c r="D1007" t="s">
        <v>1339</v>
      </c>
      <c r="E1007" t="s">
        <v>1184</v>
      </c>
      <c r="F1007" s="1">
        <v>46266.956944444442</v>
      </c>
      <c r="G1007" s="1">
        <v>46266.958333333343</v>
      </c>
      <c r="H1007">
        <v>1</v>
      </c>
      <c r="I1007">
        <v>2</v>
      </c>
      <c r="J1007" t="b">
        <v>0</v>
      </c>
      <c r="K1007" t="b">
        <v>0</v>
      </c>
      <c r="L1007" t="b">
        <v>0</v>
      </c>
      <c r="N1007" t="s">
        <v>1130</v>
      </c>
      <c r="O1007" s="1">
        <v>46266.843055555553</v>
      </c>
      <c r="P1007" t="b">
        <v>1</v>
      </c>
      <c r="Q1007" t="s">
        <v>1156</v>
      </c>
      <c r="R1007" t="s">
        <v>1131</v>
      </c>
      <c r="S1007" t="s">
        <v>1132</v>
      </c>
      <c r="T1007" t="s">
        <v>1122</v>
      </c>
      <c r="U1007" t="s">
        <v>1145</v>
      </c>
      <c r="V1007" t="s">
        <v>1284</v>
      </c>
      <c r="W1007" t="s">
        <v>1257</v>
      </c>
      <c r="X1007">
        <v>20</v>
      </c>
      <c r="Y1007" t="s">
        <v>1126</v>
      </c>
      <c r="AA1007">
        <v>2</v>
      </c>
    </row>
    <row r="1008" spans="1:27" x14ac:dyDescent="0.3">
      <c r="A1008" t="s">
        <v>205</v>
      </c>
      <c r="B1008" t="s">
        <v>1186</v>
      </c>
      <c r="C1008" t="s">
        <v>1078</v>
      </c>
      <c r="D1008" t="s">
        <v>1339</v>
      </c>
      <c r="E1008" t="s">
        <v>1187</v>
      </c>
      <c r="F1008" s="1">
        <v>46274.667361111111</v>
      </c>
      <c r="G1008" s="1">
        <v>46274.668749999997</v>
      </c>
      <c r="H1008">
        <v>3</v>
      </c>
      <c r="I1008">
        <v>2</v>
      </c>
      <c r="J1008" t="b">
        <v>0</v>
      </c>
      <c r="K1008" t="b">
        <v>0</v>
      </c>
      <c r="L1008" t="b">
        <v>0</v>
      </c>
      <c r="M1008">
        <v>10</v>
      </c>
      <c r="N1008" t="s">
        <v>1118</v>
      </c>
      <c r="O1008" s="1">
        <v>46274.652083333327</v>
      </c>
      <c r="P1008" t="b">
        <v>0</v>
      </c>
      <c r="Q1008" t="s">
        <v>1156</v>
      </c>
      <c r="R1008" t="s">
        <v>1131</v>
      </c>
      <c r="S1008" t="s">
        <v>1132</v>
      </c>
      <c r="T1008" t="s">
        <v>1145</v>
      </c>
      <c r="U1008" t="s">
        <v>1172</v>
      </c>
      <c r="V1008" t="s">
        <v>1284</v>
      </c>
      <c r="W1008" t="s">
        <v>1257</v>
      </c>
      <c r="X1008">
        <v>15</v>
      </c>
      <c r="Y1008" t="s">
        <v>1161</v>
      </c>
      <c r="Z1008" t="s">
        <v>1134</v>
      </c>
      <c r="AA1008">
        <v>0.66666666666666663</v>
      </c>
    </row>
    <row r="1009" spans="1:27" x14ac:dyDescent="0.3">
      <c r="A1009" t="s">
        <v>127</v>
      </c>
      <c r="B1009" t="s">
        <v>1243</v>
      </c>
      <c r="C1009" t="s">
        <v>1082</v>
      </c>
      <c r="D1009" t="s">
        <v>1280</v>
      </c>
      <c r="E1009" t="s">
        <v>1358</v>
      </c>
      <c r="F1009" s="1">
        <v>46286.17083333333</v>
      </c>
      <c r="G1009" s="1">
        <v>46286.172222222223</v>
      </c>
      <c r="H1009">
        <v>1</v>
      </c>
      <c r="I1009">
        <v>2</v>
      </c>
      <c r="J1009" t="b">
        <v>0</v>
      </c>
      <c r="K1009" t="b">
        <v>0</v>
      </c>
      <c r="L1009" t="b">
        <v>0</v>
      </c>
      <c r="M1009">
        <v>20</v>
      </c>
      <c r="N1009" t="s">
        <v>1155</v>
      </c>
      <c r="O1009" s="1">
        <v>46286.134722222218</v>
      </c>
      <c r="P1009" t="b">
        <v>0</v>
      </c>
      <c r="Q1009" t="s">
        <v>1145</v>
      </c>
      <c r="R1009" t="s">
        <v>1131</v>
      </c>
      <c r="S1009" t="s">
        <v>1152</v>
      </c>
      <c r="T1009" t="s">
        <v>1122</v>
      </c>
      <c r="U1009" t="s">
        <v>1145</v>
      </c>
      <c r="V1009" t="s">
        <v>1151</v>
      </c>
      <c r="W1009" t="s">
        <v>1257</v>
      </c>
      <c r="X1009">
        <v>3</v>
      </c>
      <c r="Y1009" t="s">
        <v>1185</v>
      </c>
      <c r="Z1009" t="s">
        <v>1127</v>
      </c>
      <c r="AA1009">
        <v>2</v>
      </c>
    </row>
    <row r="1010" spans="1:27" x14ac:dyDescent="0.3">
      <c r="A1010" t="s">
        <v>843</v>
      </c>
      <c r="B1010" t="s">
        <v>1282</v>
      </c>
      <c r="C1010" t="s">
        <v>1062</v>
      </c>
      <c r="D1010" t="s">
        <v>1339</v>
      </c>
      <c r="E1010" t="s">
        <v>1292</v>
      </c>
      <c r="F1010" s="1">
        <v>46274.306944444441</v>
      </c>
      <c r="G1010" s="1">
        <v>46274.308333333327</v>
      </c>
      <c r="H1010">
        <v>1</v>
      </c>
      <c r="I1010">
        <v>2</v>
      </c>
      <c r="J1010" t="b">
        <v>0</v>
      </c>
      <c r="K1010" t="b">
        <v>0</v>
      </c>
      <c r="L1010" t="b">
        <v>0</v>
      </c>
      <c r="M1010">
        <v>12</v>
      </c>
      <c r="N1010" t="s">
        <v>1118</v>
      </c>
      <c r="O1010" s="1">
        <v>46274.3</v>
      </c>
      <c r="P1010" t="b">
        <v>0</v>
      </c>
      <c r="Q1010" t="s">
        <v>1179</v>
      </c>
      <c r="R1010" t="s">
        <v>1131</v>
      </c>
      <c r="S1010" t="s">
        <v>1152</v>
      </c>
      <c r="T1010" t="s">
        <v>1122</v>
      </c>
      <c r="U1010" t="s">
        <v>1123</v>
      </c>
      <c r="V1010" t="s">
        <v>1284</v>
      </c>
      <c r="W1010" t="s">
        <v>1257</v>
      </c>
      <c r="X1010">
        <v>7</v>
      </c>
      <c r="Y1010" t="s">
        <v>1161</v>
      </c>
      <c r="Z1010" t="s">
        <v>1127</v>
      </c>
      <c r="AA1010">
        <v>2</v>
      </c>
    </row>
    <row r="1011" spans="1:27" x14ac:dyDescent="0.3">
      <c r="A1011" t="s">
        <v>629</v>
      </c>
      <c r="B1011" t="s">
        <v>1397</v>
      </c>
      <c r="C1011" t="s">
        <v>1080</v>
      </c>
      <c r="D1011" t="s">
        <v>1280</v>
      </c>
      <c r="E1011" t="s">
        <v>1167</v>
      </c>
      <c r="F1011" s="1">
        <v>46267.936805555553</v>
      </c>
      <c r="G1011" s="1">
        <v>46267.9375</v>
      </c>
      <c r="H1011">
        <v>1</v>
      </c>
      <c r="I1011">
        <v>1</v>
      </c>
      <c r="J1011" t="b">
        <v>0</v>
      </c>
      <c r="K1011" t="b">
        <v>0</v>
      </c>
      <c r="L1011" t="b">
        <v>0</v>
      </c>
      <c r="M1011">
        <v>6</v>
      </c>
      <c r="N1011" t="s">
        <v>1118</v>
      </c>
      <c r="O1011" s="1">
        <v>46267.880555555559</v>
      </c>
      <c r="P1011" t="b">
        <v>0</v>
      </c>
      <c r="Q1011" t="s">
        <v>1169</v>
      </c>
      <c r="R1011" t="s">
        <v>1131</v>
      </c>
      <c r="S1011" t="s">
        <v>1157</v>
      </c>
      <c r="T1011" t="s">
        <v>1122</v>
      </c>
      <c r="U1011" t="s">
        <v>1247</v>
      </c>
      <c r="V1011" t="s">
        <v>1151</v>
      </c>
      <c r="W1011" t="s">
        <v>1257</v>
      </c>
      <c r="X1011">
        <v>21</v>
      </c>
      <c r="Y1011" t="s">
        <v>1161</v>
      </c>
      <c r="Z1011" t="s">
        <v>1134</v>
      </c>
      <c r="AA1011">
        <v>1</v>
      </c>
    </row>
    <row r="1012" spans="1:27" x14ac:dyDescent="0.3">
      <c r="A1012" t="s">
        <v>120</v>
      </c>
      <c r="B1012" t="s">
        <v>1466</v>
      </c>
      <c r="C1012" t="s">
        <v>1077</v>
      </c>
      <c r="D1012" t="s">
        <v>1339</v>
      </c>
      <c r="E1012" t="s">
        <v>1225</v>
      </c>
      <c r="F1012" s="1">
        <v>46281.772916666669</v>
      </c>
      <c r="G1012" s="1">
        <v>46281.773611111108</v>
      </c>
      <c r="H1012">
        <v>1</v>
      </c>
      <c r="I1012">
        <v>1</v>
      </c>
      <c r="J1012" t="b">
        <v>0</v>
      </c>
      <c r="K1012" t="b">
        <v>0</v>
      </c>
      <c r="L1012" t="b">
        <v>0</v>
      </c>
      <c r="M1012">
        <v>3</v>
      </c>
      <c r="N1012" t="s">
        <v>1130</v>
      </c>
      <c r="O1012" s="1">
        <v>46281.665972222218</v>
      </c>
      <c r="P1012" t="b">
        <v>0</v>
      </c>
      <c r="Q1012" t="s">
        <v>1151</v>
      </c>
      <c r="R1012" t="s">
        <v>1120</v>
      </c>
      <c r="S1012" t="s">
        <v>1152</v>
      </c>
      <c r="T1012" t="s">
        <v>1122</v>
      </c>
      <c r="U1012" t="s">
        <v>1172</v>
      </c>
      <c r="V1012" t="s">
        <v>1284</v>
      </c>
      <c r="W1012" t="s">
        <v>1257</v>
      </c>
      <c r="X1012">
        <v>15</v>
      </c>
      <c r="Y1012" t="s">
        <v>1161</v>
      </c>
      <c r="Z1012" t="s">
        <v>1147</v>
      </c>
      <c r="AA1012">
        <v>1</v>
      </c>
    </row>
    <row r="1013" spans="1:27" x14ac:dyDescent="0.3">
      <c r="A1013" t="s">
        <v>524</v>
      </c>
      <c r="B1013" t="s">
        <v>1297</v>
      </c>
      <c r="C1013" t="s">
        <v>1087</v>
      </c>
      <c r="D1013" t="s">
        <v>1283</v>
      </c>
      <c r="E1013" t="s">
        <v>1371</v>
      </c>
      <c r="F1013" s="1">
        <v>46289.99722222222</v>
      </c>
      <c r="G1013" s="1">
        <v>46289.997916666667</v>
      </c>
      <c r="H1013">
        <v>1</v>
      </c>
      <c r="I1013">
        <v>1</v>
      </c>
      <c r="J1013" t="b">
        <v>0</v>
      </c>
      <c r="K1013" t="b">
        <v>0</v>
      </c>
      <c r="L1013" t="b">
        <v>0</v>
      </c>
      <c r="M1013">
        <v>15</v>
      </c>
      <c r="N1013" t="s">
        <v>1155</v>
      </c>
      <c r="O1013" s="1">
        <v>46289.979861111111</v>
      </c>
      <c r="P1013" t="b">
        <v>0</v>
      </c>
      <c r="Q1013" t="s">
        <v>1138</v>
      </c>
      <c r="R1013" t="s">
        <v>1131</v>
      </c>
      <c r="S1013" t="s">
        <v>1157</v>
      </c>
      <c r="T1013" t="s">
        <v>1145</v>
      </c>
      <c r="U1013" t="s">
        <v>1247</v>
      </c>
      <c r="V1013" t="s">
        <v>1284</v>
      </c>
      <c r="W1013" t="s">
        <v>1131</v>
      </c>
      <c r="X1013">
        <v>23</v>
      </c>
      <c r="Y1013" t="s">
        <v>1146</v>
      </c>
      <c r="Z1013" t="s">
        <v>1127</v>
      </c>
      <c r="AA1013">
        <v>1</v>
      </c>
    </row>
    <row r="1014" spans="1:27" x14ac:dyDescent="0.3">
      <c r="A1014" t="s">
        <v>190</v>
      </c>
      <c r="B1014" t="s">
        <v>1170</v>
      </c>
      <c r="C1014" t="s">
        <v>1087</v>
      </c>
      <c r="D1014" t="s">
        <v>1339</v>
      </c>
      <c r="E1014" t="s">
        <v>1218</v>
      </c>
      <c r="F1014" s="1">
        <v>46277.067361111112</v>
      </c>
      <c r="G1014" s="1">
        <v>46277.067361111112</v>
      </c>
      <c r="H1014">
        <v>2</v>
      </c>
      <c r="I1014">
        <v>0</v>
      </c>
      <c r="J1014" t="b">
        <v>0</v>
      </c>
      <c r="K1014" t="b">
        <v>0</v>
      </c>
      <c r="L1014" t="b">
        <v>0</v>
      </c>
      <c r="M1014">
        <v>20</v>
      </c>
      <c r="N1014" t="s">
        <v>1118</v>
      </c>
      <c r="O1014" s="1">
        <v>46277.038194444453</v>
      </c>
      <c r="P1014" t="b">
        <v>0</v>
      </c>
      <c r="Q1014" t="s">
        <v>1169</v>
      </c>
      <c r="R1014" t="s">
        <v>1120</v>
      </c>
      <c r="S1014" t="s">
        <v>1152</v>
      </c>
      <c r="T1014" t="s">
        <v>1145</v>
      </c>
      <c r="U1014" t="s">
        <v>1247</v>
      </c>
      <c r="V1014" t="s">
        <v>1284</v>
      </c>
      <c r="W1014" t="s">
        <v>1257</v>
      </c>
      <c r="X1014">
        <v>0</v>
      </c>
      <c r="Y1014" t="s">
        <v>1173</v>
      </c>
      <c r="Z1014" t="s">
        <v>1127</v>
      </c>
      <c r="AA101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39" customWidth="1"/>
    <col min="2" max="2" width="20" customWidth="1"/>
    <col min="3" max="3" width="52" customWidth="1"/>
  </cols>
  <sheetData>
    <row r="1" spans="1:3" x14ac:dyDescent="0.3">
      <c r="A1" s="7" t="s">
        <v>1494</v>
      </c>
      <c r="B1" s="7" t="s">
        <v>1495</v>
      </c>
      <c r="C1" s="7" t="s">
        <v>1496</v>
      </c>
    </row>
    <row r="2" spans="1:3" x14ac:dyDescent="0.3">
      <c r="A2" s="8" t="s">
        <v>1497</v>
      </c>
      <c r="B2" s="8">
        <f>COUNTA(Cleaned_Data!A:A)-1</f>
        <v>1013</v>
      </c>
      <c r="C2" s="8" t="s">
        <v>1498</v>
      </c>
    </row>
    <row r="3" spans="1:3" x14ac:dyDescent="0.3">
      <c r="A3" s="8" t="s">
        <v>1499</v>
      </c>
      <c r="B3" s="8">
        <f>AVERAGE(Cleaned_Data!I:I)</f>
        <v>7.7769002961500497</v>
      </c>
      <c r="C3" s="8" t="s">
        <v>1500</v>
      </c>
    </row>
    <row r="4" spans="1:3" x14ac:dyDescent="0.3">
      <c r="A4" s="8" t="s">
        <v>1501</v>
      </c>
      <c r="B4" s="8">
        <f>MEDIAN(Cleaned_Data!I:I)</f>
        <v>8</v>
      </c>
      <c r="C4" s="8" t="s">
        <v>1502</v>
      </c>
    </row>
    <row r="5" spans="1:3" x14ac:dyDescent="0.3">
      <c r="A5" s="8" t="s">
        <v>1503</v>
      </c>
      <c r="B5" s="8">
        <f>MIN(Cleaned_Data!I:I)</f>
        <v>0</v>
      </c>
      <c r="C5" s="8" t="s">
        <v>1504</v>
      </c>
    </row>
    <row r="6" spans="1:3" x14ac:dyDescent="0.3">
      <c r="A6" s="8" t="s">
        <v>1505</v>
      </c>
      <c r="B6" s="8">
        <f>MAX(Cleaned_Data!I:I)</f>
        <v>18</v>
      </c>
      <c r="C6" s="8" t="s">
        <v>1506</v>
      </c>
    </row>
    <row r="7" spans="1:3" x14ac:dyDescent="0.3">
      <c r="A7" s="8" t="s">
        <v>1507</v>
      </c>
      <c r="B7" s="8">
        <f>SUM(Cleaned_Data!H:H)</f>
        <v>3926</v>
      </c>
      <c r="C7" s="8" t="s">
        <v>1508</v>
      </c>
    </row>
    <row r="8" spans="1:3" x14ac:dyDescent="0.3">
      <c r="A8" s="8" t="s">
        <v>1509</v>
      </c>
      <c r="B8" s="8">
        <f>AVERAGE(Cleaned_Data!H:H)</f>
        <v>3.8756169792694966</v>
      </c>
      <c r="C8" s="8" t="s">
        <v>1510</v>
      </c>
    </row>
    <row r="9" spans="1:3" x14ac:dyDescent="0.3">
      <c r="A9" s="8" t="s">
        <v>1511</v>
      </c>
      <c r="B9" s="8">
        <f>_xlfn.SINGLE(_xlfn.STDEV.S(Cleaned_Data!I:I))</f>
        <v>2.8104793078146058</v>
      </c>
      <c r="C9" s="8" t="s">
        <v>1512</v>
      </c>
    </row>
    <row r="10" spans="1:3" x14ac:dyDescent="0.3">
      <c r="A10" s="8" t="s">
        <v>1513</v>
      </c>
      <c r="B10" s="8">
        <f>COUNTIF(Cleaned_Data!I:I,"&gt;10")</f>
        <v>174</v>
      </c>
      <c r="C10" s="8" t="s">
        <v>1514</v>
      </c>
    </row>
    <row r="11" spans="1:3" x14ac:dyDescent="0.3">
      <c r="A11" s="8" t="s">
        <v>1515</v>
      </c>
      <c r="B11" s="9">
        <f>IFERROR(B10/B2,0)</f>
        <v>0.1717670286278381</v>
      </c>
      <c r="C11" s="8" t="s">
        <v>1516</v>
      </c>
    </row>
    <row r="12" spans="1:3" x14ac:dyDescent="0.3">
      <c r="A12" s="8" t="s">
        <v>1517</v>
      </c>
      <c r="B12" s="8">
        <f>COUNTBLANK(Cleaned_Data!M2:M1014)</f>
        <v>32</v>
      </c>
      <c r="C12" s="8" t="s">
        <v>1518</v>
      </c>
    </row>
    <row r="13" spans="1:3" x14ac:dyDescent="0.3">
      <c r="A13" s="8" t="s">
        <v>1519</v>
      </c>
      <c r="B13" s="8">
        <f>COUNTIF(Cleaned_Data!T:T,"Unknown")</f>
        <v>157</v>
      </c>
      <c r="C13" s="8" t="s">
        <v>1520</v>
      </c>
    </row>
    <row r="14" spans="1:3" x14ac:dyDescent="0.3">
      <c r="A14" s="8" t="s">
        <v>1521</v>
      </c>
      <c r="B14" s="8">
        <f>COUNTIF(Cleaned_Data!U:U,"Unknown")</f>
        <v>233</v>
      </c>
      <c r="C14" s="8" t="s">
        <v>1522</v>
      </c>
    </row>
  </sheetData>
  <autoFilter ref="A1:C1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2" customWidth="1"/>
  </cols>
  <sheetData>
    <row r="1" spans="1:2" x14ac:dyDescent="0.3">
      <c r="A1" s="6" t="s">
        <v>1494</v>
      </c>
      <c r="B1" s="6" t="s">
        <v>1523</v>
      </c>
    </row>
    <row r="2" spans="1:2" x14ac:dyDescent="0.3">
      <c r="A2" t="s">
        <v>1524</v>
      </c>
      <c r="B2">
        <v>1013</v>
      </c>
    </row>
    <row r="3" spans="1:2" x14ac:dyDescent="0.3">
      <c r="A3" t="s">
        <v>1525</v>
      </c>
      <c r="B3">
        <v>1013</v>
      </c>
    </row>
    <row r="4" spans="1:2" x14ac:dyDescent="0.3">
      <c r="A4" t="s">
        <v>1526</v>
      </c>
      <c r="B4">
        <v>252</v>
      </c>
    </row>
    <row r="5" spans="1:2" x14ac:dyDescent="0.3">
      <c r="A5" t="s">
        <v>1527</v>
      </c>
      <c r="B5">
        <v>32</v>
      </c>
    </row>
    <row r="6" spans="1:2" x14ac:dyDescent="0.3">
      <c r="A6" t="s">
        <v>1528</v>
      </c>
      <c r="B6">
        <v>8</v>
      </c>
    </row>
    <row r="7" spans="1:2" x14ac:dyDescent="0.3">
      <c r="A7" t="s">
        <v>1529</v>
      </c>
      <c r="B7">
        <v>7.78</v>
      </c>
    </row>
    <row r="8" spans="1:2" x14ac:dyDescent="0.3">
      <c r="A8" t="s">
        <v>1530</v>
      </c>
      <c r="B8">
        <v>8</v>
      </c>
    </row>
    <row r="9" spans="1:2" x14ac:dyDescent="0.3">
      <c r="A9" t="s">
        <v>1509</v>
      </c>
      <c r="B9">
        <v>3.88</v>
      </c>
    </row>
    <row r="10" spans="1:2" x14ac:dyDescent="0.3">
      <c r="A10" t="s">
        <v>1531</v>
      </c>
      <c r="B10">
        <v>2.76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opLeftCell="U1" workbookViewId="0">
      <pane ySplit="1" topLeftCell="A2" activePane="bottomLeft" state="frozen"/>
      <selection pane="bottomLeft" activeCell="I17" sqref="I17"/>
    </sheetView>
  </sheetViews>
  <sheetFormatPr defaultRowHeight="14.4" x14ac:dyDescent="0.3"/>
  <cols>
    <col min="1" max="1" width="12" customWidth="1"/>
    <col min="2" max="4" width="14" customWidth="1"/>
    <col min="5" max="5" width="17" customWidth="1"/>
    <col min="6" max="6" width="14" customWidth="1"/>
  </cols>
  <sheetData>
    <row r="1" spans="1:6" x14ac:dyDescent="0.3">
      <c r="A1" s="6" t="s">
        <v>1091</v>
      </c>
      <c r="B1" s="6" t="s">
        <v>1109</v>
      </c>
      <c r="C1" s="6" t="s">
        <v>1532</v>
      </c>
      <c r="D1" s="6" t="s">
        <v>1533</v>
      </c>
      <c r="E1" s="6" t="s">
        <v>1534</v>
      </c>
      <c r="F1" s="6" t="s">
        <v>1535</v>
      </c>
    </row>
    <row r="2" spans="1:6" x14ac:dyDescent="0.3">
      <c r="A2" t="s">
        <v>1339</v>
      </c>
      <c r="B2" t="s">
        <v>1284</v>
      </c>
      <c r="C2">
        <v>131</v>
      </c>
      <c r="D2">
        <v>5.18</v>
      </c>
      <c r="E2">
        <v>5</v>
      </c>
      <c r="F2">
        <v>3.82</v>
      </c>
    </row>
    <row r="3" spans="1:6" x14ac:dyDescent="0.3">
      <c r="A3" t="s">
        <v>1136</v>
      </c>
      <c r="B3" t="s">
        <v>1141</v>
      </c>
      <c r="C3">
        <v>122</v>
      </c>
      <c r="D3">
        <v>9.39</v>
      </c>
      <c r="E3">
        <v>9</v>
      </c>
      <c r="F3">
        <v>3.86</v>
      </c>
    </row>
    <row r="4" spans="1:6" x14ac:dyDescent="0.3">
      <c r="A4" t="s">
        <v>1238</v>
      </c>
      <c r="B4" t="s">
        <v>1151</v>
      </c>
      <c r="C4">
        <v>120</v>
      </c>
      <c r="D4">
        <v>7.42</v>
      </c>
      <c r="E4">
        <v>7</v>
      </c>
      <c r="F4">
        <v>3.81</v>
      </c>
    </row>
    <row r="5" spans="1:6" x14ac:dyDescent="0.3">
      <c r="A5" t="s">
        <v>1149</v>
      </c>
      <c r="B5" t="s">
        <v>1152</v>
      </c>
      <c r="C5">
        <v>122</v>
      </c>
      <c r="D5">
        <v>10.01</v>
      </c>
      <c r="E5">
        <v>10</v>
      </c>
      <c r="F5">
        <v>4</v>
      </c>
    </row>
    <row r="6" spans="1:6" x14ac:dyDescent="0.3">
      <c r="A6" t="s">
        <v>1283</v>
      </c>
      <c r="B6" t="s">
        <v>1284</v>
      </c>
      <c r="C6">
        <v>127</v>
      </c>
      <c r="D6">
        <v>5.76</v>
      </c>
      <c r="E6">
        <v>6</v>
      </c>
      <c r="F6">
        <v>3.62</v>
      </c>
    </row>
    <row r="7" spans="1:6" x14ac:dyDescent="0.3">
      <c r="A7" t="s">
        <v>1255</v>
      </c>
      <c r="B7" t="s">
        <v>1141</v>
      </c>
      <c r="C7">
        <v>124</v>
      </c>
      <c r="D7">
        <v>7.64</v>
      </c>
      <c r="E7">
        <v>8</v>
      </c>
      <c r="F7">
        <v>3.9</v>
      </c>
    </row>
    <row r="8" spans="1:6" x14ac:dyDescent="0.3">
      <c r="A8" t="s">
        <v>1116</v>
      </c>
      <c r="B8" t="s">
        <v>1124</v>
      </c>
      <c r="C8">
        <v>131</v>
      </c>
      <c r="D8">
        <v>10.69</v>
      </c>
      <c r="E8">
        <v>11</v>
      </c>
      <c r="F8">
        <v>3.93</v>
      </c>
    </row>
    <row r="9" spans="1:6" x14ac:dyDescent="0.3">
      <c r="A9" t="s">
        <v>1280</v>
      </c>
      <c r="B9" t="s">
        <v>1151</v>
      </c>
      <c r="C9">
        <v>136</v>
      </c>
      <c r="D9">
        <v>6.35</v>
      </c>
      <c r="E9">
        <v>7</v>
      </c>
      <c r="F9">
        <v>4.05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8" customWidth="1"/>
    <col min="2" max="3" width="14" customWidth="1"/>
    <col min="4" max="4" width="17" customWidth="1"/>
  </cols>
  <sheetData>
    <row r="1" spans="1:4" x14ac:dyDescent="0.3">
      <c r="A1" s="6" t="s">
        <v>1113</v>
      </c>
      <c r="B1" s="6" t="s">
        <v>1532</v>
      </c>
      <c r="C1" s="6" t="s">
        <v>1533</v>
      </c>
      <c r="D1" s="6" t="s">
        <v>1534</v>
      </c>
    </row>
    <row r="2" spans="1:4" x14ac:dyDescent="0.3">
      <c r="A2" t="s">
        <v>1147</v>
      </c>
      <c r="B2">
        <v>259</v>
      </c>
      <c r="C2">
        <v>7.56</v>
      </c>
      <c r="D2">
        <v>7</v>
      </c>
    </row>
    <row r="3" spans="1:4" x14ac:dyDescent="0.3">
      <c r="A3" t="s">
        <v>1134</v>
      </c>
      <c r="B3">
        <v>387</v>
      </c>
      <c r="C3">
        <v>7.73</v>
      </c>
      <c r="D3">
        <v>8</v>
      </c>
    </row>
    <row r="4" spans="1:4" x14ac:dyDescent="0.3">
      <c r="A4" t="s">
        <v>1127</v>
      </c>
      <c r="B4">
        <v>335</v>
      </c>
      <c r="C4">
        <v>8.01</v>
      </c>
      <c r="D4">
        <v>8</v>
      </c>
    </row>
    <row r="5" spans="1:4" x14ac:dyDescent="0.3">
      <c r="B5">
        <v>32</v>
      </c>
      <c r="C5">
        <v>7.69</v>
      </c>
      <c r="D5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pane ySplit="1" topLeftCell="A2" activePane="bottomLeft" state="frozen"/>
      <selection pane="bottomLeft" activeCell="J16" sqref="J16"/>
    </sheetView>
  </sheetViews>
  <sheetFormatPr defaultRowHeight="14.4" x14ac:dyDescent="0.3"/>
  <cols>
    <col min="1" max="1" width="12" customWidth="1"/>
    <col min="2" max="3" width="14" customWidth="1"/>
    <col min="4" max="4" width="17" customWidth="1"/>
    <col min="5" max="5" width="14" customWidth="1"/>
  </cols>
  <sheetData>
    <row r="1" spans="1:5" x14ac:dyDescent="0.3">
      <c r="A1" s="6" t="s">
        <v>1107</v>
      </c>
      <c r="B1" s="6" t="s">
        <v>1532</v>
      </c>
      <c r="C1" s="6" t="s">
        <v>1533</v>
      </c>
      <c r="D1" s="6" t="s">
        <v>1534</v>
      </c>
      <c r="E1" s="6" t="s">
        <v>1535</v>
      </c>
    </row>
    <row r="2" spans="1:5" x14ac:dyDescent="0.3">
      <c r="A2" t="s">
        <v>1140</v>
      </c>
      <c r="B2">
        <v>96</v>
      </c>
      <c r="C2">
        <v>8.65</v>
      </c>
      <c r="D2">
        <v>9</v>
      </c>
      <c r="E2">
        <v>4.01</v>
      </c>
    </row>
    <row r="3" spans="1:5" x14ac:dyDescent="0.3">
      <c r="A3" t="s">
        <v>1180</v>
      </c>
      <c r="B3">
        <v>177</v>
      </c>
      <c r="C3">
        <v>7.34</v>
      </c>
      <c r="D3">
        <v>7</v>
      </c>
      <c r="E3">
        <v>3.76</v>
      </c>
    </row>
    <row r="4" spans="1:5" x14ac:dyDescent="0.3">
      <c r="A4" t="s">
        <v>1122</v>
      </c>
      <c r="B4">
        <v>583</v>
      </c>
      <c r="C4">
        <v>7.8</v>
      </c>
      <c r="D4">
        <v>8</v>
      </c>
      <c r="E4">
        <v>3.91</v>
      </c>
    </row>
    <row r="5" spans="1:5" x14ac:dyDescent="0.3">
      <c r="A5" t="s">
        <v>1145</v>
      </c>
      <c r="B5">
        <v>157</v>
      </c>
      <c r="C5">
        <v>7.65</v>
      </c>
      <c r="D5">
        <v>7</v>
      </c>
      <c r="E5">
        <v>3.78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topLeftCell="D1" workbookViewId="0">
      <pane ySplit="1" topLeftCell="A2" activePane="bottomLeft" state="frozen"/>
      <selection pane="bottomLeft" activeCell="D25" sqref="D25"/>
    </sheetView>
  </sheetViews>
  <sheetFormatPr defaultRowHeight="14.4" x14ac:dyDescent="0.3"/>
  <cols>
    <col min="1" max="1" width="17" customWidth="1"/>
    <col min="2" max="3" width="14" customWidth="1"/>
    <col min="4" max="4" width="17" customWidth="1"/>
  </cols>
  <sheetData>
    <row r="1" spans="1:4" x14ac:dyDescent="0.3">
      <c r="A1" s="6" t="s">
        <v>1108</v>
      </c>
      <c r="B1" s="6" t="s">
        <v>1532</v>
      </c>
      <c r="C1" s="6" t="s">
        <v>1533</v>
      </c>
      <c r="D1" s="6" t="s">
        <v>1534</v>
      </c>
    </row>
    <row r="2" spans="1:4" x14ac:dyDescent="0.3">
      <c r="A2" t="s">
        <v>1123</v>
      </c>
      <c r="B2">
        <v>184</v>
      </c>
      <c r="C2">
        <v>9.57</v>
      </c>
      <c r="D2">
        <v>9</v>
      </c>
    </row>
    <row r="3" spans="1:4" x14ac:dyDescent="0.3">
      <c r="A3" t="s">
        <v>1247</v>
      </c>
      <c r="B3">
        <v>272</v>
      </c>
      <c r="C3">
        <v>6.74</v>
      </c>
      <c r="D3">
        <v>7</v>
      </c>
    </row>
    <row r="4" spans="1:4" x14ac:dyDescent="0.3">
      <c r="A4" t="s">
        <v>1172</v>
      </c>
      <c r="B4">
        <v>324</v>
      </c>
      <c r="C4">
        <v>7.69</v>
      </c>
      <c r="D4">
        <v>8</v>
      </c>
    </row>
    <row r="5" spans="1:4" x14ac:dyDescent="0.3">
      <c r="A5" t="s">
        <v>1145</v>
      </c>
      <c r="B5">
        <v>233</v>
      </c>
      <c r="C5">
        <v>7.7</v>
      </c>
      <c r="D5">
        <v>7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6" customWidth="1"/>
    <col min="2" max="3" width="14" customWidth="1"/>
    <col min="4" max="4" width="17" customWidth="1"/>
    <col min="5" max="5" width="14" customWidth="1"/>
  </cols>
  <sheetData>
    <row r="1" spans="1:5" x14ac:dyDescent="0.3">
      <c r="A1" s="6" t="s">
        <v>1104</v>
      </c>
      <c r="B1" s="6" t="s">
        <v>1532</v>
      </c>
      <c r="C1" s="6" t="s">
        <v>1533</v>
      </c>
      <c r="D1" s="6" t="s">
        <v>1534</v>
      </c>
      <c r="E1" s="6" t="s">
        <v>1535</v>
      </c>
    </row>
    <row r="2" spans="1:5" x14ac:dyDescent="0.3">
      <c r="A2" t="s">
        <v>1138</v>
      </c>
      <c r="B2">
        <v>114</v>
      </c>
      <c r="C2">
        <v>7.93</v>
      </c>
      <c r="D2">
        <v>8</v>
      </c>
      <c r="E2">
        <v>3.98</v>
      </c>
    </row>
    <row r="3" spans="1:5" x14ac:dyDescent="0.3">
      <c r="A3" t="s">
        <v>1179</v>
      </c>
      <c r="B3">
        <v>208</v>
      </c>
      <c r="C3">
        <v>7.53</v>
      </c>
      <c r="D3">
        <v>7.5</v>
      </c>
      <c r="E3">
        <v>3.79</v>
      </c>
    </row>
    <row r="4" spans="1:5" x14ac:dyDescent="0.3">
      <c r="A4" t="s">
        <v>1156</v>
      </c>
      <c r="B4">
        <v>166</v>
      </c>
      <c r="C4">
        <v>7.62</v>
      </c>
      <c r="D4">
        <v>7</v>
      </c>
      <c r="E4">
        <v>3.93</v>
      </c>
    </row>
    <row r="5" spans="1:5" x14ac:dyDescent="0.3">
      <c r="A5" t="s">
        <v>1119</v>
      </c>
      <c r="B5">
        <v>154</v>
      </c>
      <c r="C5">
        <v>8.08</v>
      </c>
      <c r="D5">
        <v>7.5</v>
      </c>
      <c r="E5">
        <v>4.08</v>
      </c>
    </row>
    <row r="6" spans="1:5" x14ac:dyDescent="0.3">
      <c r="A6" t="s">
        <v>1169</v>
      </c>
      <c r="B6">
        <v>99</v>
      </c>
      <c r="C6">
        <v>7.73</v>
      </c>
      <c r="D6">
        <v>7</v>
      </c>
      <c r="E6">
        <v>3.93</v>
      </c>
    </row>
    <row r="7" spans="1:5" x14ac:dyDescent="0.3">
      <c r="A7" t="s">
        <v>1151</v>
      </c>
      <c r="B7">
        <v>164</v>
      </c>
      <c r="C7">
        <v>7.84</v>
      </c>
      <c r="D7">
        <v>8</v>
      </c>
      <c r="E7">
        <v>3.7</v>
      </c>
    </row>
    <row r="8" spans="1:5" x14ac:dyDescent="0.3">
      <c r="A8" t="s">
        <v>1145</v>
      </c>
      <c r="B8">
        <v>108</v>
      </c>
      <c r="C8">
        <v>7.83</v>
      </c>
      <c r="D8">
        <v>8</v>
      </c>
      <c r="E8">
        <v>3.79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4" customWidth="1"/>
  </cols>
  <sheetData>
    <row r="1" spans="1:3" x14ac:dyDescent="0.3">
      <c r="A1" s="6" t="s">
        <v>1536</v>
      </c>
      <c r="B1" s="6" t="s">
        <v>1532</v>
      </c>
      <c r="C1" s="6" t="s">
        <v>1533</v>
      </c>
    </row>
    <row r="2" spans="1:3" x14ac:dyDescent="0.3">
      <c r="A2">
        <v>0</v>
      </c>
      <c r="B2">
        <v>40</v>
      </c>
      <c r="C2">
        <v>6.85</v>
      </c>
    </row>
    <row r="3" spans="1:3" x14ac:dyDescent="0.3">
      <c r="A3">
        <v>1</v>
      </c>
      <c r="B3">
        <v>56</v>
      </c>
      <c r="C3">
        <v>7.38</v>
      </c>
    </row>
    <row r="4" spans="1:3" x14ac:dyDescent="0.3">
      <c r="A4">
        <v>2</v>
      </c>
      <c r="B4">
        <v>36</v>
      </c>
      <c r="C4">
        <v>8.31</v>
      </c>
    </row>
    <row r="5" spans="1:3" x14ac:dyDescent="0.3">
      <c r="A5">
        <v>3</v>
      </c>
      <c r="B5">
        <v>52</v>
      </c>
      <c r="C5">
        <v>7.17</v>
      </c>
    </row>
    <row r="6" spans="1:3" x14ac:dyDescent="0.3">
      <c r="A6">
        <v>4</v>
      </c>
      <c r="B6">
        <v>28</v>
      </c>
      <c r="C6">
        <v>8.2899999999999991</v>
      </c>
    </row>
    <row r="7" spans="1:3" x14ac:dyDescent="0.3">
      <c r="A7">
        <v>5</v>
      </c>
      <c r="B7">
        <v>39</v>
      </c>
      <c r="C7">
        <v>7.82</v>
      </c>
    </row>
    <row r="8" spans="1:3" x14ac:dyDescent="0.3">
      <c r="A8">
        <v>6</v>
      </c>
      <c r="B8">
        <v>31</v>
      </c>
      <c r="C8">
        <v>8.16</v>
      </c>
    </row>
    <row r="9" spans="1:3" x14ac:dyDescent="0.3">
      <c r="A9">
        <v>7</v>
      </c>
      <c r="B9">
        <v>38</v>
      </c>
      <c r="C9">
        <v>8</v>
      </c>
    </row>
    <row r="10" spans="1:3" x14ac:dyDescent="0.3">
      <c r="A10">
        <v>8</v>
      </c>
      <c r="B10">
        <v>41</v>
      </c>
      <c r="C10">
        <v>7.8</v>
      </c>
    </row>
    <row r="11" spans="1:3" x14ac:dyDescent="0.3">
      <c r="A11">
        <v>9</v>
      </c>
      <c r="B11">
        <v>58</v>
      </c>
      <c r="C11">
        <v>7.79</v>
      </c>
    </row>
    <row r="12" spans="1:3" x14ac:dyDescent="0.3">
      <c r="A12">
        <v>10</v>
      </c>
      <c r="B12">
        <v>55</v>
      </c>
      <c r="C12">
        <v>7.8</v>
      </c>
    </row>
    <row r="13" spans="1:3" x14ac:dyDescent="0.3">
      <c r="A13">
        <v>11</v>
      </c>
      <c r="B13">
        <v>38</v>
      </c>
      <c r="C13">
        <v>7.74</v>
      </c>
    </row>
    <row r="14" spans="1:3" x14ac:dyDescent="0.3">
      <c r="A14">
        <v>12</v>
      </c>
      <c r="B14">
        <v>38</v>
      </c>
      <c r="C14">
        <v>7.97</v>
      </c>
    </row>
    <row r="15" spans="1:3" x14ac:dyDescent="0.3">
      <c r="A15">
        <v>13</v>
      </c>
      <c r="B15">
        <v>61</v>
      </c>
      <c r="C15">
        <v>7.92</v>
      </c>
    </row>
    <row r="16" spans="1:3" x14ac:dyDescent="0.3">
      <c r="A16">
        <v>14</v>
      </c>
      <c r="B16">
        <v>53</v>
      </c>
      <c r="C16">
        <v>7.57</v>
      </c>
    </row>
    <row r="17" spans="1:3" x14ac:dyDescent="0.3">
      <c r="A17">
        <v>15</v>
      </c>
      <c r="B17">
        <v>32</v>
      </c>
      <c r="C17">
        <v>8.5299999999999994</v>
      </c>
    </row>
    <row r="18" spans="1:3" x14ac:dyDescent="0.3">
      <c r="A18">
        <v>16</v>
      </c>
      <c r="B18">
        <v>26</v>
      </c>
      <c r="C18">
        <v>8.15</v>
      </c>
    </row>
    <row r="19" spans="1:3" x14ac:dyDescent="0.3">
      <c r="A19">
        <v>17</v>
      </c>
      <c r="B19">
        <v>31</v>
      </c>
      <c r="C19">
        <v>7.23</v>
      </c>
    </row>
    <row r="20" spans="1:3" x14ac:dyDescent="0.3">
      <c r="A20">
        <v>18</v>
      </c>
      <c r="B20">
        <v>36</v>
      </c>
      <c r="C20">
        <v>7.94</v>
      </c>
    </row>
    <row r="21" spans="1:3" x14ac:dyDescent="0.3">
      <c r="A21">
        <v>19</v>
      </c>
      <c r="B21">
        <v>34</v>
      </c>
      <c r="C21">
        <v>7.91</v>
      </c>
    </row>
    <row r="22" spans="1:3" x14ac:dyDescent="0.3">
      <c r="A22">
        <v>20</v>
      </c>
      <c r="B22">
        <v>45</v>
      </c>
      <c r="C22">
        <v>8</v>
      </c>
    </row>
    <row r="23" spans="1:3" x14ac:dyDescent="0.3">
      <c r="A23">
        <v>21</v>
      </c>
      <c r="B23">
        <v>53</v>
      </c>
      <c r="C23">
        <v>8.26</v>
      </c>
    </row>
    <row r="24" spans="1:3" x14ac:dyDescent="0.3">
      <c r="A24">
        <v>22</v>
      </c>
      <c r="B24">
        <v>54</v>
      </c>
      <c r="C24">
        <v>7.8</v>
      </c>
    </row>
    <row r="25" spans="1:3" x14ac:dyDescent="0.3">
      <c r="A25">
        <v>23</v>
      </c>
      <c r="B25">
        <v>38</v>
      </c>
      <c r="C25">
        <v>6.84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21" customWidth="1"/>
  </cols>
  <sheetData>
    <row r="1" spans="1:4" x14ac:dyDescent="0.3">
      <c r="A1" s="6" t="s">
        <v>38</v>
      </c>
      <c r="B1" s="6" t="s">
        <v>1100</v>
      </c>
      <c r="C1" s="6" t="s">
        <v>1101</v>
      </c>
      <c r="D1" s="6" t="s">
        <v>1102</v>
      </c>
    </row>
    <row r="2" spans="1:4" x14ac:dyDescent="0.3">
      <c r="A2" t="s">
        <v>1320</v>
      </c>
      <c r="B2">
        <v>6</v>
      </c>
      <c r="C2" t="s">
        <v>1155</v>
      </c>
      <c r="D2" s="1">
        <v>46270.611111111109</v>
      </c>
    </row>
    <row r="3" spans="1:4" x14ac:dyDescent="0.3">
      <c r="A3" t="s">
        <v>1320</v>
      </c>
      <c r="B3">
        <v>99</v>
      </c>
      <c r="C3" t="s">
        <v>1155</v>
      </c>
      <c r="D3" s="1">
        <v>46280.5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"/>
  <sheetViews>
    <sheetView topLeftCell="E1" workbookViewId="0">
      <pane ySplit="1" topLeftCell="A2" activePane="bottomLeft" state="frozen"/>
      <selection pane="bottomLeft"/>
    </sheetView>
  </sheetViews>
  <sheetFormatPr defaultRowHeight="14.4" x14ac:dyDescent="0.3"/>
  <cols>
    <col min="1" max="5" width="12" customWidth="1"/>
    <col min="6" max="7" width="21" customWidth="1"/>
    <col min="8" max="8" width="12" customWidth="1"/>
    <col min="9" max="9" width="15" customWidth="1"/>
    <col min="10" max="11" width="19" customWidth="1"/>
    <col min="12" max="12" width="18" customWidth="1"/>
  </cols>
  <sheetData>
    <row r="1" spans="1:12" x14ac:dyDescent="0.3">
      <c r="A1" s="6" t="s">
        <v>1089</v>
      </c>
      <c r="B1" s="6" t="s">
        <v>38</v>
      </c>
      <c r="C1" s="6" t="s">
        <v>1090</v>
      </c>
      <c r="D1" s="6" t="s">
        <v>1091</v>
      </c>
      <c r="E1" s="6" t="s">
        <v>1092</v>
      </c>
      <c r="F1" s="6" t="s">
        <v>1093</v>
      </c>
      <c r="G1" s="6" t="s">
        <v>1094</v>
      </c>
      <c r="H1" s="6" t="s">
        <v>1095</v>
      </c>
      <c r="I1" s="6" t="s">
        <v>1096</v>
      </c>
      <c r="J1" s="6" t="s">
        <v>1097</v>
      </c>
      <c r="K1" s="6" t="s">
        <v>1098</v>
      </c>
      <c r="L1" s="6" t="s">
        <v>1099</v>
      </c>
    </row>
    <row r="2" spans="1:12" x14ac:dyDescent="0.3">
      <c r="A2" t="s">
        <v>81</v>
      </c>
      <c r="B2" t="s">
        <v>1251</v>
      </c>
      <c r="C2" t="s">
        <v>1082</v>
      </c>
      <c r="D2" t="s">
        <v>1238</v>
      </c>
      <c r="E2" t="s">
        <v>1295</v>
      </c>
      <c r="F2" s="1">
        <v>46290.286805555559</v>
      </c>
      <c r="G2" s="1">
        <v>46290.290972222218</v>
      </c>
      <c r="H2">
        <v>4</v>
      </c>
      <c r="I2">
        <v>6</v>
      </c>
      <c r="J2" t="b">
        <v>0</v>
      </c>
      <c r="K2" t="b">
        <v>0</v>
      </c>
      <c r="L2" t="b">
        <v>0</v>
      </c>
    </row>
    <row r="3" spans="1:12" x14ac:dyDescent="0.3">
      <c r="A3" t="s">
        <v>81</v>
      </c>
      <c r="B3" t="s">
        <v>1251</v>
      </c>
      <c r="C3" t="s">
        <v>1082</v>
      </c>
      <c r="D3" t="s">
        <v>1238</v>
      </c>
      <c r="E3" t="s">
        <v>1295</v>
      </c>
      <c r="F3" s="1">
        <v>46290.286805555559</v>
      </c>
      <c r="G3" s="1">
        <v>46285.999305555553</v>
      </c>
      <c r="H3">
        <v>4</v>
      </c>
      <c r="I3">
        <v>-6174</v>
      </c>
      <c r="J3" t="b">
        <v>0</v>
      </c>
      <c r="K3" t="b">
        <v>1</v>
      </c>
      <c r="L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7" customWidth="1"/>
  </cols>
  <sheetData>
    <row r="1" spans="1:3" x14ac:dyDescent="0.3">
      <c r="A1" s="6" t="s">
        <v>1090</v>
      </c>
      <c r="B1" s="6" t="s">
        <v>1107</v>
      </c>
      <c r="C1" s="6" t="s">
        <v>1108</v>
      </c>
    </row>
    <row r="2" spans="1:3" x14ac:dyDescent="0.3">
      <c r="A2" t="s">
        <v>1063</v>
      </c>
      <c r="B2" t="s">
        <v>1122</v>
      </c>
    </row>
    <row r="3" spans="1:3" x14ac:dyDescent="0.3">
      <c r="A3" t="s">
        <v>1063</v>
      </c>
      <c r="B3" t="s">
        <v>1122</v>
      </c>
      <c r="C3" t="s">
        <v>1172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5" customWidth="1"/>
  </cols>
  <sheetData>
    <row r="1" spans="1:3" x14ac:dyDescent="0.3">
      <c r="A1" s="6" t="s">
        <v>1091</v>
      </c>
      <c r="B1" s="6" t="s">
        <v>1109</v>
      </c>
      <c r="C1" s="6" t="s">
        <v>1110</v>
      </c>
    </row>
    <row r="2" spans="1:3" x14ac:dyDescent="0.3">
      <c r="A2" t="s">
        <v>1136</v>
      </c>
      <c r="B2" t="s">
        <v>1157</v>
      </c>
      <c r="C2" t="s">
        <v>1125</v>
      </c>
    </row>
    <row r="3" spans="1:3" x14ac:dyDescent="0.3">
      <c r="A3" t="s">
        <v>1136</v>
      </c>
      <c r="B3" t="s">
        <v>1141</v>
      </c>
      <c r="C3" t="s">
        <v>1125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5" customWidth="1"/>
    <col min="3" max="3" width="16" customWidth="1"/>
    <col min="4" max="4" width="24" customWidth="1"/>
    <col min="5" max="5" width="23" customWidth="1"/>
    <col min="6" max="6" width="18" customWidth="1"/>
  </cols>
  <sheetData>
    <row r="1" spans="1:6" x14ac:dyDescent="0.3">
      <c r="A1" s="7" t="s">
        <v>1537</v>
      </c>
      <c r="B1" s="7" t="s">
        <v>1538</v>
      </c>
      <c r="C1" s="7" t="s">
        <v>1539</v>
      </c>
      <c r="D1" s="7" t="s">
        <v>1540</v>
      </c>
      <c r="E1" s="7" t="s">
        <v>1541</v>
      </c>
      <c r="F1" s="7" t="s">
        <v>1542</v>
      </c>
    </row>
    <row r="2" spans="1:6" x14ac:dyDescent="0.3">
      <c r="A2" s="8" t="s">
        <v>1543</v>
      </c>
      <c r="B2" s="8" t="s">
        <v>1339</v>
      </c>
      <c r="C2" s="8">
        <f>COUNTIF(Cleaned_Data!$D:$D,B2)</f>
        <v>131</v>
      </c>
      <c r="D2" s="8">
        <f>IFERROR(AVERAGEIF(Cleaned_Data!$D:$D,B2,Cleaned_Data!$I:$I),0)</f>
        <v>5.1832061068702293</v>
      </c>
      <c r="E2" s="8">
        <f>IFERROR(VLOOKUP(B2,Zone_Analysis!$A:$F,5,FALSE),0)</f>
        <v>5</v>
      </c>
      <c r="F2" s="8">
        <f>IFERROR(AVERAGEIF(Cleaned_Data!$D:$D,B2,Cleaned_Data!$H:$H),0)</f>
        <v>3.8167938931297711</v>
      </c>
    </row>
    <row r="3" spans="1:6" x14ac:dyDescent="0.3">
      <c r="A3" s="8" t="s">
        <v>1543</v>
      </c>
      <c r="B3" s="8" t="s">
        <v>1136</v>
      </c>
      <c r="C3" s="8">
        <f>COUNTIF(Cleaned_Data!$D:$D,B3)</f>
        <v>122</v>
      </c>
      <c r="D3" s="8">
        <f>IFERROR(AVERAGEIF(Cleaned_Data!$D:$D,B3,Cleaned_Data!$I:$I),0)</f>
        <v>9.3934426229508201</v>
      </c>
      <c r="E3" s="8">
        <f>IFERROR(VLOOKUP(B3,Zone_Analysis!$A:$F,5,FALSE),0)</f>
        <v>9</v>
      </c>
      <c r="F3" s="8">
        <f>IFERROR(AVERAGEIF(Cleaned_Data!$D:$D,B3,Cleaned_Data!$H:$H),0)</f>
        <v>3.860655737704918</v>
      </c>
    </row>
    <row r="4" spans="1:6" x14ac:dyDescent="0.3">
      <c r="A4" s="8" t="s">
        <v>1543</v>
      </c>
      <c r="B4" s="8" t="s">
        <v>1238</v>
      </c>
      <c r="C4" s="8">
        <f>COUNTIF(Cleaned_Data!$D:$D,B4)</f>
        <v>120</v>
      </c>
      <c r="D4" s="8">
        <f>IFERROR(AVERAGEIF(Cleaned_Data!$D:$D,B4,Cleaned_Data!$I:$I),0)</f>
        <v>7.416666666666667</v>
      </c>
      <c r="E4" s="8">
        <f>IFERROR(VLOOKUP(B4,Zone_Analysis!$A:$F,5,FALSE),0)</f>
        <v>7</v>
      </c>
      <c r="F4" s="8">
        <f>IFERROR(AVERAGEIF(Cleaned_Data!$D:$D,B4,Cleaned_Data!$H:$H),0)</f>
        <v>3.8083333333333331</v>
      </c>
    </row>
    <row r="5" spans="1:6" x14ac:dyDescent="0.3">
      <c r="A5" s="8" t="s">
        <v>1543</v>
      </c>
      <c r="B5" s="8" t="s">
        <v>1149</v>
      </c>
      <c r="C5" s="8">
        <f>COUNTIF(Cleaned_Data!$D:$D,B5)</f>
        <v>122</v>
      </c>
      <c r="D5" s="8">
        <f>IFERROR(AVERAGEIF(Cleaned_Data!$D:$D,B5,Cleaned_Data!$I:$I),0)</f>
        <v>10.008196721311476</v>
      </c>
      <c r="E5" s="8">
        <f>IFERROR(VLOOKUP(B5,Zone_Analysis!$A:$F,5,FALSE),0)</f>
        <v>10</v>
      </c>
      <c r="F5" s="8">
        <f>IFERROR(AVERAGEIF(Cleaned_Data!$D:$D,B5,Cleaned_Data!$H:$H),0)</f>
        <v>4</v>
      </c>
    </row>
    <row r="6" spans="1:6" x14ac:dyDescent="0.3">
      <c r="A6" s="8" t="s">
        <v>1543</v>
      </c>
      <c r="B6" s="8" t="s">
        <v>1283</v>
      </c>
      <c r="C6" s="8">
        <f>COUNTIF(Cleaned_Data!$D:$D,B6)</f>
        <v>127</v>
      </c>
      <c r="D6" s="8">
        <f>IFERROR(AVERAGEIF(Cleaned_Data!$D:$D,B6,Cleaned_Data!$I:$I),0)</f>
        <v>5.7559055118110241</v>
      </c>
      <c r="E6" s="8">
        <f>IFERROR(VLOOKUP(B6,Zone_Analysis!$A:$F,5,FALSE),0)</f>
        <v>6</v>
      </c>
      <c r="F6" s="8">
        <f>IFERROR(AVERAGEIF(Cleaned_Data!$D:$D,B6,Cleaned_Data!$H:$H),0)</f>
        <v>3.622047244094488</v>
      </c>
    </row>
    <row r="7" spans="1:6" x14ac:dyDescent="0.3">
      <c r="A7" s="8" t="s">
        <v>1543</v>
      </c>
      <c r="B7" s="8" t="s">
        <v>1255</v>
      </c>
      <c r="C7" s="8">
        <f>COUNTIF(Cleaned_Data!$D:$D,B7)</f>
        <v>124</v>
      </c>
      <c r="D7" s="8">
        <f>IFERROR(AVERAGEIF(Cleaned_Data!$D:$D,B7,Cleaned_Data!$I:$I),0)</f>
        <v>7.637096774193548</v>
      </c>
      <c r="E7" s="8">
        <f>IFERROR(VLOOKUP(B7,Zone_Analysis!$A:$F,5,FALSE),0)</f>
        <v>8</v>
      </c>
      <c r="F7" s="8">
        <f>IFERROR(AVERAGEIF(Cleaned_Data!$D:$D,B7,Cleaned_Data!$H:$H),0)</f>
        <v>3.903225806451613</v>
      </c>
    </row>
    <row r="8" spans="1:6" x14ac:dyDescent="0.3">
      <c r="A8" s="8" t="s">
        <v>1543</v>
      </c>
      <c r="B8" s="8" t="s">
        <v>1116</v>
      </c>
      <c r="C8" s="8">
        <f>COUNTIF(Cleaned_Data!$D:$D,B8)</f>
        <v>131</v>
      </c>
      <c r="D8" s="8">
        <f>IFERROR(AVERAGEIF(Cleaned_Data!$D:$D,B8,Cleaned_Data!$I:$I),0)</f>
        <v>10.694656488549619</v>
      </c>
      <c r="E8" s="8">
        <f>IFERROR(VLOOKUP(B8,Zone_Analysis!$A:$F,5,FALSE),0)</f>
        <v>11</v>
      </c>
      <c r="F8" s="8">
        <f>IFERROR(AVERAGEIF(Cleaned_Data!$D:$D,B8,Cleaned_Data!$H:$H),0)</f>
        <v>3.9312977099236641</v>
      </c>
    </row>
    <row r="9" spans="1:6" x14ac:dyDescent="0.3">
      <c r="A9" s="8" t="s">
        <v>1543</v>
      </c>
      <c r="B9" s="8" t="s">
        <v>1280</v>
      </c>
      <c r="C9" s="8">
        <f>COUNTIF(Cleaned_Data!$D:$D,B9)</f>
        <v>136</v>
      </c>
      <c r="D9" s="8">
        <f>IFERROR(AVERAGEIF(Cleaned_Data!$D:$D,B9,Cleaned_Data!$I:$I),0)</f>
        <v>6.3455882352941178</v>
      </c>
      <c r="E9" s="8">
        <f>IFERROR(VLOOKUP(B9,Zone_Analysis!$A:$F,5,FALSE),0)</f>
        <v>7</v>
      </c>
      <c r="F9" s="8">
        <f>IFERROR(AVERAGEIF(Cleaned_Data!$D:$D,B9,Cleaned_Data!$H:$H),0)</f>
        <v>4.0514705882352944</v>
      </c>
    </row>
    <row r="10" spans="1:6" x14ac:dyDescent="0.3">
      <c r="A10" s="8" t="s">
        <v>1544</v>
      </c>
      <c r="B10" s="8" t="s">
        <v>1147</v>
      </c>
      <c r="C10" s="8">
        <f>COUNTIF(Cleaned_Data!$Z:$Z,B10)</f>
        <v>259</v>
      </c>
      <c r="D10" s="8">
        <f>IFERROR(AVERAGEIF(Cleaned_Data!$Z:$Z,B10,Cleaned_Data!$I:$I),0)</f>
        <v>7.5598455598455603</v>
      </c>
      <c r="E10" s="8">
        <f>IFERROR(VLOOKUP(B10,Order_Size_Analysis!$A:$D,4,FALSE),0)</f>
        <v>7</v>
      </c>
      <c r="F10" s="8">
        <f>IFERROR(AVERAGEIF(Cleaned_Data!$Z:$Z,B10,Cleaned_Data!$H:$H),0)</f>
        <v>3.8725868725868726</v>
      </c>
    </row>
    <row r="11" spans="1:6" x14ac:dyDescent="0.3">
      <c r="A11" s="8" t="s">
        <v>1544</v>
      </c>
      <c r="B11" s="8" t="s">
        <v>1134</v>
      </c>
      <c r="C11" s="8">
        <f>COUNTIF(Cleaned_Data!$Z:$Z,B11)</f>
        <v>387</v>
      </c>
      <c r="D11" s="8">
        <f>IFERROR(AVERAGEIF(Cleaned_Data!$Z:$Z,B11,Cleaned_Data!$I:$I),0)</f>
        <v>7.7286821705426361</v>
      </c>
      <c r="E11" s="8">
        <f>IFERROR(VLOOKUP(B11,Order_Size_Analysis!$A:$D,4,FALSE),0)</f>
        <v>8</v>
      </c>
      <c r="F11" s="8">
        <f>IFERROR(AVERAGEIF(Cleaned_Data!$Z:$Z,B11,Cleaned_Data!$H:$H),0)</f>
        <v>3.9509043927648579</v>
      </c>
    </row>
    <row r="12" spans="1:6" x14ac:dyDescent="0.3">
      <c r="A12" s="8" t="s">
        <v>1544</v>
      </c>
      <c r="B12" s="8" t="s">
        <v>1127</v>
      </c>
      <c r="C12" s="8">
        <f>COUNTIF(Cleaned_Data!$Z:$Z,B12)</f>
        <v>335</v>
      </c>
      <c r="D12" s="8">
        <f>IFERROR(AVERAGEIF(Cleaned_Data!$Z:$Z,B12,Cleaned_Data!$I:$I),0)</f>
        <v>8.0089552238805979</v>
      </c>
      <c r="E12" s="8">
        <f>IFERROR(VLOOKUP(B12,Order_Size_Analysis!$A:$D,4,FALSE),0)</f>
        <v>8</v>
      </c>
      <c r="F12" s="8">
        <f>IFERROR(AVERAGEIF(Cleaned_Data!$Z:$Z,B12,Cleaned_Data!$H:$H),0)</f>
        <v>3.8119402985074626</v>
      </c>
    </row>
    <row r="13" spans="1:6" x14ac:dyDescent="0.3">
      <c r="A13" s="8" t="s">
        <v>18</v>
      </c>
      <c r="B13" s="8" t="s">
        <v>1180</v>
      </c>
      <c r="C13" s="8">
        <f>COUNTIF(Cleaned_Data!$T:$T,B13)</f>
        <v>177</v>
      </c>
      <c r="D13" s="8">
        <f>IFERROR(AVERAGEIF(Cleaned_Data!$T:$T,B13,Cleaned_Data!$I:$I),0)</f>
        <v>7.3446327683615822</v>
      </c>
      <c r="E13" s="8">
        <f>IFERROR(VLOOKUP(B13,Shift_Analysis!$A:$E,4,FALSE),0)</f>
        <v>7</v>
      </c>
      <c r="F13" s="8">
        <f>IFERROR(AVERAGEIF(Cleaned_Data!$T:$T,B13,Cleaned_Data!$H:$H),0)</f>
        <v>3.7627118644067798</v>
      </c>
    </row>
    <row r="14" spans="1:6" x14ac:dyDescent="0.3">
      <c r="A14" s="8" t="s">
        <v>18</v>
      </c>
      <c r="B14" s="8" t="s">
        <v>1140</v>
      </c>
      <c r="C14" s="8">
        <f>COUNTIF(Cleaned_Data!$T:$T,B14)</f>
        <v>96</v>
      </c>
      <c r="D14" s="8">
        <f>IFERROR(AVERAGEIF(Cleaned_Data!$T:$T,B14,Cleaned_Data!$I:$I),0)</f>
        <v>8.6458333333333339</v>
      </c>
      <c r="E14" s="8">
        <f>IFERROR(VLOOKUP(B14,Shift_Analysis!$A:$E,4,FALSE),0)</f>
        <v>9</v>
      </c>
      <c r="F14" s="8">
        <f>IFERROR(AVERAGEIF(Cleaned_Data!$T:$T,B14,Cleaned_Data!$H:$H),0)</f>
        <v>4.010416666666667</v>
      </c>
    </row>
    <row r="15" spans="1:6" x14ac:dyDescent="0.3">
      <c r="A15" s="8" t="s">
        <v>18</v>
      </c>
      <c r="B15" s="8" t="s">
        <v>1122</v>
      </c>
      <c r="C15" s="8">
        <f>COUNTIF(Cleaned_Data!$T:$T,B15)</f>
        <v>583</v>
      </c>
      <c r="D15" s="8">
        <f>IFERROR(AVERAGEIF(Cleaned_Data!$T:$T,B15,Cleaned_Data!$I:$I),0)</f>
        <v>7.7993138936535162</v>
      </c>
      <c r="E15" s="8">
        <f>IFERROR(VLOOKUP(B15,Shift_Analysis!$A:$E,4,FALSE),0)</f>
        <v>8</v>
      </c>
      <c r="F15" s="8">
        <f>IFERROR(AVERAGEIF(Cleaned_Data!$T:$T,B15,Cleaned_Data!$H:$H),0)</f>
        <v>3.9142367066895369</v>
      </c>
    </row>
    <row r="16" spans="1:6" x14ac:dyDescent="0.3">
      <c r="A16" s="8" t="s">
        <v>18</v>
      </c>
      <c r="B16" s="8" t="s">
        <v>1145</v>
      </c>
      <c r="C16" s="8">
        <f>COUNTIF(Cleaned_Data!$T:$T,B16)</f>
        <v>157</v>
      </c>
      <c r="D16" s="8">
        <f>IFERROR(AVERAGEIF(Cleaned_Data!$T:$T,B16,Cleaned_Data!$I:$I),0)</f>
        <v>7.6496815286624207</v>
      </c>
      <c r="E16" s="8">
        <f>IFERROR(VLOOKUP(B16,Shift_Analysis!$A:$E,4,FALSE),0)</f>
        <v>7</v>
      </c>
      <c r="F16" s="8">
        <f>IFERROR(AVERAGEIF(Cleaned_Data!$T:$T,B16,Cleaned_Data!$H:$H),0)</f>
        <v>3.7770700636942673</v>
      </c>
    </row>
    <row r="17" spans="1:6" x14ac:dyDescent="0.3">
      <c r="A17" s="8" t="s">
        <v>14</v>
      </c>
      <c r="B17" s="8" t="s">
        <v>1123</v>
      </c>
      <c r="C17" s="8">
        <f>COUNTIF(Cleaned_Data!$U:$U,B17)</f>
        <v>184</v>
      </c>
      <c r="D17" s="8">
        <f>IFERROR(AVERAGEIF(Cleaned_Data!$U:$U,B17,Cleaned_Data!$I:$I),0)</f>
        <v>9.570652173913043</v>
      </c>
      <c r="E17" s="8">
        <f>IFERROR(VLOOKUP(B17,Experience_Analysis!$A:$D,4,FALSE),0)</f>
        <v>9</v>
      </c>
      <c r="F17" s="8">
        <f>IFERROR(AVERAGEIF(Cleaned_Data!$U:$U,B17,Cleaned_Data!$H:$H),0)</f>
        <v>3.7880434782608696</v>
      </c>
    </row>
    <row r="18" spans="1:6" x14ac:dyDescent="0.3">
      <c r="A18" s="8" t="s">
        <v>14</v>
      </c>
      <c r="B18" s="8" t="s">
        <v>1172</v>
      </c>
      <c r="C18" s="8">
        <f>COUNTIF(Cleaned_Data!$U:$U,B18)</f>
        <v>324</v>
      </c>
      <c r="D18" s="8">
        <f>IFERROR(AVERAGEIF(Cleaned_Data!$U:$U,B18,Cleaned_Data!$I:$I),0)</f>
        <v>7.6913580246913584</v>
      </c>
      <c r="E18" s="8">
        <f>IFERROR(VLOOKUP(B18,Experience_Analysis!$A:$D,4,FALSE),0)</f>
        <v>8</v>
      </c>
      <c r="F18" s="8">
        <f>IFERROR(AVERAGEIF(Cleaned_Data!$U:$U,B18,Cleaned_Data!$H:$H),0)</f>
        <v>3.8919753086419755</v>
      </c>
    </row>
    <row r="19" spans="1:6" x14ac:dyDescent="0.3">
      <c r="A19" s="8" t="s">
        <v>14</v>
      </c>
      <c r="B19" s="8" t="s">
        <v>1247</v>
      </c>
      <c r="C19" s="8">
        <f>COUNTIF(Cleaned_Data!$U:$U,B19)</f>
        <v>272</v>
      </c>
      <c r="D19" s="8">
        <f>IFERROR(AVERAGEIF(Cleaned_Data!$U:$U,B19,Cleaned_Data!$I:$I),0)</f>
        <v>6.7352941176470589</v>
      </c>
      <c r="E19" s="8">
        <f>IFERROR(VLOOKUP(B19,Experience_Analysis!$A:$D,4,FALSE),0)</f>
        <v>7</v>
      </c>
      <c r="F19" s="8">
        <f>IFERROR(AVERAGEIF(Cleaned_Data!$U:$U,B19,Cleaned_Data!$H:$H),0)</f>
        <v>3.9522058823529411</v>
      </c>
    </row>
    <row r="20" spans="1:6" x14ac:dyDescent="0.3">
      <c r="A20" s="8" t="s">
        <v>14</v>
      </c>
      <c r="B20" s="8" t="s">
        <v>1145</v>
      </c>
      <c r="C20" s="8">
        <f>COUNTIF(Cleaned_Data!$U:$U,B20)</f>
        <v>233</v>
      </c>
      <c r="D20" s="8">
        <f>IFERROR(AVERAGEIF(Cleaned_Data!$U:$U,B20,Cleaned_Data!$I:$I),0)</f>
        <v>7.6952789699570818</v>
      </c>
      <c r="E20" s="8">
        <f>IFERROR(VLOOKUP(B20,Experience_Analysis!$A:$D,4,FALSE),0)</f>
        <v>7</v>
      </c>
      <c r="F20" s="8">
        <f>IFERROR(AVERAGEIF(Cleaned_Data!$U:$U,B20,Cleaned_Data!$H:$H),0)</f>
        <v>3.8326180257510729</v>
      </c>
    </row>
    <row r="21" spans="1:6" x14ac:dyDescent="0.3">
      <c r="A21" s="8" t="s">
        <v>26</v>
      </c>
      <c r="B21" s="8" t="s">
        <v>1138</v>
      </c>
      <c r="C21" s="8">
        <f>COUNTIF(Cleaned_Data!$Q:$Q,B21)</f>
        <v>114</v>
      </c>
      <c r="D21" s="8">
        <f>IFERROR(AVERAGEIF(Cleaned_Data!$Q:$Q,B21,Cleaned_Data!$I:$I),0)</f>
        <v>7.9298245614035086</v>
      </c>
      <c r="E21" s="8">
        <f>IFERROR(VLOOKUP(B21,Category_Analysis!$A:$E,4,FALSE),0)</f>
        <v>8</v>
      </c>
      <c r="F21" s="8">
        <f>IFERROR(AVERAGEIF(Cleaned_Data!$Q:$Q,B21,Cleaned_Data!$H:$H),0)</f>
        <v>3.9824561403508771</v>
      </c>
    </row>
    <row r="22" spans="1:6" x14ac:dyDescent="0.3">
      <c r="A22" s="8" t="s">
        <v>26</v>
      </c>
      <c r="B22" s="8" t="s">
        <v>1179</v>
      </c>
      <c r="C22" s="8">
        <f>COUNTIF(Cleaned_Data!$Q:$Q,B22)</f>
        <v>208</v>
      </c>
      <c r="D22" s="8">
        <f>IFERROR(AVERAGEIF(Cleaned_Data!$Q:$Q,B22,Cleaned_Data!$I:$I),0)</f>
        <v>7.5336538461538458</v>
      </c>
      <c r="E22" s="8">
        <f>IFERROR(VLOOKUP(B22,Category_Analysis!$A:$E,4,FALSE),0)</f>
        <v>7.5</v>
      </c>
      <c r="F22" s="8">
        <f>IFERROR(AVERAGEIF(Cleaned_Data!$Q:$Q,B22,Cleaned_Data!$H:$H),0)</f>
        <v>3.7884615384615383</v>
      </c>
    </row>
    <row r="23" spans="1:6" x14ac:dyDescent="0.3">
      <c r="A23" s="8" t="s">
        <v>26</v>
      </c>
      <c r="B23" s="8" t="s">
        <v>1156</v>
      </c>
      <c r="C23" s="8">
        <f>COUNTIF(Cleaned_Data!$Q:$Q,B23)</f>
        <v>166</v>
      </c>
      <c r="D23" s="8">
        <f>IFERROR(AVERAGEIF(Cleaned_Data!$Q:$Q,B23,Cleaned_Data!$I:$I),0)</f>
        <v>7.6204819277108431</v>
      </c>
      <c r="E23" s="8">
        <f>IFERROR(VLOOKUP(B23,Category_Analysis!$A:$E,4,FALSE),0)</f>
        <v>7</v>
      </c>
      <c r="F23" s="8">
        <f>IFERROR(AVERAGEIF(Cleaned_Data!$Q:$Q,B23,Cleaned_Data!$H:$H),0)</f>
        <v>3.927710843373494</v>
      </c>
    </row>
    <row r="24" spans="1:6" x14ac:dyDescent="0.3">
      <c r="A24" s="8" t="s">
        <v>26</v>
      </c>
      <c r="B24" s="8" t="s">
        <v>1119</v>
      </c>
      <c r="C24" s="8">
        <f>COUNTIF(Cleaned_Data!$Q:$Q,B24)</f>
        <v>154</v>
      </c>
      <c r="D24" s="8">
        <f>IFERROR(AVERAGEIF(Cleaned_Data!$Q:$Q,B24,Cleaned_Data!$I:$I),0)</f>
        <v>8.0844155844155843</v>
      </c>
      <c r="E24" s="8">
        <f>IFERROR(VLOOKUP(B24,Category_Analysis!$A:$E,4,FALSE),0)</f>
        <v>7.5</v>
      </c>
      <c r="F24" s="8">
        <f>IFERROR(AVERAGEIF(Cleaned_Data!$Q:$Q,B24,Cleaned_Data!$H:$H),0)</f>
        <v>4.0779220779220777</v>
      </c>
    </row>
    <row r="25" spans="1:6" x14ac:dyDescent="0.3">
      <c r="A25" s="8" t="s">
        <v>26</v>
      </c>
      <c r="B25" s="8" t="s">
        <v>1169</v>
      </c>
      <c r="C25" s="8">
        <f>COUNTIF(Cleaned_Data!$Q:$Q,B25)</f>
        <v>99</v>
      </c>
      <c r="D25" s="8">
        <f>IFERROR(AVERAGEIF(Cleaned_Data!$Q:$Q,B25,Cleaned_Data!$I:$I),0)</f>
        <v>7.7272727272727275</v>
      </c>
      <c r="E25" s="8">
        <f>IFERROR(VLOOKUP(B25,Category_Analysis!$A:$E,4,FALSE),0)</f>
        <v>7</v>
      </c>
      <c r="F25" s="8">
        <f>IFERROR(AVERAGEIF(Cleaned_Data!$Q:$Q,B25,Cleaned_Data!$H:$H),0)</f>
        <v>3.9292929292929295</v>
      </c>
    </row>
    <row r="26" spans="1:6" x14ac:dyDescent="0.3">
      <c r="A26" s="8" t="s">
        <v>26</v>
      </c>
      <c r="B26" s="8" t="s">
        <v>1151</v>
      </c>
      <c r="C26" s="8">
        <f>COUNTIF(Cleaned_Data!$Q:$Q,B26)</f>
        <v>164</v>
      </c>
      <c r="D26" s="8">
        <f>IFERROR(AVERAGEIF(Cleaned_Data!$Q:$Q,B26,Cleaned_Data!$I:$I),0)</f>
        <v>7.8414634146341466</v>
      </c>
      <c r="E26" s="8">
        <f>IFERROR(VLOOKUP(B26,Category_Analysis!$A:$E,4,FALSE),0)</f>
        <v>8</v>
      </c>
      <c r="F26" s="8">
        <f>IFERROR(AVERAGEIF(Cleaned_Data!$Q:$Q,B26,Cleaned_Data!$H:$H),0)</f>
        <v>3.6951219512195124</v>
      </c>
    </row>
    <row r="27" spans="1:6" x14ac:dyDescent="0.3">
      <c r="A27" s="8" t="s">
        <v>26</v>
      </c>
      <c r="B27" s="8" t="s">
        <v>1145</v>
      </c>
      <c r="C27" s="8">
        <f>COUNTIF(Cleaned_Data!$Q:$Q,B27)</f>
        <v>108</v>
      </c>
      <c r="D27" s="8">
        <f>IFERROR(AVERAGEIF(Cleaned_Data!$Q:$Q,B27,Cleaned_Data!$I:$I),0)</f>
        <v>7.833333333333333</v>
      </c>
      <c r="E27" s="8">
        <f>IFERROR(VLOOKUP(B27,Category_Analysis!$A:$E,4,FALSE),0)</f>
        <v>8</v>
      </c>
      <c r="F27" s="8">
        <f>IFERROR(AVERAGEIF(Cleaned_Data!$Q:$Q,B27,Cleaned_Data!$H:$H),0)</f>
        <v>3.7870370370370372</v>
      </c>
    </row>
  </sheetData>
  <autoFilter ref="A1:F27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Existing_PivotTable</vt:lpstr>
      <vt:lpstr>Cleaned_Data</vt:lpstr>
      <vt:lpstr>Formula_Analysis</vt:lpstr>
      <vt:lpstr>Overall_Summary</vt:lpstr>
      <vt:lpstr>Zone_Analysis</vt:lpstr>
      <vt:lpstr>Order_Size_Analysis</vt:lpstr>
      <vt:lpstr>Shift_Analysis</vt:lpstr>
      <vt:lpstr>Experience_Analysis</vt:lpstr>
      <vt:lpstr>Category_Analysis</vt:lpstr>
      <vt:lpstr>Hourly_Analysis</vt:lpstr>
      <vt:lpstr>Order_Audit</vt:lpstr>
      <vt:lpstr>Pick_Audit</vt:lpstr>
      <vt:lpstr>Worker_Audit</vt:lpstr>
      <vt:lpstr>Zone_Audit</vt:lpstr>
      <vt:lpstr>Formula_Comparisons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Shewak 08</cp:lastModifiedBy>
  <dcterms:created xsi:type="dcterms:W3CDTF">2026-10-13T06:14:44Z</dcterms:created>
  <dcterms:modified xsi:type="dcterms:W3CDTF">2026-10-13T07:00:30Z</dcterms:modified>
</cp:coreProperties>
</file>